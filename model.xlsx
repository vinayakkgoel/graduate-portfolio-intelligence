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2.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2.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1"/>
  </bookViews>
  <sheets>
    <sheet name="Read Me" sheetId="1" state="visible" r:id="rId3"/>
    <sheet name="Controls" sheetId="2" state="visible" r:id="rId4"/>
    <sheet name="Term Index" sheetId="3" state="visible" r:id="rId5"/>
    <sheet name="Program List" sheetId="4" state="visible" r:id="rId6"/>
    <sheet name="Method A - Summary" sheetId="5" state="visible" r:id="rId7"/>
    <sheet name="Method B - Summary" sheetId="6" state="visible" r:id="rId8"/>
    <sheet name="Method A - Detail" sheetId="7" state="visible" r:id="rId9"/>
    <sheet name="Method B - Detail" sheetId="8" state="visible" r:id="rId10"/>
    <sheet name="Current-Year Tracker" sheetId="9" state="visible" r:id="rId11"/>
    <sheet name="Headcount Waterfall" sheetId="10" state="visible" r:id="rId12"/>
    <sheet name="LTR Waterfall (New-Return)" sheetId="11" state="visible" r:id="rId13"/>
    <sheet name="Term-to-Term Waterfall" sheetId="12" state="visible" r:id="rId14"/>
    <sheet name="Program LTR Retention" sheetId="13" state="visible" r:id="rId15"/>
    <sheet name="LTR Lifecycle (Proforma)" sheetId="14" state="visible" r:id="rId16"/>
    <sheet name="Comparison &amp; Findings" sheetId="15" state="visible" r:id="rId17"/>
    <sheet name="Revenue Outlook" sheetId="16" state="visible" r:id="rId18"/>
    <sheet name="FY Trend - New vs Continuing" sheetId="17" state="visible" r:id="rId19"/>
    <sheet name="FY Outlook - 3Yr vs FY27" sheetId="18" state="visible" r:id="rId20"/>
    <sheet name="Margin View (Trial, Approx.)" sheetId="19" state="visible" r:id="rId21"/>
    <sheet name="FY Trend - Matched (Trial)" sheetId="20" state="visible" r:id="rId22"/>
    <sheet name="CAC &amp; LTR Data (Trial)" sheetId="21" state="visible" r:id="rId23"/>
    <sheet name="LTR vs CAC Matrix (Trial)" sheetId="22" state="visible" r:id="rId24"/>
    <sheet name="HC by Program-Year" sheetId="23" state="visible" r:id="rId25"/>
    <sheet name="HC by Program-Term" sheetId="24" state="visible" r:id="rId26"/>
    <sheet name="New vs Continuing — Year" sheetId="25" state="visible" r:id="rId27"/>
    <sheet name="New vs Continuing — Term" sheetId="26" state="visible" r:id="rId28"/>
    <sheet name="Graduation Lens" sheetId="27" state="visible" r:id="rId29"/>
    <sheet name="Attrition — Leaver Analysis" sheetId="28" state="visible" r:id="rId30"/>
    <sheet name="All Fall by Program" sheetId="29" state="visible" r:id="rId31"/>
    <sheet name="All Spring by Program" sheetId="30" state="visible" r:id="rId32"/>
    <sheet name="All Summer by Program" sheetId="31" state="visible" r:id="rId33"/>
    <sheet name="Trends &amp; Risk Dashboard" sheetId="32" state="visible" r:id="rId3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<sst xmlns="http://schemas.openxmlformats.org/spreadsheetml/2006/main" count="10088" uniqueCount="852">
  <si>
    <t xml:space="preserve">Persistence Model — Full Build, Graduate Programs (Method A + Method B, both computed separately)</t>
  </si>
  <si>
    <t xml:space="preserve">Scope: the 41 Graduate-level programs from the Revenue model's 63-program list. ADC and UG11 are intentionally excluded from this build per your instruction — ADC follows once this graduate build is reviewed and trusted; UG11 has no enrollment history to build on yet.</t>
  </si>
  <si>
    <t xml:space="preserve">What this is</t>
  </si>
  <si>
    <t xml:space="preserve">This replicates the single-program Accounting pilot (both methods, computed and compared separately) across all 41 graduate programs at once, so you can see the same New Student Retention / Returning Student Retention / survival-curve comparison for every program you manage — not just one.</t>
  </si>
  <si>
    <t xml:space="preserve">Method A — Pooled, definition-exact: reproduces the LTR builder's Assumptions tab literally. New Student Retention = pooled Term-3 ÷ pooled Term-1 count among mature cohorts. Returning Student Retention = a credit-hour-weighted AVERAGE of each term's cumulative retention ('% of Segment Base', term 3 onward — Term 3 is the segment's own base, always 100% of itself, so Term 4 is the first term that can show real attrition), stopping at the first term that drops below 20% of the program's Term-3 base — so a weak trailing term is dropped from the average entirely rather than dragging it down.</t>
  </si>
  <si>
    <t xml:space="preserve">Method B — Per-cohort survival curve: every intake cohort tracked on its own from its own Term 1, S(t) = students present at term t ÷ students present at term 1. Aggregated two ways: Pooled (student-weighted, all mature-cohort students combined) and Simple Average (cohort-weighted, every intake counted once regardless of size).</t>
  </si>
  <si>
    <t xml:space="preserve">Method A's New Student Retention and Method B's Pooled S(T3) are built from the same population the same way and should reconcile exactly — every program's cross-check passed in this run (see Method B Summary).</t>
  </si>
  <si>
    <t xml:space="preserve">How it was built</t>
  </si>
  <si>
    <t xml:space="preserve">Computed in Python directly from 'Online Enrolled Student Report for Retention 08192026.xlsx', then pasted here as static values — per your instruction: check the output first, formalize into live formulas once the model is trusted. Every definition, threshold and the resolution script are documented on the tabs that follow.</t>
  </si>
  <si>
    <t xml:space="preserve">Term window: 201930–202610 (20 terms). Maturity threshold: ≥9 terms elapsed since a cohort's first term. Left-censoring: cohorts whose first term predates 201930 are excluded (no reliable Term 1 for them in this pull).</t>
  </si>
  <si>
    <t xml:space="preserve">Credit Hours to Degree is program-specific (not a single constant like the 40-CH Accounting pilot used) — sourced per program from Rev_Forecast_Model_final.xlsx, assumption tab, 'Required Credits' column (rows 107–147). Where that sheet notes a code renumbering (e.g. M013 formerly M002), the current code's value is used. It's shown on the Program List and Method A sheets for reference, but no longer enters the Returning Student Retention calculation itself — see the correction note below.</t>
  </si>
  <si>
    <t xml:space="preserve">Program identity</t>
  </si>
  <si>
    <t xml:space="preserve">Programs are matched to raw Banner history via the same PROGRAM_KEY-based pooling used in the Portfolio Screen (e.g. Master of Accountancy pools M002 + M012 Advanced-Standing + M013). See the Program List tab for exactly which Banner codes feed each program's numbers, and note where that differs from a narrower definition you may have used elsewhere (the earlier single-program Accounting pilot excluded M012; this build includes it, matching how the Revenue model tracks the program as one row).</t>
  </si>
  <si>
    <t xml:space="preserve">Sample-size caution</t>
  </si>
  <si>
    <t xml:space="preserve">Programs with fewer than 30 students at Term 1 (mature cohorts) are flagged 'Thin sample' throughout — the same convention the Revenue model's own empirical-retention table uses (its 30-observation threshold). Treat their rates as directional, not decision-grade, until more cohorts mature.</t>
  </si>
  <si>
    <t xml:space="preserve">9 of the 41 graduate programs have zero mature-cohort students at Term 1 in this data pull — no Method A/B figures can be computed for them yet (they are new programs or have too little history). They're listed with a 'No data' flag on every tab rather than silently omitted.</t>
  </si>
  <si>
    <t xml:space="preserve">Corrections applied in this version</t>
  </si>
  <si>
    <t xml:space="preserve">Three issues were found and fixed after an independent audit of the first version of this build. All three also affected the Portfolio Persistence Screen, which shared the same underlying pipeline logic — that workbook carries the same corrections.</t>
  </si>
  <si>
    <t xml:space="preserve">1. Phantom term codes. The shared term sequence was built from TERM_CODE unioned with First_Term_in_Major. Two values that are never a real enrollment term — 202060 and 202111, both metadata artifacts that never end in the valid 10/20/30 term suffix and never appear as an actual TERM_CODE enrollment — were consequently given real sequence positions, shifting every relative-term calculation after them and biasing every rate downward by an uneven, program-specific amount. Caught by checking this build against the validated Accounting pilot figure (67.7%): the flawed index gave 58.5%. Fixed by building the term index strictly from actual TERM_CODE enrollment values.</t>
  </si>
  <si>
    <t xml:space="preserve">2. Inconsistent first-term dates within a pooled program. First_Term_in_Major is recorded per MAJOR_CODE label, not per continuous student — so a student pooled across a renumbered code (or an Advanced-Standing variant tracked separately) can carry a DIFFERENT First_Term_in_Major under each code. 69 of the students in the Accounting pool alone had this mismatch. Using each row's own label-specific date (or whichever row happened to be processed first) misdates that student's cohort. Fixed by using the earliest First_Term_in_Major recorded across all of a student's rows anywhere in the program's pool, applied consistently. This changed several programs' counts materially — Museum Studies' Term-1 population moved from 522 to 413 once each student was anchored to their true earliest term instead of a mislabeled later one.</t>
  </si>
  <si>
    <t xml:space="preserve">3. Program-identity pooling included unrelated programs. The PROGRAM_KEY crosswalk's 'known' column — used to decide which Banner codes belong to the same tracked program — turned out to group some clearly unrelated programs together. 'Integrative Studies' (B576) was pooling in 'Information Studies' (B561, 18 rows) and 'Lifespan Care Admin' (B650, 254 rows) — different subjects entirely. 'Executive MBA in Energy' (M366) was pooling in 'Renewables (EMBA)' (M824, 81 rows) — a different concentration and a different credit-hour format (60 vs 75). 'Strategic Communication' (M859) was pooling in 'Journalism &amp; Mass Comm' (M611, 120 rows) — a plausible rename, but not confirmed. All three were pulled from their pools and are now computed on their own exact code only, flagged for the program owner to confirm one way or the other — the same caution already applied elsewhere to the Criminal Justice and Legal-Studies-vs-LL.M. ambiguities. See the Program List tab for the exact reasoning on each.</t>
  </si>
  <si>
    <t xml:space="preserve">Accounting's headline New Student Retention (67.7%) was checked again after all three fixes and is unchanged — its pool wasn't affected by fix 3, and fix 2's within-pool date corrections happened to net out to the same Term-1/Term-3 counts for this program specifically. Returning Student Retention did move (31.3% → 40.6%), since that figure is sensitive to the full term-by-term shape, not just the T1/T3 endpoints.</t>
  </si>
  <si>
    <t xml:space="preserve">Four program-identity questions resolved</t>
  </si>
  <si>
    <t xml:space="preserve">The three exclusions from fix 3, plus the pre-existing Organizational Leadership split, were checked against the current registrar program-code catalog and each program's own enrollment pattern. Three held as-is, one reversed:</t>
  </si>
  <si>
    <t xml:space="preserve">Stays split — MLS vs. LL.M. (all four pairs): different credential, different admissions bar (LL.M. requires a completed law degree), and the enrollment data shows both codes admitting concurrently every term at very different scale (e.g. Indigenous Peoples Law: 316 vs 13 students in Fall 2025) — two live programs, not a renumbering.</t>
  </si>
  <si>
    <t xml:space="preserve">Stays split — Organizational Leadership (M762 graduate / B755 / B580 ADC): B755 and B580 both enroll and both grow every term (420 vs 243 in Fall 2025, 762 vs 377 in Fall 2026). A renumbering drains one code as the other fills; two codes growing side by side are two live programs — B755 is PACS's standalone BS, B580 is the concentration inside the ADC Interdisciplinary Studies family.</t>
  </si>
  <si>
    <t xml:space="preserve">Stays excluded — EMBA Energy (M366) vs. Renewables (M824): the registrar catalog lists Energy, Renewables, and Aerospace &amp; Defense as three separate Executive MBA offerings under one family, each with its own code. Whether the tracker's 'EMBA' goal should mean the whole family is a target-definition choice for whoever owns that goal — on program identity alone, they're distinct.</t>
  </si>
  <si>
    <t xml:space="preserve">REVERSED — Strategic Communication (M859) now pools in Journalism &amp; Mass Comm (M611): the registrar catalog lists both as currently active, which suggested two products — but the enrollment data shows the actual cutover clearly. M611 has 63 students, all starting in 202020 or 202030, then drops to a single straggler at 202110. M859 begins at exactly 202110 with a fresh cohort of 75 and runs every term after — zero terms of concurrent admission under both codes. That's a clean one-term handoff, the rename signature, not two concurrently-run programs. M859's Term-1 population is now 225 (was 220 exact-code-only) and New Student Retention moved from 78.2% to 80.9%.</t>
  </si>
  <si>
    <t xml:space="preserve">Added in this version — Current-Year Tracker</t>
  </si>
  <si>
    <t xml:space="preserve">New sheet: 'Current-Year Tracker'. The Method A/B sheets above answer 'how has this program historically persisted, once a cohort is mature enough to judge?' — by definition that's always a look backward, since maturity requires 9+ terms elapsed. This sheet answers a different, forward-looking question: is the program's newest intake tracking on-pace or falling behind, using only the data already available for that cohort right now.</t>
  </si>
  <si>
    <t xml:space="preserve">For each program's 3 most recent entering terms (202520, 202530, 202610), it shows whatever step ratios that cohort has reached so far — Term1→Term2, Term2→Term3, and Term1→Term3 (the same Early Persistence definition used throughout) — against that program's own historical benchmark (the pooled mature-cohort rate for that same step). A cohort still in its first term naturally shows no ratios yet; one at Term 2 shows T1→T2 only; one that's reached Term 3 shows all three.</t>
  </si>
  <si>
    <t xml:space="preserve">A step is flagged when the current cohort runs 10% or more below the historical benchmark for that same step — an explicit, visible threshold (shown at the top of the new sheet), not a hidden rule. The point is early warning: T1→T2 is knowable within one term of a cohort starting, well before that cohort could ever reach the T1→T3 Early Persistence figure the quadrant above is built on. A flagged T1→T2 this term is exactly the kind of signal that would otherwise only surface as a bad T1→T3 number two terms from now.</t>
  </si>
  <si>
    <t xml:space="preserve">Worth noting on Accounting specifically, since it's the program used as the validation anchor throughout this build: its most recently complete cohort (202510, T1→T3 fully observed) shows Early Persistence of 51.7%, well below its own historical benchmark of 67.7% — a 16-point drop, flagged on this sheet. That's a real, current signal on the same program whose historical number everything else here was checked against, not a hypothetical example.</t>
  </si>
  <si>
    <t xml:space="preserve">One safeguard built into the Watch List specifically: a program whose own historical benchmark rests on fewer than 30 mature-cohort students is left off the headline list even if a current step trips the flag — comparing a thin new cohort against an equally thin benchmark is noise, not signal. Those programs are still shown, fully transparently, in the per-program detail below, with the thin benchmark itself marked.</t>
  </si>
  <si>
    <t xml:space="preserve">Added in this version — Headcount Waterfall</t>
  </si>
  <si>
    <t xml:space="preserve">New sheet: 'Headcount Waterfall'. Method A and Method B are, underneath, both built from the exact same mature-cohort population and the exact same term-by-term counts — that's precisely why their T1→T3 figures always reconcile exactly (see every 'Matches' result on Method B - Summary). This sheet surfaces that shared count directly, as a plain headcount, term 1 through the last term any mature cohort in the program has reached — not a percentage, not a re-derived estimate, the actual number of mature-cohort students present at each relative term, pooled across every mature intake.</t>
  </si>
  <si>
    <t xml:space="preserve">Each program's table shows Headcount, the change from the prior term, Term-over-Term Retention, the share of Term 1 remaining, and whether that term is still above the 20% floor. Note the floor test itself (from Term 3 on — Term 3 is the Returning segment's own base and always passes) is run against a different base than either percentage column shown here — the cumulative count as a share of the Term-3 base ('% of Segment Base', shown on the LTR Waterfall sheet), not share of Term 1 or the term-over-term rate — the term where it first drops below is shaded here too, so this sheet's shading always matches the LTR Waterfall's, marking exactly where Method A stops accumulating credit-hour contributions into Returning Student Retention, even though the real observed headcount (and this sheet) continues past it. An in-cell bar on the Headcount column gives an at-a-glance shape of the drop-off for every program without needing 41 separate chart objects. It opens with a combined curve summed across all 41 programs, then breaks out each program individually in the same order used throughout this workbook.</t>
  </si>
  <si>
    <t xml:space="preserve">Added in this version — two more waterfall layouts, at your request</t>
  </si>
  <si>
    <t xml:space="preserve">New sheets: 'LTR Waterfall (New-Return)' and 'Term-to-Term Waterfall', built to match the two reference diagrams you shared. Both re-cut the exact same numbers already on Method A - Detail and the Headcount Waterfall sheet — nothing new was computed, only re-oriented and re-labeled, so all three waterfall sheets should always agree exactly. The original (vertical, term-as-rows) Headcount Waterfall sheet is unchanged and still here.</t>
  </si>
  <si>
    <t xml:space="preserve">LTR Waterfall (New vs Returning) splits at the exact boundary the LTR formula itself uses: New Student Retention runs Term 1→3 off a Term-1 base; Returning Student Retention starts fresh at Term 4 with the population still enrolled at Term 3 as its own 100% base, not Term 1 — matching your first diagram, and the same re-basing Method A's own credit-hour weighting already does under the hood.</t>
  </si>
  <si>
    <t xml:space="preserve">Term-to-Term Waterfall (Lifecycle) shows the same curve as one continuous run, Term 1 through the last term reached, each term measured against the one immediately before it — matching your second diagram. Both sheets lay terms out horizontally (columns), the same convention as Method B - Detail, so a program with more history simply gets more columns.</t>
  </si>
  <si>
    <t xml:space="preserve">Added in this version — Cohort Vintage waterfalls (historical + proforma)</t>
  </si>
  <si>
    <t xml:space="preserve">New sheets: 'Program LTR Retention' and 'LTR Lifecycle (Proforma)', built on the cohort-vintage layout from the example file you shared. Both lay calendar terms across the columns and give every entering cohort its own row, starting on the diagonal at its own actual entry term — the classic vintage-triangle layout, rather than the relative-term (every row starts at its own T1) layout every other sheet in this workbook uses.</t>
  </si>
  <si>
    <t xml:space="preserve">'Program LTR Retention' stays inside the observed data window (201930–202530) only. Every cell is a real, already-validated count — literally the same numbers on Method B - Detail, reconstructed from each cohort's own survival curve (count = survival ratio × that cohort's own Term-1 size) and repositioned onto the calendar diagonal instead of the relative-term grid. No assumption, no projection — it should reconcile exactly against Method B - Detail for every program, and a 'Total Enrolled (all cohorts)' row at the bottom sums every vintage's contribution to give a real, observed total headcount for the program at each calendar term.</t>
  </si>
  <si>
    <t xml:space="preserve">'LTR Lifecycle (Proforma)' takes the same triangle and extends it 6 terms past 202530, as a genuine forward-looking forecast — this one does carry assumptions, stated plainly rather than buried in a formula: (1) every existing cohort's own persistence beyond 202530 is projected using this program's own validated term-over-term retention curve (the same curve driving Method A's Returning Retention); where a projection needs a relative term further out than any cohort has actually reached, the last observed rate is held flat rather than guessed at further — a steady-state assumption, not a trend extrapolation. (2) New cohorts are assumed to keep entering every future term, sized at the average of the last 3 actual entering classes — no assumption about growth or decline in incoming class size, just a continuation of the recent run rate. Every projected cell (anything past 202530) is shaded and italicized so it's never mistaken for an observed count, and the assumed future intake size is shown per program so it can be challenged or overridden.</t>
  </si>
  <si>
    <t xml:space="preserve">Refinement after independent review — combined-curve caveat added</t>
  </si>
  <si>
    <t xml:space="preserve">A second independent audit (of this version, after everything above) verified all five waterfalls reconcile exactly to source and to each other, and flagged one non-blocking note worth acting on: the 'All 41 Programs — Combined' block at the top of the Headcount Waterfall, LTR Waterfall, and Term-to-Term Waterfall sheets pools relative terms across programs of very different length and credit-hours-to-degree, so 'relative term 5' quietly blends a 30-credit-hour program with a 60-credit-hour one at very different points in their own lifecycle. A one-line caveat now sits directly under each of those three combined blocks saying so, pointing back to the per-program curves below as the real signal. The per-program blocks themselves were unaffected — this only changes how the aggregate is framed.</t>
  </si>
  <si>
    <t xml:space="preserve">Correction — 20% floor test was comparing the wrong ratio</t>
  </si>
  <si>
    <t xml:space="preserve">You reported that 'LTR Waterfall (New-Return)' could show '&gt;20% Floor? (Returning Students)' = Yes on a term where the displayed '% of Segment Base' figure was clearly below 20% — Master of Accountancy (M013) was your example. That was a real bug, not a display issue: the floor test in the underlying calculation was comparing against Term-over-Term Retention (how much a term retained relative to the term immediately before it) instead of the cumulative ratio actually shown in that row — count at term t divided by the Term-3 base ('% of Segment Base'). The two can diverge sharply: for M013, Term-over-Term Retention never dropped below 20% through Term 14, so the old logic never flagged a breach at all, even though the cumulative % of Segment Base fell under 20% starting at relative Term 9 (16.1%, then 11.9%, 6.0%, ... down to 1.2%).</t>
  </si>
  <si>
    <t xml:space="preserve">Fixed by testing '% of Segment Base' (ratio to the Term-3 base) against the 20% floor instead, with the same 'sticky' rule as before — once a term drops below the floor, every later term is treated as below it too, even if a later ratio happens to tick back up — and an inclusive boundary (exactly 20.0% reads as Yes, 19.9% as No, blank/no-data as No). This matches the worked example you gave: terms at 35%, 28%, 21%, 17%, 12% now stop accumulating after the third term (21%, the last one at or above 20%), excluding the 17% and 12% terms.</t>
  </si>
  <si>
    <t xml:space="preserve">For Master of Accountancy specifically: '&gt;20% Floor?' now reads Yes for Terms 4–8 and No from Term 9 onward (was Yes straight through Term 14), so terms 9–14 no longer contribute to Returning Student Retention. (The retention figure itself is restated below under the second correction, which changed how the included terms are combined — the breach terms and the Yes/No flags described here are unaffected by that second change.) This is a core Method A calculation, so the fix flows through everywhere that figure is used: Method A - Summary, Method A - Detail, the Headcount Waterfall's floor-breach shading, and 'LTR Waterfall (New-Return)' all now show the same, corrected breach term and retention figures for every program — nothing was patched in just the one sheet you named. Programs whose floor breach was already correct under the old logic (e.g. Master of Science in Finance, breaching at Term 6 either way) are unchanged; several others now breach earlier than before (e.g. Executive MBA in Energy: Term 6; Master of Social Work: Term 10) because their term-over-term rate stayed healthy even as their cumulative share of the Term-3 base fell under 20%. This fix is specific to this workbook's Method A calculation — the Portfolio Persistence Screen uses a different, roster-based methodology with no floor concept, so it is unaffected.</t>
  </si>
  <si>
    <t xml:space="preserve">Second correction — Returning Retention could only decrease, never increase</t>
  </si>
  <si>
    <t xml:space="preserve">After the fix above, you asked me to re-verify the floor logic across every program (not just the one named) and flagged that Returning Student Retention should go UP when a weak trailing term is excluded — you expected Master of Arts in Arts Management (M073) to land around 92%, well above the 23.2% it was showing. Two separate things were checked here, with two separate outcomes.</t>
  </si>
  <si>
    <t xml:space="preserve">First, the floor cutoff itself: I re-audited all 41 programs' '&gt;20% Floor?' flags against the underlying data (not spot-checks — every relative term, every program) and found zero inconsistencies; the fix from the section above was already applied identically everywhere. Twenty of the 30 programs with data actually changed breach term or retention value versus the pre-fix logic; the other ten were unchanged only because their old and new breach terms happened to land on the same relative term for that specific program. The one discrepancy in the number you cited — M073 showing 31.3%, when its actual value was 23.2% — was Master of Arts in Art and Technology (M075)'s figure; M075's block sits directly above M073's on the LTR Waterfall sheet and both use the same row labels, which is an easy place to read across a row boundary by mistake.</t>
  </si>
  <si>
    <t xml:space="preserve">Second, and the actual bug: the Returning Student Retention formula itself could never increase when the tail was shortened, no matter which programs the floor cutoff changed. It was computed as the sum of each included term's credit-hour contribution divided by the program's fixed Credit Hours to Degree — a constant that doesn't shrink when a term is excluded. Removing a term can only remove a positive contribution from that sum, so the ratio could only hold steady or fall, never rise — regardless of which terms the 20% cutoff excluded. That's the opposite of the intended behavior: dropping a weak trailing term should improve the reported figure, the same way dropping your worst exam score raises a class average, not lower it.</t>
  </si>
  <si>
    <t xml:space="preserve">Fixed by changing Returning Student Retention to a credit-hour-weighted AVERAGE of the included terms' own retention ratios ('% of Segment Base'), rather than a sum divided by a fixed total: sum of (ratio × that term's average credit hours) for the included terms, divided by the sum of those same terms' average credit hours — so an excluded term drops out of both the numerator and the averaging denominator, and the result can rise when a weak trailing term is cut. Credit Hours to Degree is still shown, for reference, on the Program List and Method A sheets, but no longer enters this calculation.</t>
  </si>
  <si>
    <t xml:space="preserve">Concrete before/after, all recomputed under this corrected formula: M073 (Arts Management) 23.2% → 69.5%; M075 (Art and Technology) 31.3% → 89.8%; M013 (Accountancy) 36.4% → 55.7%; M366 (Executive MBA in Energy) 37.2% → 86.7%. Across all 30 programs with data, 29 increased and 1 was unaffected (already at its cap), confirming the fix moves in the intended direction portfolio-wide, not just for the programs named here. I want to flag directly that M073's new 69.5% is still well under your ~92% estimate — I couldn't find a version of this formula (weighted or unweighted, by credit hours or by headcount) that lands there from M073's actual term data (Term 4 at 100% of its Term-3 base, Term 5 at 25.8%, breaching at Term 6). If 92% came from a specific calculation on your end, tell me the terms and numbers you used and I'll match it exactly — otherwise this weighted-average formula is what's now live throughout the workbook.</t>
  </si>
  <si>
    <t xml:space="preserve">One side effect worth flagging: for a handful of thin-sample programs where only one or two terms end up included before the floor breaches, Returning Student Retention can land at or slightly above 100% if headcount holds steady or ticks up between included terms (a real pattern in the data, e.g. re-admits or late adds, not a computation error). At this point in the build that affected three programs (figures restated, and a fourth added, under the next correction below, which changes the included terms again).</t>
  </si>
  <si>
    <t xml:space="preserve">As with the first correction, this flows through every sheet built from Method A's Returning Student Retention — Method A - Summary, Method A - Detail, and 'LTR Waterfall (New-Return)' — and I re-verified all three against the underlying data for every program (not just the ones named above) after rebuilding.</t>
  </si>
  <si>
    <t xml:space="preserve">Third correction — Returning accounting now starts at Term 3</t>
  </si>
  <si>
    <t xml:space="preserve">You flagged that using Term 4 as the starting point misses students who left between Term 3 and Term 4 — that Term 3, not Term 4, should be where the Returning segment's own accounting begins, so the Term 3→Term 4 step is evaluated as part of that segment rather than sitting outside it as a reference point. Term 4's own ratio (headcount at Term 4 ÷ headcount at Term 3) was already being computed and already fed the floor test and the weighted average before this change, so the Term 3-to-4 attrition itself was already visible in the numbers — but per your explicit instruction, the floor test and the credit-hour-weighted average both now start counting AT Term 3 itself, one term earlier than before. Term 3 is the segment's own base, so it always compares to itself (100%) and always passes the floor trivially; Term 4 remains the first term that can show a real drop.</t>
  </si>
  <si>
    <t xml:space="preserve">Effect on the numbers: because Term 3 is now included as an always-favorable data point in the average, Returning Student Retention rises for most programs — 26 of 30 programs with data increased, 2 were already sitting exactly at 100% and stayed there, and 1 (Online LL.M. International Business, M592) went from 'n/a — no Term 3+ data' to a defined 100%, since it now has a Term 3 data point to report even though it never reaches Term 4. One program moved the other way: Master of Science in Supply Chain Management (M861) fell slightly from 104.1% to 102.0%, because its Term 4 ratio was already above 100% (net adds between Term 3 and Term 4) — averaging in Term 3's own 100% pulls a figure that started above 100% back down toward it, the same mechanism that pulls a below-100% figure up. Floor breach terms are unchanged for every single program — I verified this directly — because Term 3 always passes trivially, so it never changes which later term first breaches.</t>
  </si>
  <si>
    <t xml:space="preserve">Concrete before/after: M073 (Arts Management) 69.5% → 80.9%; M075 (Art and Technology) 89.8% → 93.9%; M013 (Accountancy) 55.7% → 64.2%; M366 (Executive MBA in Energy) 86.7% → 90.9%.</t>
  </si>
  <si>
    <t xml:space="preserve">Per your request for a full audit rather than a single visible-formula fix: the only two files in this build that reference this floor/accumulation logic at all are the core calculation script and this workbook-builder script — I grepped the full codebase to confirm that directly, so there was nowhere else for an old T4-based formula to be hiding. Within this workbook, every place that reads the corrected figures now reflects the Term-3 start: Method A - Summary and Method A - Detail (both read the same corrected numbers directly), the Headcount Waterfall's floor-breach shading (its 'Above 20% Floor?' reconstruction now gates on Term 3, not Term 4), and 'LTR Waterfall (New-Return)' (its own floor row now starts one column earlier, at Term 3, and its sheet-level caption explains why). The New Student segment (Term 1→Term 3) and its own bracket/label on the waterfall sheets are untouched, since only the Returning segment's start point was in scope. 'Program LTR Retention' and 'LTR Lifecycle (Proforma)' don't use this floor/accumulation logic at all — they're built directly from each cohort's own term-over-term survival curve — so they're unaffected, as is the Current-Year Tracker (a different, unrelated threshold) and the Portfolio Persistence Screen workbook (a different methodology with no floor concept). I rebuilt the workbook from the corrected source data and re-verified every sheet listed above against it program-by-program after rebuilding, not just for the four named here.</t>
  </si>
  <si>
    <t xml:space="preserve">Added in this version — Revenue Outlook</t>
  </si>
  <si>
    <t xml:space="preserve">New sheet: 'Revenue Outlook'. You asked for a per-program view of tuition revenue lost to imperfect retention, in the shape of a reference table you shared, with two changes: Bad Debt Loss left out entirely, and the two retention-loss components combined into one 'Revenue Loss' column instead of two.</t>
  </si>
  <si>
    <t xml:space="preserve">Tuition Cost = Degree Credit Hours × Price per Credit, both sourced live from Rev_Forecast_Model_final.xlsx — credit hours from the assumption tab (the same source already used for Credit Hours to Degree elsewhere in this workbook), price from the 'Program Price per credit' sheet's blended resident rate (tuition + fees), the same rate the revenue model's own Revenue Forecast sheet uses. I checked your reference table against this source directly: its Accounting row uses 33 credit hours ($33,495 tuition), but the revenue model's current Required Credits for Accounting (M013) is 40 ($40,600) — the correction note elsewhere in this workbook records credits being 'updated to 40' at some point, so 33 looks like a stale figure from before that correction. This sheet uses the current, corrected 40, not the reference table's 33.</t>
  </si>
  <si>
    <t xml:space="preserve">New Student Retention and Returning Student Retention are this workbook's own Method A figures — the same ones built, checked, and corrected three times over the course of this session — not a separate assumption. This version computed Revenue Loss = Tuition Cost × (1 − New Student Retention) + Tuition Cost × (1 − Returning Student Retention); LTR = Tuition Cost − Revenue Loss; LTR as % of Tuition = LTR ÷ Tuition Cost. This formula was found to be wrong (it could produce a negative LTR) and was replaced — see the correction below, 'Revenue Outlook's loss formula could produce an impossible negative LTR,' for the fix actually in effect in this sheet. Both retention percentages are still shown as their own columns so the combined loss stays traceable back to its two inputs, even though only one combined loss column was requested. LTR Variance (= LTR − Tuition Cost) is kept for parity with your reference table's column layout, though with Bad Debt Loss excluded it is now simply the negative of Revenue Loss — the same number, sign-flipped — not new information.</t>
  </si>
  <si>
    <t xml:space="preserve">This does not reproduce your reference table's numbers, because that table's formula and retention source were never identified (I checked every sheet of Rev_Forecast_Model_final.xlsx and the Revenue Model SOP document for 'Retention Loss,' 'Bad Debt,' and 'LTR' — no matches anywhere), and you confirmed computing fresh from this workbook's own Method A figures instead. The 11 of 41 programs with no mature-cohort data are shown with a 'No data' flag rather than a blank or a zero, consistent with every other sheet in this build.</t>
  </si>
  <si>
    <t xml:space="preserve">Added in this version — Revenue column on Revenue Outlook</t>
  </si>
  <si>
    <t xml:space="preserve">You asked for a 'revenue column' on the Revenue Outlook sheet. Per your answer, 'Revenue' here means Total Program Revenue — the whole entering cohort's tuition, not one student's — so I added a 'New Starts' column and scaled the dollar columns up to match, rather than adding a column that just duplicated Tuition Cost or LTR.</t>
  </si>
  <si>
    <t xml:space="preserve">New Starts = Rev_Forecast_Model_final.xlsx, 'Revenue Forecast' sheet, 'New Starts (adj)' column — the model's own melt-adjusted count of students actually expected to start the entering cohort. This is the same cohort concept Method A's retention curve is already built on (a cohort's headcount moving term to term), which is why it's the count used here rather than 'Commits' (the raw, pre-melt commitment number, which I left out).</t>
  </si>
  <si>
    <t xml:space="preserve">Once New Starts is in the picture, Tuition Cost alone (a per-student figure) no longer matches a 'Revenue' column meant to be program-wide, so Revenue Loss, LTR, and LTR Variance were scaled up by New Starts as well, for internal consistency — Revenue − Revenue Loss = LTR still holds at the program-total level, the same as it did per student. LTR as % of Tuition is a ratio, so it is unchanged by this scaling. Degree Credit Hours and Tuition Cost are kept as their original per-student figures (a per-student sticker price is still useful context next to a program-total revenue figure).</t>
  </si>
  <si>
    <t xml:space="preserve">Revenue (Program Total) does not depend on retention data, so it is shown for all 41 programs, including the 11 with no mature-cohort data — those 11 still show 'No data' for Revenue Loss, LTR, LTR as % of Tuition, and LTR Variance, since those columns need a retention percentage this workbook doesn't yet have for them. Two programs (M526, M592 — both Online LL.M. tracks) show New Starts of 0 and therefore $0 Revenue this term; that reflects the revenue model's own Fall 2026 forecast (no new commitments recorded for either), not a data gap.</t>
  </si>
  <si>
    <t xml:space="preserve">Correction — Revenue Outlook's loss formula could produce an impossible negative LTR</t>
  </si>
  <si>
    <t xml:space="preserve">You pointed me to a Power BI file in your LTR folder ('Program Lifetime Revenue.pbix') and asked me to check whether its formula was right before touching this workbook. Opening it turned up a real bug in the formula I'd built: Revenue Loss = Tuition Cost × (1 − New Retention) + Tuition Cost × (1 − Returning Retention) can produce a negative LTR whenever the two retention rates add to less than 100% — M526 (Master of Science in Indigenous Peoples Law), New Retention 29.4% and Returning Retention 64.1%, was showing LTR = −6.5% of tuition in the version I delivered you. A revenue-retained figure can never go negative — a program can lose at most 100% of its tuition, not more — so this was a genuine defect, not a style choice, and it didn't depend on whether the Power BI file's own formula was right or not.</t>
  </si>
  <si>
    <t xml:space="preserve">The root cause: Returning Student Retention is only defined among students who already survived to Term 3. The old formula applied '(1 − Returning Retention)' against the full original Tuition Cost anyway, which double-counts the same students' attrition risk for any program weak in both phases. The fix treats New and Returning Retention as sequential, conditional stages of one cohort's journey — the mathematically correct way to combine two conditional survival probabilities is to multiply them, not subtract two losses measured against the same full base. New Student Loss = Tuition Cost × (1 − New Retention); Returning Student Loss = Tuition Cost × New Retention × (1 − Returning Retention), applied to what's left after New Student attrition, not the full Tuition Cost again; Revenue Loss = the sum of both (still one combined column, per your original instruction); LTR = Tuition Cost − Revenue Loss = Tuition Cost × New Retention × Returning Retention. This is bounded between $0 and full Tuition Cost for any retention percentages — it can no longer go negative or exceed 100%. For M013 (Master of Accountancy), per-student LTR moves from $12,982 (32.0% of tuition) to $17,666 (43.5%); M526 moves from −$1,362 (−6.5%) to +$3,983 (+18.9%). I re-checked all 30 programs with retention data and confirmed every LTR now falls within [$0, Tuition Cost] — 0 out of range.</t>
  </si>
  <si>
    <t xml:space="preserve">This is corroborated by the Power BI file's own formula (LTR = Tuition × New Retention × Returning Retention × (1 − Bad Debt)) and by its 'Definitions &amp; Assumptions' page, which documents New/Returning Retention exactly the way Method A already computes them in this workbook. But I did not adopt that file's own numbers — its Tuition Cost, credit hours, and retention percentages are a stale, frozen snapshot (its Accounting row is still tagged with the old 'M002' program code and 33 credit hours, from before the M013 renumbering and the 40-credit correction already on record in this workbook). This sheet keeps using this workbook's own live Rev_Forecast_Model_final.xlsx tuition/credit hours and Method A retention figures, per your direction — only the loss/LTR formula changed, not the inputs feeding it. Bad Debt Loss remains excluded, as you originally asked; the only source for it would be that same stale Power BI snapshot, and Rev_Forecast_Model_final.xlsx has no Bad Debt figures of its own.</t>
  </si>
  <si>
    <t xml:space="preserve">One honest limitation, true of this formula either way: it treats retention as all-or-nothing — a student who leaves partway through contributes $0 to LTR, with no credit for the tuition they actually paid before leaving. Rev_Forecast_Model_final.xlsx has a more granular alternative already built ('Lifetime Rev, blended pace'), which integrates actual per-term credit-hour consumption instead. That would be a bigger methodology change and uses a different, single blended retention rate rather than Method A's two-phase figures — worth its own conversation if you want to go that far, not folded in here. You did go that far — see the next correction below.</t>
  </si>
  <si>
    <t xml:space="preserve">Correction — Revenue Outlook now uses the Direct survival-curve method, replacing cascading NS × RS</t>
  </si>
  <si>
    <t xml:space="preserve">You reviewed the cascading formula with your own agent, using two files you built together — 'Program_LTR_Unified.xlsx' and 'Program_LTR_Unified (2).xlsx' — and confirmed the honest limitation flagged above (all-or-nothing scoring) was real and material: it systematically understates LTR, and it distorts which programs look revenue-efficient, not just the totals. I independently re-derived the adopted 'Direct' method from this workbook's own raw persistence data (not from your files' numbers) and cross-checked it against every value in 'Program_LTR_Unified (2).xlsx' — all 30 mature-cohort programs matched to within 0.04%, the residual being their sheet's 4-decimal display rounding versus my full-precision recomputation. The method and the 12% floor are adopted as you specified; only the inputs were re-derived from source to confirm them, not copied.</t>
  </si>
  <si>
    <t xml:space="preserve">The formula: LTR per new student = Price/Credit × Σ over terms t of [S(t) × C(t) × floor_mask(t)], where S(t) is the share of the mature cohort's Term-1 headcount still enrolled at relative term t, C(t) is the average credit hours taken by students actually enrolled that term, and floor_mask(t) latches to 0 for term t and every term after the first time the running minimum of S(1..t) drops below the 12% LTR-inclusion floor (so a later recovery, e.g. a stop-out return, does not un-latch it — verified against a non-monotonic program, Executive MBA in Energy, whose mask matches your file's exactly). This credits every term of tuition a student actually pays for, not just full completions, which is what the all-or-nothing NS × RS formula could not do.</t>
  </si>
  <si>
    <t xml:space="preserve">Why the 12% floor, not 20%: your back-test (out-of-time — trained on older mature cohorts, scored against resolved newer ones) found the 20% floor systematically under-forecasts credit-hour consumption by 1.28 CH/student; 12% cuts that bias to 0.44 with no loss of forecast accuracy (MAPE 15.4% vs 15.3%); a 0% floor (no truncation) over-corrects, flipping to a 0.74 over-forecast with worse accuracy (16.1%). 12% is the point where additional tail terms stop being reliably realized. This floor is scoped ONLY to Revenue Outlook's Direct-method LTR calculation — Method A's own Returning Student Retention floor (still 20%, still measured relative to Term 3, per the earlier corrections in this Read Me) is unchanged, and still drives Method A Summary/Detail, the Headcount Waterfall, and 'LTR Waterfall (New vs Returning)' exactly as before. Those sheets track retention behavior; Revenue Outlook translates behavior into dollars, and only the latter changed. Your own files document this same separation: 'the full persistence curve is preserved; the floor only limits what is monetized.'</t>
  </si>
  <si>
    <t xml:space="preserve">The dollar impact is real: on a portfolio basis, the previous cascading formula understated LTR by roughly a quarter relative to the Direct method, unevenly by program (for example, Civil Engineering realizes much more revenue under the Direct method than Cascading credited it for, because it has a long tail of students paying for credits well past the New/Returning boundary that the all-or-nothing formula gave no credit for at all). I first put this side by side on its own 'LTR Method Comparison' sheet; you correctly flagged it as a redundant sheet to carry going forward, so I removed it and folded the one useful number — how far this moved each program's estimate — into Revenue Outlook's own 'LTR Variance vs Cascading' column instead (see the note below).</t>
  </si>
  <si>
    <t xml:space="preserve">What's unaffected: Method A's New Student Retention and Returning Student Retention percentages, and every sheet built from them (Method A Summary/Detail, Headcount Waterfall, 'LTR Waterfall (New vs Returning)', Comparison &amp; Findings), are untouched — they remain the T1→T3 / T3+-credit-hour-weighted metrics corrected three times earlier in this session, with their own 20% floor, used for tracking retention behavior. Bad Debt stays excluded, as before, since there's still no live source for it. Tuition Cost, Degree Credit Hours, and New Starts are unchanged — same live sources as the cascading version.</t>
  </si>
  <si>
    <t xml:space="preserve">Correction — dropped the redundant comparison sheet and a duplicate column on Revenue Outlook</t>
  </si>
  <si>
    <t xml:space="preserve">You caught two real issues in the version I delivered just before this one. First, 'LTR Method Comparison' didn't earn its place as an ongoing sheet in this workbook — it was useful once, to show the size of the Direct-vs-Cascading change, but not something you need to keep carrying forward. I removed it. Second, and more importantly, 'Revenue Loss' and 'LTR Variance' on Revenue Outlook were computing the exact same number: LTR Variance was defined as LTR − Revenue, and Revenue Loss was defined as −(Revenue − LTR) — algebraically identical, just sign-arranged differently, so every one of the 30 programs showed the same figure twice under two different labels. Worse, 'Variance' implied a comparison to some target or benchmark that was never actually there. My first fix repurposed 'LTR Variance' into a Direct-vs-Cascading delta so it wasn't a duplicate; you then said you don't need that column at all, so it's been removed outright rather than kept as a repurposed column. Revenue Outlook is now 9 columns: Program, Degree Credit Hours, Tuition Cost (per Student), New Starts, Revenue, Expected CH/Student, LTR as % of Tuition, Revenue Loss, and LTR — every one carrying distinct information, nothing duplicated.</t>
  </si>
  <si>
    <t xml:space="preserve">Data refresh — Fall 2026 (term 202610) enrollment added</t>
  </si>
  <si>
    <t xml:space="preserve">You provided two new source files this round: '26FA Online Enrolled Student Report for Retention 08092026.xlsx' (current Fall 2026 enrollment, one row per student with term hours) and '26SU OL Cognos Final Clearance List 09092026.xlsx' (Summer 2026 degree clearances). The Fall 2026 file extended the raw enrollment data this workbook is built from — previously it stopped at term 202530; it now runs through 202610, a real term this workbook did not have before. Because every cohort's 'terms elapsed' count moved up by one, two more programs (M374 — Engineering Leadership &amp; Management, M867 — Sustainable Architecture) crossed the 9-term maturity threshold and now show real figures on Revenue Outlook instead of 'No data', and every already-mature cohort's curve picked up one more real data point. Retention and LTR figures moved by varying amounts program to program as a result (a few by several points, most by less than one) — this is the model responding to new real data, not a methodology change. Every number in this workbook is rebuilt fresh from the merged data; nothing was carried over from the prior version.</t>
  </si>
  <si>
    <t xml:space="preserve">Open question — degree completions vs. attrition (not yet built into the model)</t>
  </si>
  <si>
    <t xml:space="preserve">The Summer 2026 clearance list let us check something this workbook has never been able to check before: does a student's enrollment record simply 'stopping' in our data mean they left, or that they graduated? We matched 310 of the clearance list's students (279 already awarded their degree, 31 who met requirements but still owe tuition and are withheld) against our raw enrollment history for their program. Every single one of them — all 310 — showed zero enrollment activity after their Summer 2026 graduation term, which is exactly what a successful completion looks like, and is indistinguishable in our data from a student who simply stopped enrolling. In other words, this workbook currently has no way to tell 'finished the program' apart from 'dropped out' — both read as identical drops in the survival curve. For several programs, the average relative term at which these graduates exited sits right at or near the 9-term maturity gate (e.g. Master of Social Work averaged relative term 9.1), which is also close to where the LTR-inclusion floors start trimming a cohort's tail — so some of what looks like 'unreliable attrition tail' in the current curves may actually be ordinary, successful program completion. We have not changed any retention or LTR formula based on this — distinguishing completion from attrition is a real methodology decision, not a data-refresh mechanic, and should be made deliberately rather than folded in silently. The matched detail is saved alongside this workbook's build files for when you're ready to decide. Separately, the 31 in-scope 'owes tuition' students represent tuition for degrees already earned that has not yet been collected — worth tracking as its own figure, distinct from persistence-driven revenue loss.</t>
  </si>
  <si>
    <t xml:space="preserve">Added in this version — two management outlook sheets, by fiscal year</t>
  </si>
  <si>
    <t xml:space="preserve">At your request: 'FY Trend - New vs Continuing' and 'FY Outlook - 3Yr vs FY27'. Both reuse Method A's own definitions (New Student % = pooled Term-1-to-Term-3 survival; Continuing Student % = credit-hour-weighted average of each later term's share of the Term-3 base, sticky 20% floor) — the only change is what gets pooled together: instead of every cohort in a program's history, each figure is pooled by the FISCAL YEAR a cohort first enrolled. Both metrics describe the same entering class at two stages of its life: New% is how much of that class made it to its own Term 3; Continuing% is how much of the Term-3 survivors kept going beyond that.</t>
  </si>
  <si>
    <t xml:space="preserve">Fiscal year definition: OU's FY runs July-June. Term code TTTTSS belongs to FY (TTTT+1), for every one of its three terms (Fall/Spring/Summer) — e.g. Fall 2026 (202610), Spring 2027 (202620), and Summer 2027 (202630) are all FY2027, matching how your two source files were labeled ('26FA' = term 202610 = Fall 2026 = FY2027; '26SU' = term 202530 = Summer 2026 = FY2026). FY2020 is excluded from both sheets — the raw data only ever had its Summer term (201930), never Fall 2019 or Spring 2020, so a 'FY2020' figure built from one-third of a year wouldn't be comparable to the other, complete fiscal years.</t>
  </si>
  <si>
    <t xml:space="preserve">Eligibility is looser here than Method A's headline 9-term maturity gate, deliberately: a fiscal year is only 3 terms wide, so requiring 9 terms of history would leave every recent year empty. A cohort counts once it's had the chance to reach Term 3 (3+ elapsed terms); Continuing% then uses however many terms beyond Term 3 have actually been observed so far. That means recent fiscal years' Continuing% rests on fewer observed terms than older ones — FY2026's figure, for instance, reflects only 2 terms of observed decay portfolio-wide, versus 5-6 for FY2021-2022 — so part of the apparent year-over-year rise in Continuing% is very likely a maturity artifact, not necessarily a real improvement. Both sheets show how many terms were observed for each fiscal year so this is never hidden, and the FY2027 straight-line projection on the second sheet inherits that same caution: it extrapolates whatever trend is in the historical data, including any maturity artifact in it. Treat the Continuing% trend and its FY2027 projection as directional, not precise, until more terms of history come in.</t>
  </si>
  <si>
    <t xml:space="preserve">The second sheet's 3-year rolling average uses FY2024-FY2026; FY2027 is a straight-line (least-squares) extrapolation of each series' available fiscal-year history, clipped to a valid 0-100% range, and only shown where at least 3 fiscal years of data exist for that series — otherwise it's marked 'Insufficient trend data' rather than a projection built on too few points. Programs with fewer than 30 eligible students in a fiscal year are flagged 'Thin sample', the same convention used everywhere else in this workbook.</t>
  </si>
  <si>
    <t xml:space="preserve">One real edge case surfaced by grouping this finely: for a handful of small programs, a later term's headcount occasionally exceeds its own Term-3 base for that fiscal year (typically a stop-out student re-enrolling), pushing that term's contribution to Continuing% above 100%. This is mathematically valid under the credit-hour-weighted formula — it's just something a full-history pool (much larger N) essentially never surfaces, because one stop-out return barely moves a large denominator. None of the 41 programs' full-history Method A figures exceed 100% (checked). Rather than capping these values — which would silently alter a real number — they're flagged in orange on 'FY Trend - New vs Continuing' wherever they occur, so they're visible, not hidden or quietly corrected.</t>
  </si>
  <si>
    <t xml:space="preserve">What's next</t>
  </si>
  <si>
    <t xml:space="preserve">Once you've reviewed these graduate-program outputs and are confident in the approach, the same build extends to the 10 ADC programs. UG11 stays out until those programs accumulate real enrollment history.</t>
  </si>
  <si>
    <t xml:space="preserve">Persistence Model — Controls &amp; Assumptions (shared across all 41 graduate programs)</t>
  </si>
  <si>
    <t xml:space="preserve">Data Window Start Term</t>
  </si>
  <si>
    <t xml:space="preserve">Cohorts whose First Term in Major predates this are left-censored and excluded from every program's Method A/B figures.</t>
  </si>
  <si>
    <t xml:space="preserve">Maturity Threshold (terms elapsed)</t>
  </si>
  <si>
    <t xml:space="preserve">A cohort is 'mature' once at least this many terms have elapsed since its first term. Same threshold used in the Portfolio Persistence Screen for consistency across deliverables.</t>
  </si>
  <si>
    <t xml:space="preserve">Returning-Segment Floor (% of Segment Base)</t>
  </si>
  <si>
    <t xml:space="preserve">Returning Student Retention accounting starts at Term 3 (the segment's own base, always 100% of itself) and stops accumulating once the cumulative count at a later term, as a share of the Term-3 base ('% of Segment Base'), falls below this rate — sticky once breached, so a later uptick doesn't resume accumulation. (Corrected twice in this version — see the Read Me correction notes: first, the floor test itself was fixed to compare against '% of Segment Base' instead of Term-over-Term Retention; then the accounting was moved to start at Term 3 instead of Term 4.)</t>
  </si>
  <si>
    <t xml:space="preserve">Thin-Sample Caution Threshold (students at T1)</t>
  </si>
  <si>
    <t xml:space="preserve">Below this many mature-cohort students at Term 1, a program is flagged 'Thin sample' — matches the Revenue model's own 30-observation empirical-retention threshold.</t>
  </si>
  <si>
    <t xml:space="preserve">Last Term Order in Data</t>
  </si>
  <si>
    <t xml:space="preserve">Shared term window: 201930–202610 (20 terms), same construction as the Portfolio Persistence Screen (excludes the MAX_TERM_CODE forward-registration sentinel and legacy GRADUATION_TERM_CODE contamination from the term sequence itself).</t>
  </si>
  <si>
    <t xml:space="preserve">Values here are Python-computed and pasted as static values, per your instruction to check the output before formalizing into live in-sheet formulas.</t>
  </si>
  <si>
    <t xml:space="preserve">Term Code</t>
  </si>
  <si>
    <t xml:space="preserve">Sequential Order</t>
  </si>
  <si>
    <t xml:space="preserve">201930</t>
  </si>
  <si>
    <t xml:space="preserve">202010</t>
  </si>
  <si>
    <t xml:space="preserve">202020</t>
  </si>
  <si>
    <t xml:space="preserve">202030</t>
  </si>
  <si>
    <t xml:space="preserve">202110</t>
  </si>
  <si>
    <t xml:space="preserve">202120</t>
  </si>
  <si>
    <t xml:space="preserve">202130</t>
  </si>
  <si>
    <t xml:space="preserve">202210</t>
  </si>
  <si>
    <t xml:space="preserve">202220</t>
  </si>
  <si>
    <t xml:space="preserve">202230</t>
  </si>
  <si>
    <t xml:space="preserve">202310</t>
  </si>
  <si>
    <t xml:space="preserve">202320</t>
  </si>
  <si>
    <t xml:space="preserve">202330</t>
  </si>
  <si>
    <t xml:space="preserve">202410</t>
  </si>
  <si>
    <t xml:space="preserve">202420</t>
  </si>
  <si>
    <t xml:space="preserve">202430</t>
  </si>
  <si>
    <t xml:space="preserve">202510</t>
  </si>
  <si>
    <t xml:space="preserve">202520</t>
  </si>
  <si>
    <t xml:space="preserve">202530</t>
  </si>
  <si>
    <t xml:space="preserve">202610</t>
  </si>
  <si>
    <t xml:space="preserve">Code</t>
  </si>
  <si>
    <t xml:space="preserve">Program Name</t>
  </si>
  <si>
    <t xml:space="preserve">Banner codes pooled</t>
  </si>
  <si>
    <t xml:space="preserve">Resolution note</t>
  </si>
  <si>
    <t xml:space="preserve">CH to Degree</t>
  </si>
  <si>
    <t xml:space="preserve">CH Source Note</t>
  </si>
  <si>
    <t xml:space="preserve">Raw rows (this program)</t>
  </si>
  <si>
    <t xml:space="preserve">Left-censored excluded</t>
  </si>
  <si>
    <t xml:space="preserve">Mature-cohort N @ T1</t>
  </si>
  <si>
    <t xml:space="preserve">Sample Flag</t>
  </si>
  <si>
    <t xml:space="preserve">1550C</t>
  </si>
  <si>
    <t xml:space="preserve">Certificate in Population Health</t>
  </si>
  <si>
    <t xml:space="preserve">not in PROGRAM_KEY; exact-code match only</t>
  </si>
  <si>
    <t xml:space="preserve">OU: 12-cr certificate</t>
  </si>
  <si>
    <t xml:space="preserve">No data</t>
  </si>
  <si>
    <t xml:space="preserve">D318</t>
  </si>
  <si>
    <t xml:space="preserve">Ed.D. in Education Administration</t>
  </si>
  <si>
    <t xml:space="preserve">pooled via PROGRAM_KEY siblings</t>
  </si>
  <si>
    <t xml:space="preserve">OU: 54 billed doctoral credit hrs</t>
  </si>
  <si>
    <t xml:space="preserve">M366</t>
  </si>
  <si>
    <t xml:space="preserve">Executive MBA in Energy</t>
  </si>
  <si>
    <t xml:space="preserve">pooled via PROGRAM_KEY siblings | EXCLUDED M824 ('Renewables (EMBA)-OL75') from this pool -- shares PROGRAM_KEY's 'EMBA' known-name with M366 ('Energy-OL60'), but the descriptions name different concentrations (Energy vs Renewables) AND different credit-hour formats (60 vs 75), which reads as two distinct EMBA tracks rather than one program under two codes. M824 carries 81 raw rows. Using exact-code-only (M366) until confirmed with the program owner whether these are meant to be combined.</t>
  </si>
  <si>
    <t xml:space="preserve">Airtable BE validated vs OU</t>
  </si>
  <si>
    <t xml:space="preserve">OK</t>
  </si>
  <si>
    <t xml:space="preserve">1231EX</t>
  </si>
  <si>
    <t xml:space="preserve">Executive Masters in Health Administration</t>
  </si>
  <si>
    <t xml:space="preserve">M013</t>
  </si>
  <si>
    <t xml:space="preserve">Master of Accountancy</t>
  </si>
  <si>
    <t xml:space="preserve">M002, M012, M013</t>
  </si>
  <si>
    <t xml:space="preserve">Updated to 40 per instruction (code M013, formerly M002)</t>
  </si>
  <si>
    <t xml:space="preserve">M075</t>
  </si>
  <si>
    <t xml:space="preserve">Master of Arts in Art and Technology</t>
  </si>
  <si>
    <t xml:space="preserve">M073</t>
  </si>
  <si>
    <t xml:space="preserve">Master of Arts in Arts Management</t>
  </si>
  <si>
    <t xml:space="preserve">M494</t>
  </si>
  <si>
    <t xml:space="preserve">Master of Arts in Global Affairs</t>
  </si>
  <si>
    <t xml:space="preserve">M700</t>
  </si>
  <si>
    <t xml:space="preserve">Master of Arts in Museum Studies</t>
  </si>
  <si>
    <t xml:space="preserve">M578, M700</t>
  </si>
  <si>
    <t xml:space="preserve">M762</t>
  </si>
  <si>
    <t xml:space="preserve">Master of Arts in Organizational Leadership</t>
  </si>
  <si>
    <t xml:space="preserve">AMBIGUOUS: shares known-name 'Organizational Leadership' with target(s) ['B580', 'B755']; using exact code only</t>
  </si>
  <si>
    <t xml:space="preserve">M859</t>
  </si>
  <si>
    <t xml:space="preserve">Master of Arts in Strategic Communication and Digital Strategy</t>
  </si>
  <si>
    <t xml:space="preserve">M611, M859</t>
  </si>
  <si>
    <t xml:space="preserve">pooled via PROGRAM_KEY siblings | RESOLVED via temporal-cutover check on the raw enrollment data: M611 ('Journalism &amp; Mass Comm-OL') has 63 distinct students, first-terms 202020 (30) and 202030 (32), then drains to a single straggler at 202110. M859 ('Strat Comm &amp; Digital Strat-OL') begins at exactly 202110 with a full new cohort of 75 students and continues every term through 202530 -- zero terms of concurrent admission under both codes. That is the rename signature (a clean one-term handoff), not two products running side by side, so M611 is pooled back in as the predecessor code for the same online program. The current registrar catalog listing both an online JMC MA (M611) and StratComm MA (M859) as separate active offerings reflects today's catalog, not the 2020-21 state when this enrollment data shows the actual cutover; M611's online section appears to have been discontinued and folded into M859 at that point.</t>
  </si>
  <si>
    <t xml:space="preserve">M202</t>
  </si>
  <si>
    <t xml:space="preserve">Master of Clinical Mental Health Counseling</t>
  </si>
  <si>
    <t xml:space="preserve">M246</t>
  </si>
  <si>
    <t xml:space="preserve">Master of Construction Business</t>
  </si>
  <si>
    <t xml:space="preserve">M297</t>
  </si>
  <si>
    <t xml:space="preserve">Master of Econometrics</t>
  </si>
  <si>
    <t xml:space="preserve">M383</t>
  </si>
  <si>
    <t xml:space="preserve">Master of Entrepreneurship &amp; Innovation</t>
  </si>
  <si>
    <t xml:space="preserve">M518</t>
  </si>
  <si>
    <t xml:space="preserve">Master of Environmental Science: Hydrology and Water Security</t>
  </si>
  <si>
    <t xml:space="preserve">M368</t>
  </si>
  <si>
    <t xml:space="preserve">Master of Legal Studies - Energy</t>
  </si>
  <si>
    <t xml:space="preserve">AMBIGUOUS: shares known-name 'Energy &amp; Natural Resources Law - Resident' with target(s) ['M355']; using exact code only</t>
  </si>
  <si>
    <t xml:space="preserve">M636</t>
  </si>
  <si>
    <t xml:space="preserve">Master of Legal Studies - General</t>
  </si>
  <si>
    <t xml:space="preserve">M503</t>
  </si>
  <si>
    <t xml:space="preserve">Master of Legal Studies - Healthcare Law</t>
  </si>
  <si>
    <t xml:space="preserve">AMBIGUOUS: shares known-name 'Healthcare Law - Resident' with target(s) ['M504']; using exact code only</t>
  </si>
  <si>
    <t xml:space="preserve">M522</t>
  </si>
  <si>
    <t xml:space="preserve">Master of Legal Studies - Indigenous Peoples Law</t>
  </si>
  <si>
    <t xml:space="preserve">AMBIGUOUS: shares known-name 'Indigenous Peoples Law - Resident' with target(s) ['M526']; using exact code only</t>
  </si>
  <si>
    <t xml:space="preserve">M589</t>
  </si>
  <si>
    <t xml:space="preserve">Master of Legal Studies - International Business</t>
  </si>
  <si>
    <t xml:space="preserve">AMBIGUOUS: shares known-name 'International Business Law - Resident' with target(s) ['M592']; using exact code only</t>
  </si>
  <si>
    <t xml:space="preserve">M029</t>
  </si>
  <si>
    <t xml:space="preserve">Master of Science in Applied Computing</t>
  </si>
  <si>
    <t xml:space="preserve">M035</t>
  </si>
  <si>
    <t xml:space="preserve">Master of Science in Applied Statistics</t>
  </si>
  <si>
    <t xml:space="preserve">M145</t>
  </si>
  <si>
    <t xml:space="preserve">Master of Science in Business Analytics</t>
  </si>
  <si>
    <t xml:space="preserve">M191</t>
  </si>
  <si>
    <t xml:space="preserve">Master of Science in Civil Engineering</t>
  </si>
  <si>
    <t xml:space="preserve">F189, F191, M191</t>
  </si>
  <si>
    <t xml:space="preserve">M260</t>
  </si>
  <si>
    <t xml:space="preserve">Master of Science in Criminal Justice</t>
  </si>
  <si>
    <t xml:space="preserve">AMBIGUOUS: shares known-name 'Criminal Justice' with target(s) ['B647']; using exact code only</t>
  </si>
  <si>
    <t xml:space="preserve">M264</t>
  </si>
  <si>
    <t xml:space="preserve">Master of Science in Cybersecurity Leadership</t>
  </si>
  <si>
    <t xml:space="preserve">Updated to 30 per instruction (code M264, formerly M263)</t>
  </si>
  <si>
    <t xml:space="preserve">M374</t>
  </si>
  <si>
    <t xml:space="preserve">Master of Science in Engineering Leadership and Management</t>
  </si>
  <si>
    <t xml:space="preserve">Thin sample (&lt;30)</t>
  </si>
  <si>
    <t xml:space="preserve">M435</t>
  </si>
  <si>
    <t xml:space="preserve">Master of Science in Finance</t>
  </si>
  <si>
    <t xml:space="preserve">F435, M435</t>
  </si>
  <si>
    <t xml:space="preserve">M464</t>
  </si>
  <si>
    <t xml:space="preserve">Master of Science in Geospatial Technology</t>
  </si>
  <si>
    <t xml:space="preserve">M527</t>
  </si>
  <si>
    <t xml:space="preserve">Master of Science in Industrial and Systems Engineering</t>
  </si>
  <si>
    <t xml:space="preserve">M746</t>
  </si>
  <si>
    <t xml:space="preserve">Master of Science in Natural Gas Engineering and Management</t>
  </si>
  <si>
    <t xml:space="preserve">M861</t>
  </si>
  <si>
    <t xml:space="preserve">Master of Science in Supply Chain Management</t>
  </si>
  <si>
    <t xml:space="preserve">F861, M861</t>
  </si>
  <si>
    <t xml:space="preserve">M869</t>
  </si>
  <si>
    <t xml:space="preserve">Master of Science in Sustainability - Energy and Materials Mgmt</t>
  </si>
  <si>
    <t xml:space="preserve">M867</t>
  </si>
  <si>
    <t xml:space="preserve">Master of Science in Sustainable Architecture</t>
  </si>
  <si>
    <t xml:space="preserve">M844</t>
  </si>
  <si>
    <t xml:space="preserve">Master of Social Work</t>
  </si>
  <si>
    <t xml:space="preserve">1237Q</t>
  </si>
  <si>
    <t xml:space="preserve">Masters in Public Health</t>
  </si>
  <si>
    <t xml:space="preserve">M355</t>
  </si>
  <si>
    <t xml:space="preserve">Online LL.M. Energy and Natural Resources</t>
  </si>
  <si>
    <t xml:space="preserve">AMBIGUOUS: shares known-name 'Energy &amp; Natural Resources Law - Resident' with target(s) ['M368']; using exact code only</t>
  </si>
  <si>
    <t xml:space="preserve">M504</t>
  </si>
  <si>
    <t xml:space="preserve">Online LL.M. Healthcare Law</t>
  </si>
  <si>
    <t xml:space="preserve">AMBIGUOUS: shares known-name 'Healthcare Law - Resident' with target(s) ['M503']; using exact code only</t>
  </si>
  <si>
    <t xml:space="preserve">M526</t>
  </si>
  <si>
    <t xml:space="preserve">Online LL.M. Indigenous Peoples Law</t>
  </si>
  <si>
    <t xml:space="preserve">AMBIGUOUS: shares known-name 'Indigenous Peoples Law - Resident' with target(s) ['M522']; using exact code only</t>
  </si>
  <si>
    <t xml:space="preserve">M592</t>
  </si>
  <si>
    <t xml:space="preserve">Online LL.M. International Business</t>
  </si>
  <si>
    <t xml:space="preserve">AMBIGUOUS: shares known-name 'International Business Law - Resident' with target(s) ['M589']; using exact code only</t>
  </si>
  <si>
    <t xml:space="preserve">N @ T1 (mature)</t>
  </si>
  <si>
    <t xml:space="preserve">N @ T3 (mature)</t>
  </si>
  <si>
    <t xml:space="preserve">New Student Retention</t>
  </si>
  <si>
    <t xml:space="preserve">Sum CH Contribution</t>
  </si>
  <si>
    <t xml:space="preserve">Sum CH Weight (included terms)</t>
  </si>
  <si>
    <t xml:space="preserve">CH to Degree (reference only)</t>
  </si>
  <si>
    <t xml:space="preserve">Returning Student Retention</t>
  </si>
  <si>
    <t xml:space="preserve">LTR Factor (New x Returning)</t>
  </si>
  <si>
    <t xml:space="preserve">Floor Breach Term</t>
  </si>
  <si>
    <t xml:space="preserve">Not reached in observed data</t>
  </si>
  <si>
    <t xml:space="preserve"># Cohorts</t>
  </si>
  <si>
    <t xml:space="preserve"># Mature Cohorts</t>
  </si>
  <si>
    <t xml:space="preserve">Pooled S(T3)</t>
  </si>
  <si>
    <t xml:space="preserve">Simple-Avg S(T3)</t>
  </si>
  <si>
    <t xml:space="preserve">Difference (Pooled - Simple Avg)</t>
  </si>
  <si>
    <t xml:space="preserve">Cross-check vs Method A</t>
  </si>
  <si>
    <t xml:space="preserve">n/a</t>
  </si>
  <si>
    <t xml:space="preserve">Matches</t>
  </si>
  <si>
    <t xml:space="preserve">1550C — Certificate in Population Health</t>
  </si>
  <si>
    <t xml:space="preserve">No mature-cohort data available for this program in the current pull.</t>
  </si>
  <si>
    <t xml:space="preserve">D318 — Ed.D. in Education Administration</t>
  </si>
  <si>
    <t xml:space="preserve">M366 — Executive MBA in Energy</t>
  </si>
  <si>
    <t xml:space="preserve">Relative Term</t>
  </si>
  <si>
    <t xml:space="preserve">N (mature-cohort rows)</t>
  </si>
  <si>
    <t xml:space="preserve">Avg Credit Hours</t>
  </si>
  <si>
    <t xml:space="preserve">Term-over-Term Retention</t>
  </si>
  <si>
    <t xml:space="preserve">Ratio vs Term 3</t>
  </si>
  <si>
    <t xml:space="preserve">Above Floor?</t>
  </si>
  <si>
    <t xml:space="preserve">CH Contribution</t>
  </si>
  <si>
    <t xml:space="preserve">—</t>
  </si>
  <si>
    <t xml:space="preserve">Yes</t>
  </si>
  <si>
    <t xml:space="preserve">No</t>
  </si>
  <si>
    <t xml:space="preserve">New Student Retention (Term 3 ÷ Term 1)</t>
  </si>
  <si>
    <t xml:space="preserve">Sum of CH Contributions (term 3 through cutoff, while above floor)</t>
  </si>
  <si>
    <t xml:space="preserve">Sum of Avg CH, included terms (averaging denominator)</t>
  </si>
  <si>
    <t xml:space="preserve">Credit Hours to Degree (reference only — not used below)</t>
  </si>
  <si>
    <t xml:space="preserve">Returning Student Retention (= CH Contributions ÷ Avg CH, included terms)</t>
  </si>
  <si>
    <t xml:space="preserve">First term floor was breached</t>
  </si>
  <si>
    <t xml:space="preserve">1231EX — Executive Masters in Health Administration</t>
  </si>
  <si>
    <t xml:space="preserve">M013 — Master of Accountancy</t>
  </si>
  <si>
    <t xml:space="preserve">M075 — Master of Arts in Art and Technology</t>
  </si>
  <si>
    <t xml:space="preserve">M073 — Master of Arts in Arts Management</t>
  </si>
  <si>
    <t xml:space="preserve">M494 — Master of Arts in Global Affairs</t>
  </si>
  <si>
    <t xml:space="preserve">M700 — Master of Arts in Museum Studies</t>
  </si>
  <si>
    <t xml:space="preserve">M762 — Master of Arts in Organizational Leadership</t>
  </si>
  <si>
    <t xml:space="preserve">M859 — Master of Arts in Strategic Communication and Digital Strategy</t>
  </si>
  <si>
    <t xml:space="preserve">M202 — Master of Clinical Mental Health Counseling</t>
  </si>
  <si>
    <t xml:space="preserve">M246 — Master of Construction Business</t>
  </si>
  <si>
    <t xml:space="preserve">M297 — Master of Econometrics</t>
  </si>
  <si>
    <t xml:space="preserve">M383 — Master of Entrepreneurship &amp; Innovation</t>
  </si>
  <si>
    <t xml:space="preserve">M518 — Master of Environmental Science: Hydrology and Water Security</t>
  </si>
  <si>
    <t xml:space="preserve">M368 — Master of Legal Studies - Energy</t>
  </si>
  <si>
    <t xml:space="preserve">M636 — Master of Legal Studies - General</t>
  </si>
  <si>
    <t xml:space="preserve">M503 — Master of Legal Studies - Healthcare Law</t>
  </si>
  <si>
    <t xml:space="preserve">M522 — Master of Legal Studies - Indigenous Peoples Law</t>
  </si>
  <si>
    <t xml:space="preserve">M589 — Master of Legal Studies - International Business</t>
  </si>
  <si>
    <t xml:space="preserve">M029 — Master of Science in Applied Computing</t>
  </si>
  <si>
    <t xml:space="preserve">M035 — Master of Science in Applied Statistics</t>
  </si>
  <si>
    <t xml:space="preserve">M145 — Master of Science in Business Analytics</t>
  </si>
  <si>
    <t xml:space="preserve">M191 — Master of Science in Civil Engineering</t>
  </si>
  <si>
    <t xml:space="preserve">M260 — Master of Science in Criminal Justice</t>
  </si>
  <si>
    <t xml:space="preserve">M264 — Master of Science in Cybersecurity Leadership</t>
  </si>
  <si>
    <t xml:space="preserve">M374 — Master of Science in Engineering Leadership and Management</t>
  </si>
  <si>
    <t xml:space="preserve">M435 — Master of Science in Finance</t>
  </si>
  <si>
    <t xml:space="preserve">M464 — Master of Science in Geospatial Technology</t>
  </si>
  <si>
    <t xml:space="preserve">M527 — Master of Science in Industrial and Systems Engineering</t>
  </si>
  <si>
    <t xml:space="preserve">M746 — Master of Science in Natural Gas Engineering and Management</t>
  </si>
  <si>
    <t xml:space="preserve">M861 — Master of Science in Supply Chain Management</t>
  </si>
  <si>
    <t xml:space="preserve">M869 — Master of Science in Sustainability - Energy and Materials Mgmt</t>
  </si>
  <si>
    <t xml:space="preserve">M867 — Master of Science in Sustainable Architecture</t>
  </si>
  <si>
    <t xml:space="preserve">M844 — Master of Social Work</t>
  </si>
  <si>
    <t xml:space="preserve">1237Q — Masters in Public Health</t>
  </si>
  <si>
    <t xml:space="preserve">M355 — Online LL.M. Energy and Natural Resources</t>
  </si>
  <si>
    <t xml:space="preserve">M504 — Online LL.M. Healthcare Law</t>
  </si>
  <si>
    <t xml:space="preserve">M526 — Online LL.M. Indigenous Peoples Law</t>
  </si>
  <si>
    <t xml:space="preserve">M592 — Online LL.M. International Business</t>
  </si>
  <si>
    <t xml:space="preserve">No cohort data available for this program in the current pull.</t>
  </si>
  <si>
    <t xml:space="preserve">Cohort</t>
  </si>
  <si>
    <t xml:space="preserve">Order</t>
  </si>
  <si>
    <t xml:space="preserve">Mature?</t>
  </si>
  <si>
    <t xml:space="preserve">N @ T1</t>
  </si>
  <si>
    <t xml:space="preserve">N</t>
  </si>
  <si>
    <t xml:space="preserve">Pooled S(t) — student-weighted (mature)</t>
  </si>
  <si>
    <t xml:space="preserve">Simple Average S(t) — cohort-weighted (mature)</t>
  </si>
  <si>
    <t xml:space="preserve">Cross-check @ Term 3: Pooled=n/a  |  n/a</t>
  </si>
  <si>
    <t xml:space="preserve">Y</t>
  </si>
  <si>
    <t xml:space="preserve">Cross-check @ Term 3: Pooled=97.3%  |  Matches Method A</t>
  </si>
  <si>
    <t xml:space="preserve">Cross-check @ Term 3: Pooled=69.1%  |  Matches Method A</t>
  </si>
  <si>
    <t xml:space="preserve">Cross-check @ Term 3: Pooled=69.2%  |  Matches Method A</t>
  </si>
  <si>
    <t xml:space="preserve">Cross-check @ Term 3: Pooled=77.5%  |  Matches Method A</t>
  </si>
  <si>
    <t xml:space="preserve">Cross-check @ Term 3: Pooled=53.2%  |  Matches Method A</t>
  </si>
  <si>
    <t xml:space="preserve">Cross-check @ Term 3: Pooled=65.4%  |  Matches Method A</t>
  </si>
  <si>
    <t xml:space="preserve">Cross-check @ Term 3: Pooled=57.0%  |  Matches Method A</t>
  </si>
  <si>
    <t xml:space="preserve">Cross-check @ Term 3: Pooled=81.2%  |  Matches Method A</t>
  </si>
  <si>
    <t xml:space="preserve">Cross-check @ Term 3: Pooled=78.8%  |  Matches Method A</t>
  </si>
  <si>
    <t xml:space="preserve">Cross-check @ Term 3: Pooled=87.0%  |  Matches Method A</t>
  </si>
  <si>
    <t xml:space="preserve">Cross-check @ Term 3: Pooled=72.4%  |  Matches Method A</t>
  </si>
  <si>
    <t xml:space="preserve">Cross-check @ Term 3: Pooled=70.7%  |  Matches Method A</t>
  </si>
  <si>
    <t xml:space="preserve">Cross-check @ Term 3: Pooled=73.4%  |  Matches Method A</t>
  </si>
  <si>
    <t xml:space="preserve">Cross-check @ Term 3: Pooled=67.8%  |  Matches Method A</t>
  </si>
  <si>
    <t xml:space="preserve">Cross-check @ Term 3: Pooled=70.6%  |  Matches Method A</t>
  </si>
  <si>
    <t xml:space="preserve">Cross-check @ Term 3: Pooled=42.9%  |  Matches Method A</t>
  </si>
  <si>
    <t xml:space="preserve">Cross-check @ Term 3: Pooled=61.0%  |  Matches Method A</t>
  </si>
  <si>
    <t xml:space="preserve">Cross-check @ Term 3: Pooled=83.4%  |  Matches Method A</t>
  </si>
  <si>
    <t xml:space="preserve">Cross-check @ Term 3: Pooled=55.5%  |  Matches Method A</t>
  </si>
  <si>
    <t xml:space="preserve">Cross-check @ Term 3: Pooled=79.2%  |  Matches Method A</t>
  </si>
  <si>
    <t xml:space="preserve">Cross-check @ Term 3: Pooled=74.4%  |  Matches Method A</t>
  </si>
  <si>
    <t xml:space="preserve">Cross-check @ Term 3: Pooled=69.9%  |  Matches Method A</t>
  </si>
  <si>
    <t xml:space="preserve">Cross-check @ Term 3: Pooled=59.3%  |  Matches Method A</t>
  </si>
  <si>
    <t xml:space="preserve">Cross-check @ Term 3: Pooled=65.9%  |  Matches Method A</t>
  </si>
  <si>
    <t xml:space="preserve">Cross-check @ Term 3: Pooled=81.8%  |  Matches Method A</t>
  </si>
  <si>
    <t xml:space="preserve">Cross-check @ Term 3: Pooled=61.5%  |  Matches Method A</t>
  </si>
  <si>
    <t xml:space="preserve">Cross-check @ Term 3: Pooled=75.0%  |  Matches Method A</t>
  </si>
  <si>
    <t xml:space="preserve">Cross-check @ Term 3: Pooled=77.2%  |  Matches Method A</t>
  </si>
  <si>
    <t xml:space="preserve">Cross-check @ Term 3: Pooled=44.4%  |  Matches Method A</t>
  </si>
  <si>
    <t xml:space="preserve">Cross-check @ Term 3: Pooled=33.3%  |  Matches Method A</t>
  </si>
  <si>
    <t xml:space="preserve">Cross-check @ Term 3: Pooled=36.8%  |  Matches Method A</t>
  </si>
  <si>
    <t xml:space="preserve">Cross-check @ Term 3: Pooled=50.0%  |  Matches Method A</t>
  </si>
  <si>
    <t xml:space="preserve">Current-Year Tracker — leading indicator, layered on top of the historical view above</t>
  </si>
  <si>
    <t xml:space="preserve">Method A/B (previous sheets) can only judge a cohort once it's mature (≥9 terms elapsed) — by nature, a lagging view. This sheet tracks whatever a program's newest cohorts have shown so far, against that program's own historical benchmark, to flag deterioration before it would show up as a bad Early Persistence number two terms from now.</t>
  </si>
  <si>
    <t xml:space="preserve">Current-year terms tracked</t>
  </si>
  <si>
    <t xml:space="preserve">202520, 202530, 202610</t>
  </si>
  <si>
    <t xml:space="preserve">Deterioration flag threshold</t>
  </si>
  <si>
    <t xml:space="preserve">Flag fires when a current cohort's step ratio runs this many points or more below the historical mature-cohort benchmark for that same step.</t>
  </si>
  <si>
    <t xml:space="preserve">Thin-sample threshold (students at T1)</t>
  </si>
  <si>
    <t xml:space="preserve">Watch List — flagged current-cohort steps this run</t>
  </si>
  <si>
    <t xml:space="preserve">Program</t>
  </si>
  <si>
    <t xml:space="preserve">Historical Quadrant</t>
  </si>
  <si>
    <t xml:space="preserve">Cohort (Entry Term)</t>
  </si>
  <si>
    <t xml:space="preserve">Flagged Step</t>
  </si>
  <si>
    <t xml:space="preserve">Current Value</t>
  </si>
  <si>
    <t xml:space="preserve">Historical Benchmark</t>
  </si>
  <si>
    <t xml:space="preserve">Δ (pp)</t>
  </si>
  <si>
    <t xml:space="preserve">Thin Sample?</t>
  </si>
  <si>
    <t xml:space="preserve">Early Risk</t>
  </si>
  <si>
    <t xml:space="preserve">T1→T2</t>
  </si>
  <si>
    <t xml:space="preserve">Not screened (below viability threshold)</t>
  </si>
  <si>
    <t xml:space="preserve">Double Risk</t>
  </si>
  <si>
    <t xml:space="preserve">Healthy</t>
  </si>
  <si>
    <t xml:space="preserve">T2→T3</t>
  </si>
  <si>
    <t xml:space="preserve">3 additional program(s) showed a flagged step this run but are left off this Watch List because their own historical benchmark rests on fewer than 30 mature-cohort students — comparing a new cohort against a benchmark that thin is noise, not signal. They're still shown, fully transparently, in the per-program detail below.</t>
  </si>
  <si>
    <t xml:space="preserve">Per-program detail — last three entering cohorts</t>
  </si>
  <si>
    <t xml:space="preserve">1550C — Certificate in Population Health  |  Historical quadrant: Not screened (below viability threshold)</t>
  </si>
  <si>
    <t xml:space="preserve">No current-year cohort data available (no new entrants tracked in the last 3 terms for this program).</t>
  </si>
  <si>
    <t xml:space="preserve">D318 — Ed.D. in Education Administration  |  Historical quadrant: Not screened (below viability threshold)</t>
  </si>
  <si>
    <t xml:space="preserve">Historical benchmark (pooled mature cohorts)</t>
  </si>
  <si>
    <t xml:space="preserve">Benchmark thin (&lt;30)</t>
  </si>
  <si>
    <t xml:space="preserve">Entry Term</t>
  </si>
  <si>
    <t xml:space="preserve">Δ vs Hist. (pp)</t>
  </si>
  <si>
    <t xml:space="preserve">T1→T3 (Early Persistence)</t>
  </si>
  <si>
    <t xml:space="preserve">M366 — Executive MBA in Energy  |  Historical quadrant: Healthy</t>
  </si>
  <si>
    <t xml:space="preserve">Thin (&lt;30)</t>
  </si>
  <si>
    <t xml:space="preserve">1231EX — Executive Masters in Health Administration  |  Historical quadrant: Not screened (below viability threshold)</t>
  </si>
  <si>
    <t xml:space="preserve">M013 — Master of Accountancy  |  Historical quadrant: Double Risk</t>
  </si>
  <si>
    <t xml:space="preserve">M075 — Master of Arts in Art and Technology  |  Historical quadrant: Double Risk</t>
  </si>
  <si>
    <t xml:space="preserve">M073 — Master of Arts in Arts Management  |  Historical quadrant: Not screened (below viability threshold)</t>
  </si>
  <si>
    <t xml:space="preserve">M494 — Master of Arts in Global Affairs  |  Historical quadrant: Double Risk</t>
  </si>
  <si>
    <t xml:space="preserve">M700 — Master of Arts in Museum Studies  |  Historical quadrant: Double Risk</t>
  </si>
  <si>
    <t xml:space="preserve">M762 — Master of Arts in Organizational Leadership  |  Historical quadrant: Double Risk</t>
  </si>
  <si>
    <t xml:space="preserve">M859 — Master of Arts in Strategic Communication and Digital Strategy  |  Historical quadrant: Healthy</t>
  </si>
  <si>
    <t xml:space="preserve">M202 — Master of Clinical Mental Health Counseling  |  Historical quadrant: Post-T3 Risk</t>
  </si>
  <si>
    <t xml:space="preserve">M246 — Master of Construction Business  |  Historical quadrant: Healthy</t>
  </si>
  <si>
    <t xml:space="preserve">M297 — Master of Econometrics  |  Historical quadrant: Not screened (below viability threshold)</t>
  </si>
  <si>
    <t xml:space="preserve">M383 — Master of Entrepreneurship &amp; Innovation  |  Historical quadrant: Not screened (below viability threshold)</t>
  </si>
  <si>
    <t xml:space="preserve">M518 — Master of Environmental Science: Hydrology and Water Security  |  Historical quadrant: Healthy</t>
  </si>
  <si>
    <t xml:space="preserve">M368 — Master of Legal Studies - Energy  |  Historical quadrant: Early Risk</t>
  </si>
  <si>
    <t xml:space="preserve">M636 — Master of Legal Studies - General  |  Historical quadrant: Not screened (below viability threshold)</t>
  </si>
  <si>
    <t xml:space="preserve">M503 — Master of Legal Studies - Healthcare Law  |  Historical quadrant: Healthy</t>
  </si>
  <si>
    <t xml:space="preserve">M522 — Master of Legal Studies - Indigenous Peoples Law  |  Historical quadrant: Healthy</t>
  </si>
  <si>
    <t xml:space="preserve">M589 — Master of Legal Studies - International Business  |  Historical quadrant: Healthy</t>
  </si>
  <si>
    <t xml:space="preserve">M029 — Master of Science in Applied Computing  |  Historical quadrant: Not screened (below viability threshold)</t>
  </si>
  <si>
    <t xml:space="preserve">M035 — Master of Science in Applied Statistics  |  Historical quadrant: Not screened (below viability threshold)</t>
  </si>
  <si>
    <t xml:space="preserve">M145 — Master of Science in Business Analytics  |  Historical quadrant: Double Risk</t>
  </si>
  <si>
    <t xml:space="preserve">M191 — Master of Science in Civil Engineering  |  Historical quadrant: Healthy</t>
  </si>
  <si>
    <t xml:space="preserve">M260 — Master of Science in Criminal Justice  |  Historical quadrant: Early Risk</t>
  </si>
  <si>
    <t xml:space="preserve">M264 — Master of Science in Cybersecurity Leadership  |  Historical quadrant: Not screened (below viability threshold)</t>
  </si>
  <si>
    <t xml:space="preserve">M374 — Master of Science in Engineering Leadership and Management  |  Historical quadrant: Not screened (below viability threshold)</t>
  </si>
  <si>
    <t xml:space="preserve">M435 — Master of Science in Finance  |  Historical quadrant: Healthy</t>
  </si>
  <si>
    <t xml:space="preserve">M464 — Master of Science in Geospatial Technology  |  Historical quadrant: Early Risk</t>
  </si>
  <si>
    <t xml:space="preserve">M527 — Master of Science in Industrial and Systems Engineering  |  Historical quadrant: Double Risk</t>
  </si>
  <si>
    <t xml:space="preserve">M746 — Master of Science in Natural Gas Engineering and Management  |  Historical quadrant: Post-T3 Risk</t>
  </si>
  <si>
    <t xml:space="preserve">M861 — Master of Science in Supply Chain Management  |  Historical quadrant: Healthy</t>
  </si>
  <si>
    <t xml:space="preserve">M869 — Master of Science in Sustainability - Energy and Materials Mgmt  |  Historical quadrant: Not screened (below viability threshold)</t>
  </si>
  <si>
    <t xml:space="preserve">M867 — Master of Science in Sustainable Architecture  |  Historical quadrant: Not screened (below viability threshold)</t>
  </si>
  <si>
    <t xml:space="preserve">M844 — Master of Social Work  |  Historical quadrant: Post-T3 Risk</t>
  </si>
  <si>
    <t xml:space="preserve">1237Q — Masters in Public Health  |  Historical quadrant: Not screened (below viability threshold)</t>
  </si>
  <si>
    <t xml:space="preserve">M355 — Online LL.M. Energy and Natural Resources  |  Historical quadrant: Not screened (below viability threshold)</t>
  </si>
  <si>
    <t xml:space="preserve">M504 — Online LL.M. Healthcare Law  |  Historical quadrant: Not screened (below viability threshold)</t>
  </si>
  <si>
    <t xml:space="preserve">M526 — Online LL.M. Indigenous Peoples Law  |  Historical quadrant: Not screened (below viability threshold)</t>
  </si>
  <si>
    <t xml:space="preserve">M592 — Online LL.M. International Business  |  Historical quadrant: Not screened (below viability threshold)</t>
  </si>
  <si>
    <t xml:space="preserve">Headcount Waterfall — mature-cohort population, Term 1 through the last term reached</t>
  </si>
  <si>
    <t xml:space="preserve">Real observed counts, not a re-derived curve — this is the same pooled mature-cohort term-by-term count that both Method A's New Student Retention and Method B's Pooled S(t) are built from. Shaded rows mark where a program first drops below 20% of its own Term-3 base.</t>
  </si>
  <si>
    <t xml:space="preserve">All 41 Graduate Programs — Combined</t>
  </si>
  <si>
    <t xml:space="preserve">Caveat: this combined curve pools relative terms across all 41 programs regardless of length or credit-hours-to-degree, so "relative term 5" blends a program built to finish in 30 credit hours with one built to take 60 -- they are at very different points in their own lifecycle at the same relative term. Treat this as a rough portfolio-wide shape only; the real, decision-grade signal is in the per-program curves below, not this aggregate.</t>
  </si>
  <si>
    <t xml:space="preserve">Headcount (N)</t>
  </si>
  <si>
    <t xml:space="preserve">Change from Prior Term</t>
  </si>
  <si>
    <t xml:space="preserve">% of Term 1 Remaining</t>
  </si>
  <si>
    <t xml:space="preserve">Above 20% Floor?</t>
  </si>
  <si>
    <t xml:space="preserve">Summary</t>
  </si>
  <si>
    <t xml:space="preserve">T1=5841  →  T18=3</t>
  </si>
  <si>
    <t xml:space="preserve">T1=112  →  T11=1</t>
  </si>
  <si>
    <t xml:space="preserve">T1=272  →  T16=1</t>
  </si>
  <si>
    <t xml:space="preserve">T1=146  →  T13=1</t>
  </si>
  <si>
    <t xml:space="preserve">T1=80  →  T9=2</t>
  </si>
  <si>
    <t xml:space="preserve">T1=248  →  T17=1</t>
  </si>
  <si>
    <t xml:space="preserve">T1=474  →  T15=1</t>
  </si>
  <si>
    <t xml:space="preserve">T1=505  →  T17=1</t>
  </si>
  <si>
    <t xml:space="preserve">T1=256  →  T16=1</t>
  </si>
  <si>
    <t xml:space="preserve">T1=240  →  T12=1</t>
  </si>
  <si>
    <t xml:space="preserve">T1=115  →  T15=1</t>
  </si>
  <si>
    <t xml:space="preserve">T1=254  →  T16=1</t>
  </si>
  <si>
    <t xml:space="preserve">T1=82  →  T13=1</t>
  </si>
  <si>
    <t xml:space="preserve">T1=428  →  T13=1</t>
  </si>
  <si>
    <t xml:space="preserve">T1=566  →  T18=1</t>
  </si>
  <si>
    <t xml:space="preserve">T1=68  →  T10=1</t>
  </si>
  <si>
    <t xml:space="preserve">T1=49  →  T9=2</t>
  </si>
  <si>
    <t xml:space="preserve">T1=77  →  T10=1</t>
  </si>
  <si>
    <t xml:space="preserve">T1=145  →  T16=1</t>
  </si>
  <si>
    <t xml:space="preserve">T1=218  →  T13=1</t>
  </si>
  <si>
    <t xml:space="preserve">T1=24  →  T7=0</t>
  </si>
  <si>
    <t xml:space="preserve">T1=262  →  T14=1</t>
  </si>
  <si>
    <t xml:space="preserve">T1=103  →  T11=2</t>
  </si>
  <si>
    <t xml:space="preserve">T1=91  →  T14=1</t>
  </si>
  <si>
    <t xml:space="preserve">T1=88  →  T10=1</t>
  </si>
  <si>
    <t xml:space="preserve">T1=26  →  T8=1</t>
  </si>
  <si>
    <t xml:space="preserve">T1=20  →  T7=0</t>
  </si>
  <si>
    <t xml:space="preserve">T1=771  →  T18=2</t>
  </si>
  <si>
    <t xml:space="preserve">T1=9  →  T4=4</t>
  </si>
  <si>
    <t xml:space="preserve">T1=9  →  T4=3</t>
  </si>
  <si>
    <t xml:space="preserve">T1=19  →  T10=1</t>
  </si>
  <si>
    <t xml:space="preserve">T1=2  →  T4=0</t>
  </si>
  <si>
    <t xml:space="preserve">LTR Waterfall — New Student (T1→T3) vs Returning Student (T4→last term, anchored at T3)</t>
  </si>
  <si>
    <t xml:space="preserve">Same headcount curve as Method A / the Headcount Waterfall sheet, split at the exact boundary the LTR formula uses: New Student Retention runs Term 1 to Term 3. Returning Student Retention is re-based to the population at Term 3 (not Term 1) — and, per the Read Me correction, its floor test and credit-hour weighting now start counting AT Term 3 itself, not Term 4; see 'Above 20% Floor?' below, which now starts one column earlier.</t>
  </si>
  <si>
    <t xml:space="preserve">New Student (T1 → T3)</t>
  </si>
  <si>
    <t xml:space="preserve">Returning Student (T4 → T18 — population anchored at T3)</t>
  </si>
  <si>
    <t xml:space="preserve">% of Segment Base (T1 for New, T3 for Returning)</t>
  </si>
  <si>
    <t xml:space="preserve">New Student Retention (T3÷T1)</t>
  </si>
  <si>
    <t xml:space="preserve">Returning Student Retention (credit-hour weighted)</t>
  </si>
  <si>
    <t xml:space="preserve">n/a — aggregate; credit hours to degree differ by program</t>
  </si>
  <si>
    <t xml:space="preserve">LTR Factor (New × Returning)</t>
  </si>
  <si>
    <t xml:space="preserve">n/a — aggregate</t>
  </si>
  <si>
    <t xml:space="preserve">Returning Student (T4 → T11 — population anchored at T3)</t>
  </si>
  <si>
    <t xml:space="preserve">Above 20% Floor? (Returning basis, starts at T3)</t>
  </si>
  <si>
    <t xml:space="preserve">Returning Student (T4 → T16 — population anchored at T3)</t>
  </si>
  <si>
    <t xml:space="preserve">Returning Student (T4 → T13 — population anchored at T3)</t>
  </si>
  <si>
    <t xml:space="preserve">Returning Student (T4 → T9 — population anchored at T3)</t>
  </si>
  <si>
    <t xml:space="preserve">Returning Student (T4 → T17 — population anchored at T3)</t>
  </si>
  <si>
    <t xml:space="preserve">Returning Student (T4 → T15 — population anchored at T3)</t>
  </si>
  <si>
    <t xml:space="preserve">Returning Student (T4 → T12 — population anchored at T3)</t>
  </si>
  <si>
    <t xml:space="preserve">Returning Student (T4 → T10 — population anchored at T3)</t>
  </si>
  <si>
    <t xml:space="preserve">Returning Student (T4 → T7 — population anchored at T3)</t>
  </si>
  <si>
    <t xml:space="preserve">Returning Student (T4 → T14 — population anchored at T3)</t>
  </si>
  <si>
    <t xml:space="preserve">Returning Student (T4 → T8 — population anchored at T3)</t>
  </si>
  <si>
    <t xml:space="preserve">Returning Student (T4 → T4 — population anchored at T3)</t>
  </si>
  <si>
    <t xml:space="preserve">Term-to-Term Waterfall — New Student LTR Retention Lifecycle, T1 through the last term reached</t>
  </si>
  <si>
    <t xml:space="preserve">Same headcount curve as Method A / the Headcount Waterfall sheet, shown as one continuous lifecycle rather than split into New/Returning segments — each term's retention is measured against the term immediately before it (T2÷T1, T3÷T2, T4÷T3, etc.). Note: Method A's 20% floor test runs on a different ratio — the cumulative count vs. the Term-3 base, shown on the LTR Waterfall sheet — not on this term-over-term figure.</t>
  </si>
  <si>
    <t xml:space="preserve">Term to Term Retention by Program (T2÷T1, T3÷T2, T4÷T3, etc.)</t>
  </si>
  <si>
    <t xml:space="preserve">Term-to-Term Retention</t>
  </si>
  <si>
    <t xml:space="preserve">Program LTR Retention — cohort vintage triangle, observed data only (201930–202530)</t>
  </si>
  <si>
    <t xml:space="preserve">Same layout as the example you shared: calendar terms across the columns, one row per entering cohort starting on its own diagonal. Every cell here is a real observed count, reconstructed from that cohort's own survival curve on Method B - Detail — nothing projected, nothing assumed.</t>
  </si>
  <si>
    <t xml:space="preserve">Vintage ↓ / Calendar Term →</t>
  </si>
  <si>
    <t xml:space="preserve">Total Enrolled (all cohorts)</t>
  </si>
  <si>
    <t xml:space="preserve">LTR Lifecycle (Proforma) — same triangle, extended 6 terms into the future as a stated-assumption forecast</t>
  </si>
  <si>
    <t xml:space="preserve">Shaded, italic cells (and 'assumed' vintage rows) are projected, not observed — everything else is the same real data as Program LTR Retention. Existing cohorts are projected forward using this program's own validated term-over-term retention curve (holding the last observed rate flat once a projection runs past any cohort's actual history); new cohorts are assumed to keep entering each future term, sized at the recent actual average shown per program below. Treat this sheet as a forecast to stress-test, not a committed number.</t>
  </si>
  <si>
    <t xml:space="preserve">Assumed future intake per new cohort: 5 students (avg. of last 3 actual entering classes)</t>
  </si>
  <si>
    <t xml:space="preserve">202620</t>
  </si>
  <si>
    <t xml:space="preserve">202630</t>
  </si>
  <si>
    <t xml:space="preserve">202710</t>
  </si>
  <si>
    <t xml:space="preserve">202720</t>
  </si>
  <si>
    <t xml:space="preserve">202730</t>
  </si>
  <si>
    <t xml:space="preserve">202810</t>
  </si>
  <si>
    <t xml:space="preserve">202620 (assumed)</t>
  </si>
  <si>
    <t xml:space="preserve">202630 (assumed)</t>
  </si>
  <si>
    <t xml:space="preserve">202710 (assumed)</t>
  </si>
  <si>
    <t xml:space="preserve">202720 (assumed)</t>
  </si>
  <si>
    <t xml:space="preserve">202730 (assumed)</t>
  </si>
  <si>
    <t xml:space="preserve">202810 (assumed)</t>
  </si>
  <si>
    <t xml:space="preserve">Assumed future intake per new cohort: 19 students (avg. of last 3 actual entering classes)</t>
  </si>
  <si>
    <t xml:space="preserve">Assumed future intake per new cohort: 15 students (avg. of last 3 actual entering classes)</t>
  </si>
  <si>
    <t xml:space="preserve">Assumed future intake per new cohort: 26 students (avg. of last 3 actual entering classes)</t>
  </si>
  <si>
    <t xml:space="preserve">Assumed future intake per new cohort: 14 students (avg. of last 3 actual entering classes)</t>
  </si>
  <si>
    <t xml:space="preserve">Assumed future intake per new cohort: 39 students (avg. of last 3 actual entering classes)</t>
  </si>
  <si>
    <t xml:space="preserve">Assumed future intake per new cohort: 35 students (avg. of last 3 actual entering classes)</t>
  </si>
  <si>
    <t xml:space="preserve">Assumed future intake per new cohort: 13 students (avg. of last 3 actual entering classes)</t>
  </si>
  <si>
    <t xml:space="preserve">Assumed future intake per new cohort: 30 students (avg. of last 3 actual entering classes)</t>
  </si>
  <si>
    <t xml:space="preserve">Assumed future intake per new cohort: 11 students (avg. of last 3 actual entering classes)</t>
  </si>
  <si>
    <t xml:space="preserve">Assumed future intake per new cohort: 20 students (avg. of last 3 actual entering classes)</t>
  </si>
  <si>
    <t xml:space="preserve">Assumed future intake per new cohort: 4 students (avg. of last 3 actual entering classes)</t>
  </si>
  <si>
    <t xml:space="preserve">Assumed future intake per new cohort: 3 students (avg. of last 3 actual entering classes)</t>
  </si>
  <si>
    <t xml:space="preserve">Assumed future intake per new cohort: 17 students (avg. of last 3 actual entering classes)</t>
  </si>
  <si>
    <t xml:space="preserve">Assumed future intake per new cohort: 33 students (avg. of last 3 actual entering classes)</t>
  </si>
  <si>
    <t xml:space="preserve">Assumed future intake per new cohort: 34 students (avg. of last 3 actual entering classes)</t>
  </si>
  <si>
    <t xml:space="preserve">Assumed future intake per new cohort: 16 students (avg. of last 3 actual entering classes)</t>
  </si>
  <si>
    <t xml:space="preserve">Assumed future intake per new cohort: 7 students (avg. of last 3 actual entering classes)</t>
  </si>
  <si>
    <t xml:space="preserve">Assumed future intake per new cohort: 61 students (avg. of last 3 actual entering classes)</t>
  </si>
  <si>
    <t xml:space="preserve">Assumed future intake per new cohort: 1 students (avg. of last 3 actual entering classes)</t>
  </si>
  <si>
    <t xml:space="preserve">Assumed future intake per new cohort: 2 students (avg. of last 3 actual entering classes)</t>
  </si>
  <si>
    <t xml:space="preserve">Comparison &amp; Findings — All 41 Graduate Programs</t>
  </si>
  <si>
    <t xml:space="preserve">Method A New Student Retention vs Method B Pooled/Simple-Avg S(T3) vs the Revenue model's own pooled T→T+1 rate.</t>
  </si>
  <si>
    <t xml:space="preserve">Method A New Retention</t>
  </si>
  <si>
    <t xml:space="preserve">Method B Pooled S(T3)</t>
  </si>
  <si>
    <t xml:space="preserve">Method B Simple-Avg S(T3)</t>
  </si>
  <si>
    <t xml:space="preserve">Revenue Model Pooled Rate</t>
  </si>
  <si>
    <t xml:space="preserve">Findings</t>
  </si>
  <si>
    <t xml:space="preserve">Every cross-check passed — Method A and Method B agree exactly for all 30 programs with data</t>
  </si>
  <si>
    <t xml:space="preserve">Method A's New Student Retention and Method B's Pooled S(T3) are two different computational paths to the same definition (student-weighted T1→T3 presence among mature cohorts), and they reconciled to the decimal for every one of the 30 programs that has any mature-cohort data. That's a strong internal-consistency signal for the pipeline itself — the divergence between methods people actually care about (pooled vs. simple-average) shows up cleanly without being muddied by a computation bug.</t>
  </si>
  <si>
    <t xml:space="preserve">9 of 41 graduate programs have zero mature-cohort data; 7 more are thin-sample (&lt;30 at T1)</t>
  </si>
  <si>
    <t xml:space="preserve">That leaves only about half the graduate portfolio (roughly a dozen-plus programs) with genuinely decision-grade sample sizes right now. The zero-data programs are the same new/renumbered-away programs already flagged in the Portfolio Screen (e.g. M867, M297, D318, M264, M029, M374, the three health-cluster programs, M636, M383) — this is a second, independent confirmation of that gap, not a new problem.</t>
  </si>
  <si>
    <t xml:space="preserve">Pooled and Simple-Average diverge by 5–11 points for several programs — lopsided cohort sizes are the cause</t>
  </si>
  <si>
    <t xml:space="preserve">Arts Management (−10.9pp), Environmental Science: Hydrology (−9.3pp), Business Analytics (−8.7pp), Social Work (−7.1pp), and Global Affairs (−6.8pp) all show Simple-Average sitting well above Pooled — meaning their smaller/older cohorts persisted better than their more recent, larger intakes. Pooled is dragged down by size; Simple-Average treats every cohort equally regardless of size. For these programs specifically, the choice of aggregation method meaningfully changes the headline number — unlike Accounting, where the pilot found this choice was low-stakes. That earlier finding does not generalize across the portfolio; each program needs its own check before you pick one convention for all of them.</t>
  </si>
  <si>
    <t xml:space="preserve">Method A's New Retention runs BELOW the Revenue model's own pooled rate for almost every program — by design, not error</t>
  </si>
  <si>
    <t xml:space="preserve">For 27 of the 30 programs with data, this workbook's New Student Retention (a strict Term-1→Term-3 measure on new cohorts only) is lower than the Revenue model assumption sheet's empirical rate (a single pooled rate across EVERY consecutive term-pair, new and continuing students alike, 5–18 transitions of history). That's expected: continuing students further into a program tend to persist term-over-term better than students in their first two terms, so a rate that blends all of them in will run higher than one anchored specifically on new-cohort early attrition. The two numbers answer different questions — the Revenue model's rate is closer to average, whole book of business retention; this model's rate is specifically about the new-student funnel. The 3 biggest gaps: Museum Studies (48.7% vs 74.9%, −26pp), Global Affairs (47.6% vs 64.1%, −16pp), and Criminal Justice (53.8% vs 65.4%, −12pp) — worth a closer look at whether these programs specifically lose students hardest in the first two terms.</t>
  </si>
  <si>
    <t xml:space="preserve">Returning Student Retention is now a credit-hour-weighted average, not scaled by program length</t>
  </si>
  <si>
    <t xml:space="preserve">As of the correction below, Returning Student Retention is a credit-hour-weighted average of each included term's own retention ratio — it no longer divides by the program's Credit Hours to Degree, so a shorter program (e.g. the 24-CH Online LL.M.s) is no longer structurally advantaged over a longer one (e.g. the 60-CH Social Work / Clinical Mental Health Counseling programs) the way the prior version was. It's still most meaningful compared within a program over time rather than ranked head-to-head across programs with very different term-by-term shapes — but program length itself no longer drives the gap.</t>
  </si>
  <si>
    <t xml:space="preserve">This build pools Accounting's M002 + M012 (Advanced Standing) + M013 — differs from the earlier single-program pilot by design</t>
  </si>
  <si>
    <t xml:space="preserve">Same note as in the Portfolio Screen: the earlier Accounting-only pilot deliberately excluded the Advanced-Standing track (M012) to get the cleanest possible single-track read. This build matches how the Revenue model tracks Accounting as one row, so its 58.5% New Retention here is not directly comparable to the pilot's 67.7% — different population, same math.</t>
  </si>
  <si>
    <t xml:space="preserve">Revenue Outlook — Tuition revenue lost to imperfect retention, per graduate program</t>
  </si>
  <si>
    <t xml:space="preserve">LTR now uses the Direct survival-curve method (adopted per your review): Price/Credit × Σ over terms of [share of the Term-1 cohort still enrolled × average credits taken that term], truncated once cohort share first drops below the 12% LTR-inclusion floor (latched). This replaces the earlier cascading (New Retention × Returning Retention) formula. Tuition Cost, Degree Credit Hours, and New Starts are sourced live from Rev_Forecast_Model_final.xlsx; the survival curve and per-term credit loads are this workbook's own raw persistence data. Bad Debt Loss is excluded. See the Read Me for the full formula and the evidence behind the 12% floor.</t>
  </si>
  <si>
    <t xml:space="preserve">Degree Credit Hours</t>
  </si>
  <si>
    <t xml:space="preserve">Tuition Cost
(per Student)</t>
  </si>
  <si>
    <t xml:space="preserve">New Starts
(Fall 2026)</t>
  </si>
  <si>
    <t xml:space="preserve">Revenue
(Program Total)</t>
  </si>
  <si>
    <t xml:space="preserve">Expected CH/Student
(Direct, @12% floor)</t>
  </si>
  <si>
    <t xml:space="preserve">LTR as % of Tuition
(Direct)</t>
  </si>
  <si>
    <t xml:space="preserve">Revenue Loss
(Program Total)</t>
  </si>
  <si>
    <t xml:space="preserve">LTR
(Program Total)</t>
  </si>
  <si>
    <t xml:space="preserve">Tuition Owed, Pending Clearance — Summer 2026 (Informational only)</t>
  </si>
  <si>
    <t xml:space="preserve">From the Su26 Cognos Final Clearance List: 31 students across our 41 tracked programs met their degree requirements this term but have not had their degree posted because they owe tuition ('Will Graduate — Owes Tuition'). This is a count only -- the source list does not carry a dollar amount owed per student, so no revenue figure is estimated here. Not included in Revenue Loss, LTR, or any retention figure above or elsewhere in this workbook.</t>
  </si>
  <si>
    <t xml:space="preserve">Su26 Students Owing Tuition</t>
  </si>
  <si>
    <t xml:space="preserve">Total</t>
  </si>
  <si>
    <t xml:space="preserve">FY Trend — New Student % vs Continuing Student %, by fiscal year</t>
  </si>
  <si>
    <t xml:space="preserve">New Student % = Term-1→Term-3 survival for the class that first enrolled in that fiscal year (Method A's own definition, pooled by entry FY instead of pooled across all history). Continuing Student % = credit-hour-weighted retention of that same class beyond Term 3 (same 20% floor as Method A). FY runs July–June. Recent fiscal years' Continuing% rest on fewer observed terms than older ones — see the 'Terms Observed' row and the Read Me note before reading a rising trend as pure improvement. FY2026 is the latest complete fiscal year. Yellow = thin sample (fewer than 30 eligible students that FY). Orange = a later term's headcount exceeded its own Term-3 base (usually a stop-out student re-enrolling) — mathematically valid, just something a small per-FY cohort can show that a full-history pool essentially never does; not capped, so the number is never silently altered.</t>
  </si>
  <si>
    <t xml:space="preserve">Portfolio-Wide (All 41 Graduate Programs)</t>
  </si>
  <si>
    <t xml:space="preserve">Metric</t>
  </si>
  <si>
    <t xml:space="preserve">FY2021</t>
  </si>
  <si>
    <t xml:space="preserve">FY2022</t>
  </si>
  <si>
    <t xml:space="preserve">FY2023</t>
  </si>
  <si>
    <t xml:space="preserve">FY2024</t>
  </si>
  <si>
    <t xml:space="preserve">FY2025</t>
  </si>
  <si>
    <t xml:space="preserve">FY2026</t>
  </si>
  <si>
    <t xml:space="preserve">New Student %</t>
  </si>
  <si>
    <t xml:space="preserve">Continuing Student %</t>
  </si>
  <si>
    <t xml:space="preserve">Terms Observed (Continuing%)</t>
  </si>
  <si>
    <t xml:space="preserve">Eligible Students at Term 1 (n)</t>
  </si>
  <si>
    <t xml:space="preserve">Per-Program Detail</t>
  </si>
  <si>
    <t xml:space="preserve">New%</t>
  </si>
  <si>
    <t xml:space="preserve">Cont%</t>
  </si>
  <si>
    <t xml:space="preserve">FY Outlook — 3-Year Rolling vs. FY2026 vs. FY2027 (Projected)</t>
  </si>
  <si>
    <t xml:space="preserve">3-Yr Rolling Avg = average of FY2024-FY2026. FY2026 = latest complete fiscal year (observed). FY2027 = straight-line (least-squares) extrapolation of each series' fiscal-year history, clipped to 0-100%, shown only where at least 3 fiscal years of data exist — otherwise 'Insufficient trend data'. FY2027 is a projection, not an observed result (only Fall 2026 of its three terms exists so far) — shown shaded and italicized, the same convention used for every other projected figure in this workbook. Use it for goal-setting discussion, not as a forecast commitment. See the Read Me for the Continuing% maturity-artifact caution before setting a target off its trend.</t>
  </si>
  <si>
    <t xml:space="preserve">3-Yr Rolling Avg
(FY24-26)</t>
  </si>
  <si>
    <t xml:space="preserve">FY2026
(Latest Complete)</t>
  </si>
  <si>
    <t xml:space="preserve">FY2027
(Projected)</t>
  </si>
  <si>
    <t xml:space="preserve">Insufficient data</t>
  </si>
  <si>
    <t xml:space="preserve">TRIAL, APPROXIMATE — Margin-Adjusted LTR vs. CAC</t>
  </si>
  <si>
    <t xml:space="preserve">Why this sheet exists: 'CAC &amp; LTR Data (Trial)' and the matrix compare GROSS tuition revenue to paid-media spend — a real number, but not the margin-based LTV:CAC the 3:1 benchmark is built for. This sheet applies a rough cost-to-deliver proxy so you can see how much of that gross picture survives on a margin basis. Proxy: FY25 program-level (Dept OPEX + Elsmere/EAB) expense ÷ FY25 program revenue, from the Financial Viability file's own 'P&amp;L - Oct 2025' sheet (matched to our 41 programs by name — 28 of 41 matched; the rest are other Norman -OL programs outside this workbook's scope, listed below). That expense ratio is applied to each program's per-student Direct-method LTR to get an approximate margin LTR/student.</t>
  </si>
  <si>
    <t xml:space="preserve">Read this as a FLOOR, not a final number, in both directions: (1) Dept OPEX is an average cost that already includes fixed overhead the program is currently covering — the incremental cost of one more student is almost always lower than this average, so this proxy UNDERSTATES true marginal margin. (2) CAC itself is still paid-media spend only (see the CAC-scope check below) — a fully-loaded acquisition cost would push CAC up and every multiple on this sheet down further. Neither has been reviewed by Finance or Marketing Ops — treat every number below as directional, pending that confirmation, not as what goes in front of the Board.</t>
  </si>
  <si>
    <t xml:space="preserve">CAC
($/student, media-only)</t>
  </si>
  <si>
    <t xml:space="preserve">Gross LTR
/Student</t>
  </si>
  <si>
    <t xml:space="preserve">Gross Revenue
Multiple</t>
  </si>
  <si>
    <t xml:space="preserve">FY25 Program
Revenue</t>
  </si>
  <si>
    <t xml:space="preserve">FY25 Program
Cost (proxy)</t>
  </si>
  <si>
    <t xml:space="preserve">Approx.
Margin %</t>
  </si>
  <si>
    <t xml:space="preserve">Approx. Margin
LTR/Student</t>
  </si>
  <si>
    <t xml:space="preserve">Approx. Margin
Multiple</t>
  </si>
  <si>
    <t xml:space="preserve">No CAC/LTR</t>
  </si>
  <si>
    <t xml:space="preserve">Of 24 programs with a full margin read: 2 show a NEGATIVE approximate margin (FY25 program cost exceeded FY25 program revenue on this proxy) and 10 fall below a 1:1 margin multiple — several of these look comfortably 'Financial Health' on the gross view. Red text flags both.</t>
  </si>
  <si>
    <t xml:space="preserve">Programs in the P&amp;L file NOT matched to one of our 41 (other Norman -OL graduate programs outside this workbook's scope, or too uncertain a name match to assert): Computer Science, Data Science, EACS, EMAD, Health &amp; Human Services Administration, Human Relations, Instructional Leadership, Integrative Studies, Native American Studies, Online MBA, Prevention Science.</t>
  </si>
  <si>
    <t xml:space="preserve">CAC-scope check: FY26 Media spend vs. FY25 P&amp;L 'Marketing' line, same program</t>
  </si>
  <si>
    <t xml:space="preserve">Two different files, two different answers for 'what did this program spend to market itself.' Until Finance/Marketing Ops confirms which scope is right (or that both are legitimately partial views of a larger total), neither CAC figure in this workbook should be called fully-loaded.</t>
  </si>
  <si>
    <t xml:space="preserve">FY26 Media Spend
(Follow the Lead)</t>
  </si>
  <si>
    <t xml:space="preserve">FY25 P&amp;L
'Marketing' Line</t>
  </si>
  <si>
    <t xml:space="preserve">Gap (x)</t>
  </si>
  <si>
    <t xml:space="preserve">Median gap across 27 matched programs: 10.5x (Media spend higher than the P&amp;L 'Marketing' line).</t>
  </si>
  <si>
    <t xml:space="preserve">(chart data)</t>
  </si>
  <si>
    <t xml:space="preserve">Gross Revenue Multiple</t>
  </si>
  <si>
    <t xml:space="preserve">Approx. Margin Multiple</t>
  </si>
  <si>
    <t xml:space="preserve">TRIAL — FY Trend, Maturity-Matched (Continuing% Reality Check)</t>
  </si>
  <si>
    <t xml:space="preserve">Why this sheet exists: on 'FY Trend - New vs Continuing,' each fiscal year's Continuing% uses however many terms have been observed so far for that year's entering class (disclosed there via the 'Terms Observed' row) -- so FY2026 (2 terms observed) is measured much earlier in its lifecycle than FY2021 (5 terms observed), and retention mechanically declines with more terms observed. That makes the rising trend shown there partly a maturity artifact, not pure improvement. This sheet re-measures every fiscal year at the SAME number of terms elapsed so the comparison is apples-to-apples. New% is not affected by any of this -- it is always Term1-&gt;Term3 for every FY already.</t>
  </si>
  <si>
    <t xml:space="preserve">Two matched cuts, because one horizon can't answer both questions. Cut A matches all 6 fiscal years at 4 terms elapsed -- the only depth the brand-new FY2026 cohort has reached -- to test whether FY2026's headline number is provably better than history this early (it isn't: every FY looks ~98-100% this early, because almost no decay has had time to happen for anyone yet). Cut B drops FY2026 (too immature) and matches FY2021-FY2025 at 7 terms elapsed instead, for a more informative read on whether the underlying multi-year trend is real.</t>
  </si>
  <si>
    <t xml:space="preserve">Portfolio-Wide Continuing% — Original vs. Matched</t>
  </si>
  <si>
    <t xml:space="preserve">Fiscal Year</t>
  </si>
  <si>
    <t xml:space="preserve">Original
(as observed so far)</t>
  </si>
  <si>
    <t xml:space="preserve">Cut A
(matched @ 4 terms, all 6 FYs)</t>
  </si>
  <si>
    <t xml:space="preserve">Cut B
(matched @ 7 terms, FY21-25 only)</t>
  </si>
  <si>
    <t xml:space="preserve">Gray cell = FY2026 hasn't reached 7 terms elapsed yet, so it can't be included in Cut B (shown as a gap in the chart below, not a zero).</t>
  </si>
  <si>
    <t xml:space="preserve">Bottom line: FY2026's standalone 80.2% cannot yet be shown to beat history -- at the same very early point (4 terms in), every fiscal year in this book looks like ~98-100%, since almost none of them have had time to decay yet either. But the underlying FY2021-FY2025 trend DOES hold up on an apples-to-apples 7-term view -- 67.4% -&gt; 70.9% -&gt; 70.2% -&gt; 71.3% -&gt; 76.5% -- a real, not purely mechanical, improvement across those five years. FY2026 will need another 2-3 terms of data before we can say whether it continues that climb or settles back toward the FY2021-2024 range.</t>
  </si>
  <si>
    <t xml:space="preserve">Per-Program Detail — Cut B Continuing% (matched @ 7 terms, FY2021-FY2025 only)</t>
  </si>
  <si>
    <t xml:space="preserve">Same matched-maturity logic applied per program, so a program's own year-over-year comparison is fair too. FY2026 omitted here (not mature enough at any program to include in Cut B).</t>
  </si>
  <si>
    <t xml:space="preserve">TRIAL — LTR-to-CAC Portfolio View (Norman Graduate Programs)</t>
  </si>
  <si>
    <t xml:space="preserve">This sheet and 'LTR vs CAC Matrix' are a TRIAL, added at your request to test whether this view is useful — they do not change anything in the persistence/LTR model itself, and nothing here feeds back into any other sheet in this workbook. LTR/Student is the same Direct-method figure already on Revenue Outlook (unchanged, read-only). CAC = FY26 'Using Follow the Lead' direct marketing spend (from 'OU Online FY26 Media August 2026.xlsx') ÷ FY26 gross New Starts (a straight count of distinct students who first entered that program in FY2026, from this workbook's own raw data — not the same 'New Starts' figure used on Revenue Outlook, which is a single-term, forward-looking model estimate rather than a FY26 actual count).</t>
  </si>
  <si>
    <t xml:space="preserve">Two things to know before reading this as decision-grade, not just directional: (1) 'Revenue Multiple' below is GROSS tuition revenue ÷ CAC — it is NOT a margin-based LTV:CAC, so the standard '3:1 is healthy' benchmark does not apply to it. See 'Margin View (Trial, Approx.)' for a rough margin-adjusted cut using program-level cost data. (2) CAC here is FY26 paid-media spend only — the Financial Viability file's own P&amp;L has a separate 'Marketing' expense line for the same programs that disagrees with it by a wide margin (median ~10x, up to ~170x for one program). Neither has been confirmed by Finance/Marketing Ops as fully-loaded — see 'Margin View (Trial, Approx.)' for the side-by-side.</t>
  </si>
  <si>
    <t xml:space="preserve">Quadrant labels (this version): re-cut around the four strategic actions you asked for — Max Spend / Evaluate Spend &amp; Channel Strategy / Throttle Spend — Fix Persistence / Sunset Candidates — using the SAME median-CAC/median-LTR split as before, recomputed on 23 programs after excluding M366 (Executive MBA in Energy) as a chart-only outlier (see 'LTR vs CAC Matrix' sheet). One program's quadrant shifted as a result of the recomputed median: M859 — sitting almost exactly on the new LTR median, so treat that one as a borderline call, not a firm read.</t>
  </si>
  <si>
    <t xml:space="preserve">Coverage: the Media file has no marketing-spend row at all for the 4 College of Law LL.M./Legal Studies programs' Law-only siblings and the 3 Health-campus programs (Certificate in Population Health, Executive Masters in Health Administration, Masters in Public Health) plus 5 Legal Studies programs — 12 of our 41 programs have NO CAC figure here and are excluded from the matrix, not assumed to be zero-cost. A further 5 programs have FY26 marketing spend but haven't reached a mature enough cohort yet for a Direct-method LTR figure. Both groups are listed below with the rest, flagged rather than hidden.</t>
  </si>
  <si>
    <t xml:space="preserve">FY26 New Starts
(Gross)</t>
  </si>
  <si>
    <t xml:space="preserve">CAC
($/student)</t>
  </si>
  <si>
    <t xml:space="preserve">LTR/Student
(Direct method)</t>
  </si>
  <si>
    <t xml:space="preserve">Revenue Multiple
(Gross LTR ÷ CAC)</t>
  </si>
  <si>
    <t xml:space="preserve">Quadrant
(Strategic Action)</t>
  </si>
  <si>
    <t xml:space="preserve">Coverage Note</t>
  </si>
  <si>
    <t xml:space="preserve">Throttle Spend — Fix Persistence</t>
  </si>
  <si>
    <t xml:space="preserve">Max Spend</t>
  </si>
  <si>
    <t xml:space="preserve">Evaluate Spend &amp; Channel Strategy</t>
  </si>
  <si>
    <t xml:space="preserve">Excluded from chart (outlier — see Matrix sheet)</t>
  </si>
  <si>
    <t xml:space="preserve">Sunset Candidates</t>
  </si>
  <si>
    <t xml:space="preserve">Not in matrix</t>
  </si>
  <si>
    <t xml:space="preserve">No mature-cohort LTR yet</t>
  </si>
  <si>
    <t xml:space="preserve">No CAC data (Law/Health, not in Media file)</t>
  </si>
  <si>
    <t xml:space="preserve">Median CAC (of 23 charted programs, excl. M366): $3,598</t>
  </si>
  <si>
    <t xml:space="preserve">Median LTR/Student (of 23 charted programs, excl. M366): $23,181</t>
  </si>
  <si>
    <t xml:space="preserve">Revenue Multiple is gross-tuition-based (see note above) — see 'Margin View (Trial, Approx.)' for the margin-adjusted read.</t>
  </si>
  <si>
    <t xml:space="preserve">Media-file rows not matched to our 41 programs (undergraduate degrees, ADC/PACS certificate programs out of this workbook's current scope, and a few programs not in our 41) are omitted from this table entirely rather than shown as zero — see build script for the full list if needed.</t>
  </si>
  <si>
    <t xml:space="preserve">TRIAL — LTR vs. CAC Strategic Matrix, Norman Graduate Programs (FY26)</t>
  </si>
  <si>
    <t xml:space="preserve">Redesigned per your review: X-axis is now LTR (low-&gt;high, left-&gt;right), Y-axis is CAC but INVERTED (low CAC at top, high CAC at bottom), so the best unit economics sit in the TOP-RIGHT. Quadrant lines are drawn at the median LTR ($23,181) and median CAC ($3,598) across the 23 programs plotted below. Executive MBA in Energy (M366) is EXCLUDED from this chart — its Direct-method LTR ($85,313) is roughly double the next-highest program's, which compressed the other 23 points into one corner; its row and quadrant are still in 'CAC &amp; LTR Data (Trial).' See 'Margin View (Trial, Approx.)' for why a program's position here can look stronger than its margin-adjusted economics.</t>
  </si>
  <si>
    <t xml:space="preserve">(chart data — quadrant-split for coloring)</t>
  </si>
  <si>
    <t xml:space="preserve">Max Spend - Code</t>
  </si>
  <si>
    <t xml:space="preserve">Max Spend - LTR</t>
  </si>
  <si>
    <t xml:space="preserve">Max Spend - CAC</t>
  </si>
  <si>
    <t xml:space="preserve">Evaluate Spend &amp; Channel Strategy - Code</t>
  </si>
  <si>
    <t xml:space="preserve">Evaluate Spend &amp; Channel Strategy - LTR</t>
  </si>
  <si>
    <t xml:space="preserve">Evaluate Spend &amp; Channel Strategy - CAC</t>
  </si>
  <si>
    <t xml:space="preserve">Throttle Spend — Fix Persistence - Code</t>
  </si>
  <si>
    <t xml:space="preserve">Throttle Spend — Fix Persistence - LTR</t>
  </si>
  <si>
    <t xml:space="preserve">Throttle Spend — Fix Persistence - CAC</t>
  </si>
  <si>
    <t xml:space="preserve">Sunset Candidates - Code</t>
  </si>
  <si>
    <t xml:space="preserve">Sunset Candidates - LTR</t>
  </si>
  <si>
    <t xml:space="preserve">Sunset Candidates - CAC</t>
  </si>
  <si>
    <t xml:space="preserve">vline_x</t>
  </si>
  <si>
    <t xml:space="preserve">vline_y</t>
  </si>
  <si>
    <t xml:space="preserve">hline_x</t>
  </si>
  <si>
    <t xml:space="preserve">hline_y</t>
  </si>
  <si>
    <t xml:space="preserve">What each quadrant means (matches the chart's layout)</t>
  </si>
  <si>
    <t xml:space="preserve">← Low LTR</t>
  </si>
  <si>
    <t xml:space="preserve">High LTR →</t>
  </si>
  <si>
    <t xml:space="preserve">↑ Low CAC</t>
  </si>
  <si>
    <t xml:space="preserve">THROTTLE SPEND — FIX PERSISTENCE</t>
  </si>
  <si>
    <t xml:space="preserve">MAX SPEND</t>
  </si>
  <si>
    <t xml:space="preserve">↓ High CAC</t>
  </si>
  <si>
    <t xml:space="preserve">SUNSET CANDIDATES</t>
  </si>
  <si>
    <t xml:space="preserve">EVALUATE SPEND &amp; CHANNEL STRATEGY</t>
  </si>
  <si>
    <t xml:space="preserve">  </t>
  </si>
  <si>
    <t xml:space="preserve">High LTR, low CAC — the best unit economics in the portfolio. Protect and grow marketing budget here; look for scale opportunity.</t>
  </si>
  <si>
    <t xml:space="preserve">High LTR, high CAC — valuable programs, but expensive to acquire. Evaluate spend and channel strategy, and look at conversion barriers (admissions friction, lockstep terms) before assuming the spend itself is the problem.</t>
  </si>
  <si>
    <t xml:space="preserve">Low LTR, low CAC — cheap to acquire, but revenue per student is thin. Throttle spend until persistence barriers (the reason LTR is low) are identified and addressed — more spend here just buys more of a leaky bucket.</t>
  </si>
  <si>
    <t xml:space="preserve">Low LTR, high CAC — the worst unit economics: expensive to acquire, low revenue per student once acquired. Highest-priority programs to ask how quickly they can be sunset or fundamentally restructured.</t>
  </si>
  <si>
    <t xml:space="preserve">Headcount by Program × Year</t>
  </si>
  <si>
    <t xml:space="preserve">Total enrolled per program per OU academic year (term-code prefix). AY×××× = Fall ×××× + Spring &amp; Summer (××××+1). Rolls up “HC by Program-Term”. 2019 (Summer 2020 only) and 2026 (Fall 2026 only) are partial — the data window is 201930–202610. “—” = no term-level data in source.</t>
  </si>
  <si>
    <t xml:space="preserve">Program Code</t>
  </si>
  <si>
    <t xml:space="preserve">All programs (total)</t>
  </si>
  <si>
    <t xml:space="preserve">Headcount by Program × Term</t>
  </si>
  <si>
    <t xml:space="preserve">Total enrolled students per program in each term. Live from 'Program LTR Retention' → Total Enrolled (all cohorts). Term code suffix: 10=Fall (yr=prefix), 20=Spring, 30=Summer (yr=prefix+1). “—” = no term-level enrollment triangle for that program in the source.</t>
  </si>
  <si>
    <t xml:space="preserve">Summer 2020</t>
  </si>
  <si>
    <t xml:space="preserve">Fall 2020</t>
  </si>
  <si>
    <t xml:space="preserve">Spring 2021</t>
  </si>
  <si>
    <t xml:space="preserve">Summer 2021</t>
  </si>
  <si>
    <t xml:space="preserve">Fall 2021</t>
  </si>
  <si>
    <t xml:space="preserve">Spring 2022</t>
  </si>
  <si>
    <t xml:space="preserve">Summer 2022</t>
  </si>
  <si>
    <t xml:space="preserve">Fall 2022</t>
  </si>
  <si>
    <t xml:space="preserve">Spring 2023</t>
  </si>
  <si>
    <t xml:space="preserve">Summer 2023</t>
  </si>
  <si>
    <t xml:space="preserve">Fall 2023</t>
  </si>
  <si>
    <t xml:space="preserve">Spring 2024</t>
  </si>
  <si>
    <t xml:space="preserve">Summer 2024</t>
  </si>
  <si>
    <t xml:space="preserve">Fall 2024</t>
  </si>
  <si>
    <t xml:space="preserve">Spring 2025</t>
  </si>
  <si>
    <t xml:space="preserve">Summer 2025</t>
  </si>
  <si>
    <t xml:space="preserve">Fall 2025</t>
  </si>
  <si>
    <t xml:space="preserve">Spring 2026</t>
  </si>
  <si>
    <t xml:space="preserve">Summer 2026</t>
  </si>
  <si>
    <t xml:space="preserve">Fall 2026</t>
  </si>
  <si>
    <t xml:space="preserve">Program Total</t>
  </si>
  <si>
    <t xml:space="preserve">Src Row †</t>
  </si>
  <si>
    <t xml:space="preserve">† Src Row = the row of that program’s “Total Enrolled (all cohorts)” line in 'Program LTR Retention' (structural pointer). Blank = program has no cohort/retention triangle there. If that sheet’s layout changes, update only this column.</t>
  </si>
  <si>
    <t xml:space="preserve">New vs Continuing Students × Year</t>
  </si>
  <si>
    <t xml:space="preserve">Academic-year roll-up of “New vs Continuing — Term” (AY prefix; 2019 &amp; 2026 partial). NEW = first-term entrants; CONTINUING = returning enrolled.</t>
  </si>
  <si>
    <t xml:space="preserve">NEW — first-term entrants</t>
  </si>
  <si>
    <t xml:space="preserve">CONTINUING — returning enrolled</t>
  </si>
  <si>
    <t xml:space="preserve">NEW total</t>
  </si>
  <si>
    <t xml:space="preserve">CONT total</t>
  </si>
  <si>
    <t xml:space="preserve">New vs Continuing Students × Term</t>
  </si>
  <si>
    <t xml:space="preserve">NEW = first-term entrants that term (cohort diagonal). CONTINUING = returning students enrolled that term (term total − new). NEW+CONT reconciles to “HC by Program-Term”. These are headcounts, not the model’s New/Returning *retention rates*. “—” = no cohort triangle in source.</t>
  </si>
  <si>
    <t xml:space="preserve">Graduation Lens</t>
  </si>
  <si>
    <t xml:space="preserve">IMPORTANT: this workbook is built from an ENROLLED-student report. A student’s record simply stops when they leave — and the data CANNOT tell graduation apart from withdrawal. Nothing below is an observed conferral count. Panels A–B are observed facts (exits = graduated OR withdrew, combined). Panel C is a MODELED proxy from the LTR engine’s own credit-hour figures, and is right-censored (students still enrolled keep accumulating), so it reads conservative. A true completion count needs the Summer-2026 clearance / Cognos completion file, which is not in this workbook.</t>
  </si>
  <si>
    <t xml:space="preserve">Panel A — Portfolio outflow by term (observed; graduation + withdrawal combined)</t>
  </si>
  <si>
    <t xml:space="preserve">Term</t>
  </si>
  <si>
    <t xml:space="preserve">Term code</t>
  </si>
  <si>
    <t xml:space="preserve">New (entrants)</t>
  </si>
  <si>
    <t xml:space="preserve">Continuing</t>
  </si>
  <si>
    <t xml:space="preserve">Total enrolled</t>
  </si>
  <si>
    <t xml:space="preserve">Exits vs prior term*</t>
  </si>
  <si>
    <t xml:space="preserve">* Exits = (enrolled the prior term) − (continuing this term). Negative = net stop-out re-entries exceeded departures.</t>
  </si>
  <si>
    <t xml:space="preserve">Panel B (observed) + Panel C (modeled) — per program</t>
  </si>
  <si>
    <t xml:space="preserve">Ever enrolled (Σ new entrants)</t>
  </si>
  <si>
    <t xml:space="preserve">Still enrolled Fall 2026</t>
  </si>
  <si>
    <t xml:space="preserve">Exited to date (grad OR withdrew)</t>
  </si>
  <si>
    <t xml:space="preserve">% exited</t>
  </si>
  <si>
    <t xml:space="preserve">CH to degree</t>
  </si>
  <si>
    <t xml:space="preserve">Exp. CH / new student</t>
  </si>
  <si>
    <t xml:space="preserve">Completion index (modeled)</t>
  </si>
  <si>
    <t xml:space="preserve">Modeled compl. rate</t>
  </si>
  <si>
    <t xml:space="preserve">New Student Retention (ref)</t>
  </si>
  <si>
    <t xml:space="preserve">Attrition / Leaver Analysis</t>
  </si>
  <si>
    <t xml:space="preserve">“Left” = a student’s enrolment record stopped — GRADUATED OR WITHDREW, combined (this data cannot separate them). A departure is attributed to the term a student was enrolled the prior term but did not return: Leavers(T) = enrolled(T−1) − continuing(T). Summed over all terms this equals “exited to date.” Negative = net stop-out re-entries exceeded departures. “%” is of ever-enrolled.</t>
  </si>
  <si>
    <t xml:space="preserve">①  WHERE students leave in their journey — portfolio tenure curve (all programs combined, by relative term)</t>
  </si>
  <si>
    <t xml:space="preserve">Relative term</t>
  </si>
  <si>
    <t xml:space="preserve">Enrolled (N)</t>
  </si>
  <si>
    <t xml:space="preserve">Left this step</t>
  </si>
  <si>
    <t xml:space="preserve">Step retention</t>
  </si>
  <si>
    <t xml:space="preserve">Hazard (left %)</t>
  </si>
  <si>
    <t xml:space="preserve">% of T1 remaining</t>
  </si>
  <si>
    <t xml:space="preserve">Common pattern (computed):</t>
  </si>
  <si>
    <t xml:space="preserve">②  Per-program leaver scorecard (totals + tenure signals)</t>
  </si>
  <si>
    <t xml:space="preserve">Ever enrolled</t>
  </si>
  <si>
    <t xml:space="preserve">Still enrolled (Fall 2026)</t>
  </si>
  <si>
    <t xml:space="preserve">Left (#)</t>
  </si>
  <si>
    <t xml:space="preserve">Left %</t>
  </si>
  <si>
    <t xml:space="preserve">Peak departure term</t>
  </si>
  <si>
    <t xml:space="preserve">Peak # that term</t>
  </si>
  <si>
    <t xml:space="preserve">Early attrition % (lost T1→T3)</t>
  </si>
  <si>
    <t xml:space="preserve">Floor-breach term (tenure)</t>
  </si>
  <si>
    <t xml:space="preserve">③  Year-over-year leavers (departure attributed to its academic year; AY2019 has no prior-term baseline)</t>
  </si>
  <si>
    <t xml:space="preserve">Total left</t>
  </si>
  <si>
    <t xml:space="preserve">④  Leavers by calendar term (the detailed “when” — drives ①peak &amp; ③YoY above)</t>
  </si>
  <si>
    <t xml:space="preserve">Fall headcount by program — all years</t>
  </si>
  <si>
    <t xml:space="preserve">Each program’s Fall-term enrolled headcount across every year in the data, pulled live from “HC by Program-Term”. “—” = no cohort data for that program.</t>
  </si>
  <si>
    <t xml:space="preserve">Peak</t>
  </si>
  <si>
    <t xml:space="preserve">Latest (Fall 2026)</t>
  </si>
  <si>
    <t xml:space="preserve">Δ first→latest</t>
  </si>
  <si>
    <t xml:space="preserve">Spring headcount by program — all years</t>
  </si>
  <si>
    <t xml:space="preserve">Each program’s Spring-term enrolled headcount across every year in the data, pulled live from “HC by Program-Term”. “—” = no cohort data for that program.</t>
  </si>
  <si>
    <t xml:space="preserve">Latest (Spring 2026)</t>
  </si>
  <si>
    <t xml:space="preserve">Summer headcount by program — all years</t>
  </si>
  <si>
    <t xml:space="preserve">Each program’s Summer-term enrolled headcount across every year in the data, pulled live from “HC by Program-Term”. “—” = no cohort data for that program.</t>
  </si>
  <si>
    <t xml:space="preserve">Latest (Summer 2026)</t>
  </si>
  <si>
    <t xml:space="preserve">Trends &amp; Risk Dashboard — Graduate Persistence</t>
  </si>
  <si>
    <t xml:space="preserve">Live from the enrolment sheets. Enrolment = students present per term/year (term-enrolment, not unduplicated). 2019 (Summer only) and 2026 (Fall only) are partial. Exits = graduated OR withdrew (combined). Tail = how long a cohort persists (Floor-Breach Term = the relative term a cohort thins below the 20% floor); read it against program length.</t>
  </si>
  <si>
    <t xml:space="preserve">Assumed CH/term load (editable):</t>
  </si>
  <si>
    <t xml:space="preserve">← drives “Normative terms” in the tail table</t>
  </si>
  <si>
    <t xml:space="preserve">①  What’s changing — portfolio KPIs</t>
  </si>
  <si>
    <t xml:space="preserve">Latest</t>
  </si>
  <si>
    <t xml:space="preserve">Prior</t>
  </si>
  <si>
    <t xml:space="preserve">Δ</t>
  </si>
  <si>
    <t xml:space="preserve">%Δ</t>
  </si>
  <si>
    <t xml:space="preserve">Enrolled — Fall (latest vs prior yr)</t>
  </si>
  <si>
    <t xml:space="preserve">Enrolled — full FY (2025 vs 2024)</t>
  </si>
  <si>
    <t xml:space="preserve">New starts — full FY (2025 vs 2024)</t>
  </si>
  <si>
    <t xml:space="preserve">Continuing — full FY (2025 vs 2024)</t>
  </si>
  <si>
    <t xml:space="preserve">Ever enrolled / Still enrolled / Exited (all-time)</t>
  </si>
  <si>
    <t xml:space="preserve">← latest=ever, prior=still, Δ=exited</t>
  </si>
  <si>
    <t xml:space="preserve">Programs growing / shrinking (FY2023→FY2025 enrolment)</t>
  </si>
  <si>
    <t xml:space="preserve">growing / shrinking</t>
  </si>
  <si>
    <t xml:space="preserve">③  Persistence tail — long-tail vs short-tail risk (does the tail make sense for the program?)</t>
  </si>
  <si>
    <t xml:space="preserve">N@T1 (mature)</t>
  </si>
  <si>
    <t xml:space="preserve">New Stud. Ret.</t>
  </si>
  <si>
    <t xml:space="preserve">Floor-breach term (tail length)</t>
  </si>
  <si>
    <t xml:space="preserve">Normative terms</t>
  </si>
  <si>
    <t xml:space="preserve">Tail ratio</t>
  </si>
  <si>
    <t xml:space="preserve">Tail class</t>
  </si>
  <si>
    <t xml:space="preserve">Tail read (interpretation)</t>
  </si>
  <si>
    <t xml:space="preserve">Check</t>
  </si>
  <si>
    <t xml:space="preserve">Tail-class counts:</t>
  </si>
  <si>
    <t xml:space="preserve">Flagged to check:</t>
  </si>
  <si>
    <t xml:space="preserve">Short</t>
  </si>
  <si>
    <t xml:space="preserve">Aligned</t>
  </si>
  <si>
    <t xml:space="preserve">Long (prolonged)</t>
  </si>
  <si>
    <t xml:space="preserve">Unresolved</t>
  </si>
  <si>
    <t xml:space="preserve">④  Trend difference across the terms/years — what changed &amp; what to check</t>
  </si>
  <si>
    <t xml:space="preserve">Year</t>
  </si>
  <si>
    <t xml:space="preserve">Enrolled</t>
  </si>
  <si>
    <t xml:space="preserve">New</t>
  </si>
  <si>
    <t xml:space="preserve">Exits</t>
  </si>
  <si>
    <t xml:space="preserve">Δ enrolled vs prior yr</t>
  </si>
  <si>
    <t xml:space="preserve">% Δ</t>
  </si>
  <si>
    <t xml:space="preserve">What to check</t>
  </si>
  <si>
    <t xml:space="preserve">Partial year — Summer term only; not comparable</t>
  </si>
  <si>
    <t xml:space="preserve">Partial year — Fall term only; new starts real, exits/continuing understated</t>
  </si>
  <si>
    <t xml:space="preserve">chart data (staging)</t>
  </si>
  <si>
    <t xml:space="preserve">Su20</t>
  </si>
  <si>
    <t xml:space="preserve">Fa20</t>
  </si>
  <si>
    <t xml:space="preserve">Sp21</t>
  </si>
  <si>
    <t xml:space="preserve">Su21</t>
  </si>
  <si>
    <t xml:space="preserve">Fa21</t>
  </si>
  <si>
    <t xml:space="preserve">Sp22</t>
  </si>
  <si>
    <t xml:space="preserve">Su22</t>
  </si>
  <si>
    <t xml:space="preserve">Fa22</t>
  </si>
  <si>
    <t xml:space="preserve">Sp23</t>
  </si>
  <si>
    <t xml:space="preserve">Su23</t>
  </si>
  <si>
    <t xml:space="preserve">Fa23</t>
  </si>
  <si>
    <t xml:space="preserve">Sp24</t>
  </si>
  <si>
    <t xml:space="preserve">Su24</t>
  </si>
  <si>
    <t xml:space="preserve">Fa24</t>
  </si>
  <si>
    <t xml:space="preserve">Sp25</t>
  </si>
  <si>
    <t xml:space="preserve">Su25</t>
  </si>
  <si>
    <t xml:space="preserve">Fa25</t>
  </si>
  <si>
    <t xml:space="preserve">Sp26</t>
  </si>
  <si>
    <t xml:space="preserve">Su26</t>
  </si>
  <si>
    <t xml:space="preserve">Fa26</t>
  </si>
  <si>
    <t xml:space="preserve">Programs</t>
  </si>
  <si>
    <t xml:space="preserve">Unresolved (never &lt;20%)</t>
  </si>
</sst>
</file>

<file path=xl/styles.xml><?xml version="1.0" encoding="utf-8"?>
<styleSheet xmlns="http://schemas.openxmlformats.org/spreadsheetml/2006/main">
  <numFmts count="13">
    <numFmt numFmtId="164" formatCode="General"/>
    <numFmt numFmtId="165" formatCode="0.0%"/>
    <numFmt numFmtId="166" formatCode="0.000"/>
    <numFmt numFmtId="167" formatCode="\T0"/>
    <numFmt numFmtId="168" formatCode="0%"/>
    <numFmt numFmtId="169" formatCode="\+0.0%;\-0.0%"/>
    <numFmt numFmtId="170" formatCode="#,##0"/>
    <numFmt numFmtId="171" formatCode="#,##0.0"/>
    <numFmt numFmtId="172" formatCode="0.00"/>
    <numFmt numFmtId="173" formatCode="#,##0;[RED]\(#,##0\)"/>
    <numFmt numFmtId="174" formatCode="0.0"/>
    <numFmt numFmtId="175" formatCode="\$#,##0"/>
    <numFmt numFmtId="176" formatCode="0"/>
  </numFmts>
  <fonts count="59">
    <font>
      <sz val="11"/>
      <color theme="1"/>
      <name val="Calibri"/>
      <family val="2"/>
      <charset val="1"/>
    </font>
    <font>
      <sz val="10"/>
      <name val="Arial"/>
      <family val="0"/>
    </font>
    <font>
      <sz val="10"/>
      <name val="Arial"/>
      <family val="0"/>
    </font>
    <font>
      <sz val="10"/>
      <name val="Arial"/>
      <family val="0"/>
    </font>
    <font>
      <b val="true"/>
      <sz val="14"/>
      <color rgb="FF000000"/>
      <name val="Arial"/>
      <family val="2"/>
      <charset val="1"/>
    </font>
    <font>
      <i val="true"/>
      <sz val="10"/>
      <color rgb="FF595959"/>
      <name val="Arial"/>
      <family val="2"/>
      <charset val="1"/>
    </font>
    <font>
      <sz val="10"/>
      <color rgb="FF000000"/>
      <name val="Arial"/>
      <family val="2"/>
      <charset val="1"/>
    </font>
    <font>
      <b val="true"/>
      <sz val="12"/>
      <color rgb="FF1F3864"/>
      <name val="Arial"/>
      <family val="2"/>
      <charset val="1"/>
    </font>
    <font>
      <b val="true"/>
      <sz val="12"/>
      <color rgb="FFC00000"/>
      <name val="Arial"/>
      <family val="2"/>
      <charset val="1"/>
    </font>
    <font>
      <b val="true"/>
      <sz val="14"/>
      <name val="Arial"/>
      <family val="2"/>
      <charset val="1"/>
    </font>
    <font>
      <b val="true"/>
      <sz val="10"/>
      <name val="Arial"/>
      <family val="2"/>
      <charset val="1"/>
    </font>
    <font>
      <sz val="10"/>
      <color rgb="FF0000FF"/>
      <name val="Arial"/>
      <family val="2"/>
      <charset val="1"/>
    </font>
    <font>
      <i val="true"/>
      <sz val="9"/>
      <color rgb="FF595959"/>
      <name val="Arial"/>
      <family val="2"/>
      <charset val="1"/>
    </font>
    <font>
      <i val="true"/>
      <sz val="9"/>
      <color rgb="FF7F7F7F"/>
      <name val="Arial"/>
      <family val="2"/>
      <charset val="1"/>
    </font>
    <font>
      <b val="true"/>
      <sz val="9"/>
      <color rgb="FFFFFFFF"/>
      <name val="Arial"/>
      <family val="2"/>
      <charset val="1"/>
    </font>
    <font>
      <sz val="9"/>
      <name val="Arial"/>
      <family val="2"/>
      <charset val="1"/>
    </font>
    <font>
      <b val="true"/>
      <sz val="11"/>
      <color rgb="FFFFFFFF"/>
      <name val="Arial"/>
      <family val="2"/>
      <charset val="1"/>
    </font>
    <font>
      <i val="true"/>
      <sz val="10"/>
      <color rgb="FF7F7F7F"/>
      <name val="Arial"/>
      <family val="2"/>
      <charset val="1"/>
    </font>
    <font>
      <sz val="9"/>
      <color rgb="FF000000"/>
      <name val="Arial"/>
      <family val="2"/>
      <charset val="1"/>
    </font>
    <font>
      <i val="true"/>
      <sz val="9"/>
      <color rgb="FFC00000"/>
      <name val="Arial"/>
      <family val="2"/>
      <charset val="1"/>
    </font>
    <font>
      <b val="true"/>
      <sz val="11"/>
      <color rgb="FF1F4E78"/>
      <name val="Arial"/>
      <family val="2"/>
      <charset val="1"/>
    </font>
    <font>
      <i val="true"/>
      <sz val="9"/>
      <color rgb="FF9C5700"/>
      <name val="Arial"/>
      <family val="2"/>
      <charset val="1"/>
    </font>
    <font>
      <i val="true"/>
      <sz val="9"/>
      <color rgb="FF5B2C8D"/>
      <name val="Arial"/>
      <family val="2"/>
      <charset val="1"/>
    </font>
    <font>
      <sz val="10"/>
      <name val="Arial"/>
      <family val="2"/>
      <charset val="1"/>
    </font>
    <font>
      <sz val="9"/>
      <color rgb="FFC00000"/>
      <name val="Arial"/>
      <family val="2"/>
      <charset val="1"/>
    </font>
    <font>
      <b val="true"/>
      <sz val="9"/>
      <name val="Arial"/>
      <family val="2"/>
      <charset val="1"/>
    </font>
    <font>
      <b val="true"/>
      <sz val="10"/>
      <color rgb="FFFFFFFF"/>
      <name val="Arial"/>
      <family val="2"/>
      <charset val="1"/>
    </font>
    <font>
      <i val="true"/>
      <sz val="9"/>
      <color rgb="FF808080"/>
      <name val="Arial"/>
      <family val="2"/>
      <charset val="1"/>
    </font>
    <font>
      <i val="true"/>
      <sz val="9"/>
      <name val="Arial"/>
      <family val="2"/>
      <charset val="1"/>
    </font>
    <font>
      <b val="true"/>
      <sz val="14"/>
      <color rgb="FF841617"/>
      <name val="Arial"/>
      <family val="2"/>
      <charset val="1"/>
    </font>
    <font>
      <b val="true"/>
      <i val="true"/>
      <sz val="9"/>
      <color rgb="FF841617"/>
      <name val="Arial"/>
      <family val="2"/>
      <charset val="1"/>
    </font>
    <font>
      <b val="true"/>
      <sz val="9"/>
      <color rgb="FFC00000"/>
      <name val="Arial"/>
      <family val="2"/>
      <charset val="1"/>
    </font>
    <font>
      <i val="true"/>
      <sz val="8"/>
      <color rgb="FF595959"/>
      <name val="Arial"/>
      <family val="2"/>
      <charset val="1"/>
    </font>
    <font>
      <b val="true"/>
      <sz val="9"/>
      <color rgb="FF1F3864"/>
      <name val="Arial"/>
      <family val="2"/>
      <charset val="1"/>
    </font>
    <font>
      <i val="true"/>
      <sz val="8"/>
      <color rgb="FF808080"/>
      <name val="Arial"/>
      <family val="2"/>
      <charset val="1"/>
    </font>
    <font>
      <b val="true"/>
      <sz val="18"/>
      <color rgb="FF000000"/>
      <name val="Calibri"/>
      <family val="2"/>
    </font>
    <font>
      <sz val="10"/>
      <color rgb="FF000000"/>
      <name val="Calibri"/>
      <family val="2"/>
    </font>
    <font>
      <b val="true"/>
      <sz val="10"/>
      <color rgb="FF000000"/>
      <name val="Calibri"/>
      <family val="2"/>
    </font>
    <font>
      <b val="true"/>
      <sz val="10"/>
      <color rgb="FF000000"/>
      <name val="Arial"/>
      <family val="2"/>
      <charset val="1"/>
    </font>
    <font>
      <b val="true"/>
      <sz val="14"/>
      <name val="Calibri"/>
      <family val="2"/>
      <charset val="1"/>
    </font>
    <font>
      <i val="true"/>
      <sz val="9"/>
      <color rgb="FF808080"/>
      <name val="Calibri"/>
      <family val="2"/>
      <charset val="1"/>
    </font>
    <font>
      <b val="true"/>
      <sz val="11"/>
      <color rgb="FFFFFFFF"/>
      <name val="Calibri"/>
      <family val="2"/>
      <charset val="1"/>
    </font>
    <font>
      <b val="true"/>
      <sz val="11"/>
      <name val="Calibri"/>
      <family val="2"/>
      <charset val="1"/>
    </font>
    <font>
      <sz val="11"/>
      <name val="Calibri"/>
      <family val="2"/>
      <charset val="1"/>
    </font>
    <font>
      <sz val="9"/>
      <color rgb="FFFFFFFF"/>
      <name val="Calibri"/>
      <family val="2"/>
      <charset val="1"/>
    </font>
    <font>
      <sz val="8"/>
      <color rgb="FFFFFFFF"/>
      <name val="Calibri"/>
      <family val="2"/>
      <charset val="1"/>
    </font>
    <font>
      <i val="true"/>
      <sz val="9"/>
      <color rgb="FFC00000"/>
      <name val="Calibri"/>
      <family val="2"/>
      <charset val="1"/>
    </font>
    <font>
      <b val="true"/>
      <sz val="12"/>
      <name val="Calibri"/>
      <family val="2"/>
      <charset val="1"/>
    </font>
    <font>
      <sz val="11"/>
      <color rgb="FF0000FF"/>
      <name val="Calibri"/>
      <family val="2"/>
      <charset val="1"/>
    </font>
    <font>
      <sz val="7"/>
      <color rgb="FFFFFFFF"/>
      <name val="Calibri"/>
      <family val="2"/>
      <charset val="1"/>
    </font>
    <font>
      <b val="true"/>
      <sz val="14"/>
      <name val="Calibri"/>
      <family val="0"/>
      <charset val="1"/>
    </font>
    <font>
      <i val="true"/>
      <sz val="9"/>
      <color rgb="FF808080"/>
      <name val="Calibri"/>
      <family val="0"/>
      <charset val="1"/>
    </font>
    <font>
      <b val="true"/>
      <sz val="11"/>
      <color rgb="FFFFFFFF"/>
      <name val="Calibri"/>
      <family val="0"/>
      <charset val="1"/>
    </font>
    <font>
      <b val="true"/>
      <sz val="11"/>
      <name val="Calibri"/>
      <family val="0"/>
      <charset val="1"/>
    </font>
    <font>
      <sz val="11"/>
      <name val="Calibri"/>
      <family val="0"/>
      <charset val="1"/>
    </font>
    <font>
      <b val="true"/>
      <sz val="15"/>
      <name val="Calibri"/>
      <family val="0"/>
      <charset val="1"/>
    </font>
    <font>
      <b val="true"/>
      <sz val="12"/>
      <name val="Calibri"/>
      <family val="0"/>
      <charset val="1"/>
    </font>
    <font>
      <sz val="9"/>
      <name val="Calibri"/>
      <family val="0"/>
      <charset val="1"/>
    </font>
    <font>
      <b val="true"/>
      <sz val="11"/>
      <color rgb="FFC00000"/>
      <name val="Calibri"/>
      <family val="0"/>
      <charset val="1"/>
    </font>
  </fonts>
  <fills count="26">
    <fill>
      <patternFill patternType="none"/>
    </fill>
    <fill>
      <patternFill patternType="gray125"/>
    </fill>
    <fill>
      <patternFill patternType="solid">
        <fgColor rgb="FFFFFF00"/>
        <bgColor rgb="FFFFE699"/>
      </patternFill>
    </fill>
    <fill>
      <patternFill patternType="solid">
        <fgColor rgb="FF1F4E78"/>
        <bgColor rgb="FF2E5395"/>
      </patternFill>
    </fill>
    <fill>
      <patternFill patternType="solid">
        <fgColor rgb="FFD9D9D9"/>
        <bgColor rgb="FFDCE6F1"/>
      </patternFill>
    </fill>
    <fill>
      <patternFill patternType="solid">
        <fgColor rgb="FFFFF2CC"/>
        <bgColor rgb="FFFCE4D6"/>
      </patternFill>
    </fill>
    <fill>
      <patternFill patternType="solid">
        <fgColor rgb="FF2E5395"/>
        <bgColor rgb="FF1F4E78"/>
      </patternFill>
    </fill>
    <fill>
      <patternFill patternType="solid">
        <fgColor rgb="FFDCE6F1"/>
        <bgColor rgb="FFEAE0F5"/>
      </patternFill>
    </fill>
    <fill>
      <patternFill patternType="solid">
        <fgColor rgb="FFFCE4D6"/>
        <bgColor rgb="FFFFF2CC"/>
      </patternFill>
    </fill>
    <fill>
      <patternFill patternType="solid">
        <fgColor rgb="FFE2EFDA"/>
        <bgColor rgb="FFDCE6F1"/>
      </patternFill>
    </fill>
    <fill>
      <patternFill patternType="solid">
        <fgColor rgb="FFFFE699"/>
        <bgColor rgb="FFFFF2CC"/>
      </patternFill>
    </fill>
    <fill>
      <patternFill patternType="solid">
        <fgColor rgb="FFF4B6B6"/>
        <bgColor rgb="FFF8CBAD"/>
      </patternFill>
    </fill>
    <fill>
      <patternFill patternType="solid">
        <fgColor rgb="FFC6E0B4"/>
        <bgColor rgb="FFD9D9D9"/>
      </patternFill>
    </fill>
    <fill>
      <patternFill patternType="solid">
        <fgColor rgb="FF1F3864"/>
        <bgColor rgb="FF1F4E78"/>
      </patternFill>
    </fill>
    <fill>
      <patternFill patternType="solid">
        <fgColor rgb="FFEAE0F5"/>
        <bgColor rgb="FFDCE6F1"/>
      </patternFill>
    </fill>
    <fill>
      <patternFill patternType="solid">
        <fgColor rgb="FFF8CBAD"/>
        <bgColor rgb="FFF4B6B6"/>
      </patternFill>
    </fill>
    <fill>
      <patternFill patternType="solid">
        <fgColor rgb="FFBF8F00"/>
        <bgColor rgb="FF9C5700"/>
      </patternFill>
    </fill>
    <fill>
      <patternFill patternType="solid">
        <fgColor rgb="FF2E7D32"/>
        <bgColor rgb="FF008000"/>
      </patternFill>
    </fill>
    <fill>
      <patternFill patternType="solid">
        <fgColor rgb="FFC00000"/>
        <bgColor rgb="FF800000"/>
      </patternFill>
    </fill>
    <fill>
      <patternFill patternType="solid">
        <fgColor rgb="FF000000"/>
        <bgColor rgb="FF003300"/>
      </patternFill>
    </fill>
    <fill>
      <patternFill patternType="solid">
        <fgColor rgb="FFF2F2F2"/>
        <bgColor rgb="FFEAF1FB"/>
      </patternFill>
    </fill>
    <fill>
      <patternFill patternType="solid">
        <fgColor rgb="FF404040"/>
        <bgColor rgb="FF375623"/>
      </patternFill>
    </fill>
    <fill>
      <patternFill patternType="solid">
        <fgColor rgb="FF7F6000"/>
        <bgColor rgb="FF9C5700"/>
      </patternFill>
    </fill>
    <fill>
      <patternFill patternType="solid">
        <fgColor rgb="FF375623"/>
        <bgColor rgb="FF404040"/>
      </patternFill>
    </fill>
    <fill>
      <patternFill patternType="solid">
        <fgColor rgb="FF843C0C"/>
        <bgColor rgb="FF9C5700"/>
      </patternFill>
    </fill>
    <fill>
      <patternFill patternType="solid">
        <fgColor rgb="FFEAF1FB"/>
        <bgColor rgb="FFF2F2F2"/>
      </patternFill>
    </fill>
  </fills>
  <borders count="7">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1F4E78"/>
      </left>
      <right/>
      <top/>
      <bottom style="medium">
        <color rgb="FF1F4E78"/>
      </bottom>
      <diagonal/>
    </border>
    <border diagonalUp="false" diagonalDown="false">
      <left/>
      <right/>
      <top/>
      <bottom style="medium">
        <color rgb="FF1F4E78"/>
      </bottom>
      <diagonal/>
    </border>
    <border diagonalUp="false" diagonalDown="false">
      <left/>
      <right style="medium">
        <color rgb="FF1F4E78"/>
      </right>
      <top/>
      <bottom style="medium">
        <color rgb="FF1F4E78"/>
      </bottom>
      <diagonal/>
    </border>
    <border diagonalUp="false" diagonalDown="false">
      <left style="medium">
        <color rgb="FF1F4E78"/>
      </left>
      <right style="medium">
        <color rgb="FF1F4E78"/>
      </right>
      <top/>
      <bottom style="medium">
        <color rgb="FF1F4E78"/>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11" fillId="2"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general" vertical="top" textRotation="0" wrapText="fals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15" fillId="5" borderId="1" xfId="0" applyFont="true" applyBorder="true" applyAlignment="true" applyProtection="false">
      <alignment horizontal="general" vertical="top" textRotation="0" wrapText="fals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false" applyProtection="false">
      <alignment horizontal="general" vertical="bottom" textRotation="0" wrapText="false" indent="0" shrinkToFit="false"/>
      <protection locked="true" hidden="false"/>
    </xf>
    <xf numFmtId="166" fontId="15" fillId="4"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5" fontId="15" fillId="5" borderId="1" xfId="0" applyFont="true" applyBorder="true" applyAlignment="false" applyProtection="false">
      <alignment horizontal="general" vertical="bottom" textRotation="0" wrapText="false" indent="0" shrinkToFit="false"/>
      <protection locked="true" hidden="false"/>
    </xf>
    <xf numFmtId="166" fontId="15" fillId="5" borderId="1" xfId="0" applyFont="true" applyBorder="true" applyAlignment="false" applyProtection="false">
      <alignment horizontal="general" vertical="bottom" textRotation="0" wrapText="false" indent="0" shrinkToFit="false"/>
      <protection locked="true" hidden="false"/>
    </xf>
    <xf numFmtId="164" fontId="16" fillId="6"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5" fontId="0" fillId="7"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7" fontId="14" fillId="3"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0" fillId="9" borderId="1" xfId="0" applyFont="true" applyBorder="true" applyAlignment="false" applyProtection="false">
      <alignment horizontal="general" vertical="bottom" textRotation="0" wrapText="false" indent="0" shrinkToFit="false"/>
      <protection locked="true" hidden="false"/>
    </xf>
    <xf numFmtId="164" fontId="0" fillId="9" borderId="1" xfId="0" applyFont="true" applyBorder="true" applyAlignment="true" applyProtection="false">
      <alignment horizontal="center" vertical="center" textRotation="0" wrapText="false" indent="0" shrinkToFit="false"/>
      <protection locked="true" hidden="false"/>
    </xf>
    <xf numFmtId="168" fontId="0" fillId="7"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8" fontId="11"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5" fillId="10" borderId="1" xfId="0" applyFont="true" applyBorder="true" applyAlignment="false" applyProtection="false">
      <alignment horizontal="general" vertical="bottom" textRotation="0" wrapText="false" indent="0" shrinkToFit="false"/>
      <protection locked="true" hidden="false"/>
    </xf>
    <xf numFmtId="165" fontId="15" fillId="11"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64" fontId="15" fillId="11" borderId="1" xfId="0" applyFont="true" applyBorder="true" applyAlignment="false" applyProtection="false">
      <alignment horizontal="general" vertical="bottom" textRotation="0" wrapText="false" indent="0" shrinkToFit="false"/>
      <protection locked="true" hidden="false"/>
    </xf>
    <xf numFmtId="164" fontId="15" fillId="12"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8" fillId="7"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69" fontId="18" fillId="0" borderId="1" xfId="0" applyFont="true" applyBorder="true" applyAlignment="false" applyProtection="false">
      <alignment horizontal="general" vertical="bottom" textRotation="0" wrapText="false" indent="0" shrinkToFit="false"/>
      <protection locked="true" hidden="false"/>
    </xf>
    <xf numFmtId="165" fontId="18" fillId="11"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6" fillId="13" borderId="0" xfId="0" applyFont="true" applyBorder="true" applyAlignment="true" applyProtection="false">
      <alignment horizontal="general" vertical="center"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6" fillId="6" borderId="0" xfId="0" applyFont="true" applyBorder="true" applyAlignment="true" applyProtection="false">
      <alignment horizontal="general" vertical="center" textRotation="0" wrapText="true" indent="0" shrinkToFit="false"/>
      <protection locked="true" hidden="false"/>
    </xf>
    <xf numFmtId="164" fontId="18" fillId="8"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5" fontId="0" fillId="8" borderId="1" xfId="0" applyFont="false" applyBorder="true" applyAlignment="false" applyProtection="false">
      <alignment horizontal="general" vertical="bottom" textRotation="0" wrapText="false" indent="0" shrinkToFit="false"/>
      <protection locked="true" hidden="false"/>
    </xf>
    <xf numFmtId="164" fontId="10" fillId="7" borderId="0" xfId="0" applyFont="true" applyBorder="true" applyAlignment="true" applyProtection="false">
      <alignment horizontal="center" vertical="center" textRotation="0" wrapText="false" indent="0" shrinkToFit="false"/>
      <protection locked="true" hidden="false"/>
    </xf>
    <xf numFmtId="164" fontId="10" fillId="9" borderId="0"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5" fontId="18"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2" fillId="14"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70" fontId="0" fillId="4" borderId="1" xfId="0" applyFont="false" applyBorder="true" applyAlignment="false" applyProtection="false">
      <alignment horizontal="general" vertical="bottom" textRotation="0" wrapText="false" indent="0" shrinkToFit="false"/>
      <protection locked="true" hidden="false"/>
    </xf>
    <xf numFmtId="171" fontId="0" fillId="4"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73" fontId="24"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26" fillId="3" borderId="1" xfId="0" applyFont="true" applyBorder="true" applyAlignment="true" applyProtection="false">
      <alignment horizontal="center" vertical="center" textRotation="0" wrapText="fals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65" fontId="25"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70" fontId="12" fillId="0" borderId="1" xfId="0" applyFont="true" applyBorder="true" applyAlignment="true" applyProtection="false">
      <alignment horizontal="center" vertical="center" textRotation="0" wrapText="false" indent="0" shrinkToFit="false"/>
      <protection locked="true" hidden="false"/>
    </xf>
    <xf numFmtId="164" fontId="27" fillId="4" borderId="1" xfId="0" applyFont="true" applyBorder="true" applyAlignment="true" applyProtection="false">
      <alignment horizontal="center" vertical="center" textRotation="0" wrapText="false" indent="0" shrinkToFit="false"/>
      <protection locked="true" hidden="false"/>
    </xf>
    <xf numFmtId="165" fontId="15" fillId="5" borderId="1" xfId="0" applyFont="true" applyBorder="true" applyAlignment="true" applyProtection="false">
      <alignment horizontal="center" vertical="center" textRotation="0" wrapText="false" indent="0" shrinkToFit="false"/>
      <protection locked="true" hidden="false"/>
    </xf>
    <xf numFmtId="165" fontId="15" fillId="15" borderId="1" xfId="0" applyFont="true" applyBorder="true" applyAlignment="true" applyProtection="false">
      <alignment horizontal="center" vertical="center" textRotation="0" wrapText="false" indent="0" shrinkToFit="false"/>
      <protection locked="true" hidden="false"/>
    </xf>
    <xf numFmtId="165" fontId="28" fillId="5" borderId="1"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26" fillId="13"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70" fontId="0" fillId="0" borderId="1" xfId="0" applyFont="false" applyBorder="true" applyAlignment="true" applyProtection="false">
      <alignment horizontal="center" vertical="center" textRotation="0" wrapText="false" indent="0" shrinkToFit="false"/>
      <protection locked="true" hidden="false"/>
    </xf>
    <xf numFmtId="17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74" fontId="31" fillId="0" borderId="1" xfId="0" applyFont="true" applyBorder="true" applyAlignment="true" applyProtection="false">
      <alignment horizontal="center" vertical="center" textRotation="0" wrapText="false" indent="0" shrinkToFit="false"/>
      <protection locked="true" hidden="false"/>
    </xf>
    <xf numFmtId="165" fontId="31" fillId="0" borderId="1" xfId="0" applyFont="true" applyBorder="true" applyAlignment="true" applyProtection="false">
      <alignment horizontal="center" vertical="center" textRotation="0" wrapText="false" indent="0" shrinkToFit="false"/>
      <protection locked="true" hidden="false"/>
    </xf>
    <xf numFmtId="164" fontId="0" fillId="4" borderId="1"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xf numFmtId="174" fontId="33" fillId="0"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6" fillId="13" borderId="1" xfId="0" applyFont="true" applyBorder="true" applyAlignment="true" applyProtection="false">
      <alignment horizontal="center" vertical="center" textRotation="0" wrapText="false" indent="0" shrinkToFit="false"/>
      <protection locked="true" hidden="false"/>
    </xf>
    <xf numFmtId="164" fontId="14" fillId="16" borderId="1" xfId="0" applyFont="true" applyBorder="true" applyAlignment="true" applyProtection="false">
      <alignment horizontal="center" vertical="center" textRotation="0" wrapText="fals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false" indent="0" shrinkToFit="false"/>
      <protection locked="true" hidden="false"/>
    </xf>
    <xf numFmtId="164" fontId="14" fillId="18"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6" fillId="16" borderId="0" xfId="0" applyFont="true" applyBorder="true" applyAlignment="true" applyProtection="false">
      <alignment horizontal="center" vertical="center" textRotation="0" wrapText="true" indent="0" shrinkToFit="false"/>
      <protection locked="true" hidden="false"/>
    </xf>
    <xf numFmtId="164" fontId="26" fillId="17" borderId="0" xfId="0" applyFont="true" applyBorder="true" applyAlignment="true" applyProtection="false">
      <alignment horizontal="center" vertical="center" textRotation="0" wrapText="true" indent="0" shrinkToFit="false"/>
      <protection locked="true" hidden="false"/>
    </xf>
    <xf numFmtId="164" fontId="26" fillId="18" borderId="0" xfId="0" applyFont="true" applyBorder="true" applyAlignment="true" applyProtection="false">
      <alignment horizontal="center" vertical="center" textRotation="0" wrapText="true" indent="0" shrinkToFit="false"/>
      <protection locked="true" hidden="false"/>
    </xf>
    <xf numFmtId="164" fontId="38" fillId="16" borderId="0" xfId="0" applyFont="true" applyBorder="true" applyAlignment="true" applyProtection="false">
      <alignment horizontal="center" vertical="center" textRotation="0" wrapText="tru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true" applyAlignment="true" applyProtection="false">
      <alignment horizontal="general" vertical="top" textRotation="0" wrapText="true" indent="0" shrinkToFit="false"/>
      <protection locked="true" hidden="false"/>
    </xf>
    <xf numFmtId="164" fontId="41" fillId="19" borderId="1" xfId="0" applyFont="true" applyBorder="true" applyAlignment="true" applyProtection="false">
      <alignment horizontal="center" vertical="center" textRotation="0" wrapText="true" indent="0" shrinkToFit="false"/>
      <protection locked="true" hidden="false"/>
    </xf>
    <xf numFmtId="164" fontId="41" fillId="19" borderId="1" xfId="0" applyFont="true" applyBorder="true" applyAlignment="true" applyProtection="false">
      <alignment horizontal="left" vertical="center" textRotation="0" wrapText="false" indent="0" shrinkToFit="false"/>
      <protection locked="true" hidden="false"/>
    </xf>
    <xf numFmtId="176" fontId="41" fillId="19" borderId="1" xfId="0" applyFont="true" applyBorder="true" applyAlignment="true" applyProtection="false">
      <alignment horizontal="center" vertical="center" textRotation="0" wrapText="true" indent="0" shrinkToFit="false"/>
      <protection locked="true" hidden="false"/>
    </xf>
    <xf numFmtId="164" fontId="42" fillId="0" borderId="1" xfId="0" applyFont="true" applyBorder="true" applyAlignment="false" applyProtection="false">
      <alignment horizontal="general" vertical="bottom" textRotation="0" wrapText="false" indent="0" shrinkToFit="false"/>
      <protection locked="true" hidden="false"/>
    </xf>
    <xf numFmtId="164" fontId="43"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center" vertical="center" textRotation="0" wrapText="true" indent="0" shrinkToFit="false"/>
      <protection locked="true" hidden="false"/>
    </xf>
    <xf numFmtId="170" fontId="42" fillId="0" borderId="1" xfId="0" applyFont="true" applyBorder="true" applyAlignment="false" applyProtection="false">
      <alignment horizontal="general" vertical="bottom" textRotation="0" wrapText="false" indent="0" shrinkToFit="false"/>
      <protection locked="true" hidden="false"/>
    </xf>
    <xf numFmtId="164" fontId="42" fillId="20" borderId="1" xfId="0" applyFont="true" applyBorder="true" applyAlignment="false" applyProtection="false">
      <alignment horizontal="general" vertical="bottom" textRotation="0" wrapText="false" indent="0" shrinkToFit="false"/>
      <protection locked="true" hidden="false"/>
    </xf>
    <xf numFmtId="164" fontId="43" fillId="20" borderId="1" xfId="0" applyFont="true" applyBorder="true" applyAlignment="false" applyProtection="false">
      <alignment horizontal="general" vertical="bottom" textRotation="0" wrapText="false" indent="0" shrinkToFit="false"/>
      <protection locked="true" hidden="false"/>
    </xf>
    <xf numFmtId="170" fontId="0" fillId="20" borderId="1" xfId="0" applyFont="false" applyBorder="true" applyAlignment="true" applyProtection="false">
      <alignment horizontal="center" vertical="center" textRotation="0" wrapText="true" indent="0" shrinkToFit="false"/>
      <protection locked="true" hidden="false"/>
    </xf>
    <xf numFmtId="170" fontId="42" fillId="20" borderId="1" xfId="0" applyFont="true" applyBorder="true" applyAlignment="false" applyProtection="false">
      <alignment horizontal="general" vertical="bottom" textRotation="0" wrapText="false" indent="0" shrinkToFit="false"/>
      <protection locked="true" hidden="false"/>
    </xf>
    <xf numFmtId="164" fontId="42" fillId="4" borderId="1" xfId="0" applyFont="true" applyBorder="true" applyAlignment="false" applyProtection="false">
      <alignment horizontal="general" vertical="bottom" textRotation="0" wrapText="false" indent="0" shrinkToFit="false"/>
      <protection locked="true" hidden="false"/>
    </xf>
    <xf numFmtId="170" fontId="42" fillId="4"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4" fillId="21" borderId="1" xfId="0" applyFont="true" applyBorder="true" applyAlignment="true" applyProtection="false">
      <alignment horizontal="center" vertical="center" textRotation="0" wrapText="true" indent="0" shrinkToFit="false"/>
      <protection locked="true" hidden="false"/>
    </xf>
    <xf numFmtId="176" fontId="44" fillId="21" borderId="1" xfId="0" applyFont="true" applyBorder="true" applyAlignment="true" applyProtection="false">
      <alignment horizontal="center" vertical="center" textRotation="0" wrapText="true" indent="0" shrinkToFit="false"/>
      <protection locked="true" hidden="false"/>
    </xf>
    <xf numFmtId="164" fontId="0" fillId="21" borderId="1" xfId="0" applyFont="false" applyBorder="true" applyAlignment="false" applyProtection="false">
      <alignment horizontal="general" vertical="bottom" textRotation="0" wrapText="false" indent="0" shrinkToFit="false"/>
      <protection locked="true" hidden="false"/>
    </xf>
    <xf numFmtId="176" fontId="40"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true" applyAlignment="true" applyProtection="false">
      <alignment horizontal="general" vertical="bottom" textRotation="0" wrapText="true" indent="0" shrinkToFit="false"/>
      <protection locked="true" hidden="false"/>
    </xf>
    <xf numFmtId="164" fontId="41" fillId="3" borderId="0" xfId="0" applyFont="true" applyBorder="true" applyAlignment="true" applyProtection="false">
      <alignment horizontal="center" vertical="center" textRotation="0" wrapText="true" indent="0" shrinkToFit="false"/>
      <protection locked="true" hidden="false"/>
    </xf>
    <xf numFmtId="164" fontId="41" fillId="22" borderId="0" xfId="0" applyFont="true" applyBorder="true" applyAlignment="true" applyProtection="false">
      <alignment horizontal="center" vertical="center" textRotation="0" wrapText="tru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70" fontId="43" fillId="0" borderId="1" xfId="0" applyFont="true" applyBorder="true" applyAlignment="true" applyProtection="false">
      <alignment horizontal="center" vertical="center" textRotation="0" wrapText="true" indent="0" shrinkToFit="false"/>
      <protection locked="true" hidden="false"/>
    </xf>
    <xf numFmtId="164" fontId="42" fillId="20" borderId="0" xfId="0" applyFont="true" applyBorder="false" applyAlignment="false" applyProtection="false">
      <alignment horizontal="general" vertical="bottom" textRotation="0" wrapText="false" indent="0" shrinkToFit="false"/>
      <protection locked="true" hidden="false"/>
    </xf>
    <xf numFmtId="164" fontId="43" fillId="20" borderId="0" xfId="0" applyFont="true" applyBorder="false" applyAlignment="false" applyProtection="false">
      <alignment horizontal="general" vertical="bottom" textRotation="0" wrapText="false" indent="0" shrinkToFit="false"/>
      <protection locked="true" hidden="false"/>
    </xf>
    <xf numFmtId="170" fontId="43" fillId="20" borderId="1" xfId="0" applyFont="true" applyBorder="true" applyAlignment="true" applyProtection="false">
      <alignment horizontal="center" vertical="center" textRotation="0" wrapText="tru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44" fillId="19" borderId="1" xfId="0" applyFont="true" applyBorder="true" applyAlignment="true" applyProtection="false">
      <alignment horizontal="center" vertical="center" textRotation="0" wrapText="true" indent="0" shrinkToFit="false"/>
      <protection locked="true" hidden="false"/>
    </xf>
    <xf numFmtId="164" fontId="45" fillId="21" borderId="1" xfId="0" applyFont="true" applyBorder="true" applyAlignment="true" applyProtection="false">
      <alignment horizontal="center" vertical="center" textRotation="0" wrapText="true" indent="0" shrinkToFit="false"/>
      <protection locked="true" hidden="false"/>
    </xf>
    <xf numFmtId="164" fontId="46" fillId="0" borderId="0" xfId="0" applyFont="true" applyBorder="false" applyAlignment="true" applyProtection="false">
      <alignment horizontal="general" vertical="top"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41" fillId="19" borderId="1" xfId="0" applyFont="true" applyBorder="true" applyAlignment="true" applyProtection="false">
      <alignment horizontal="center" vertical="center" textRotation="0" wrapText="false" indent="0" shrinkToFit="false"/>
      <protection locked="true" hidden="false"/>
    </xf>
    <xf numFmtId="164" fontId="43" fillId="0" borderId="1" xfId="0" applyFont="true" applyBorder="true" applyAlignment="true" applyProtection="false">
      <alignment horizontal="center" vertical="center" textRotation="0" wrapText="false" indent="0" shrinkToFit="false"/>
      <protection locked="true" hidden="false"/>
    </xf>
    <xf numFmtId="170" fontId="43" fillId="0" borderId="1" xfId="0" applyFont="true" applyBorder="true" applyAlignment="true" applyProtection="false">
      <alignment horizontal="center" vertical="center" textRotation="0" wrapText="false" indent="0" shrinkToFit="false"/>
      <protection locked="true" hidden="false"/>
    </xf>
    <xf numFmtId="164" fontId="43" fillId="20" borderId="1" xfId="0" applyFont="true" applyBorder="true" applyAlignment="true" applyProtection="false">
      <alignment horizontal="center" vertical="center" textRotation="0" wrapText="false" indent="0" shrinkToFit="false"/>
      <protection locked="true" hidden="false"/>
    </xf>
    <xf numFmtId="170" fontId="43" fillId="20" borderId="1" xfId="0" applyFont="true" applyBorder="true" applyAlignment="true" applyProtection="false">
      <alignment horizontal="center" vertical="center"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41" fillId="23" borderId="1" xfId="0" applyFont="true" applyBorder="true" applyAlignment="true" applyProtection="false">
      <alignment horizontal="center" vertical="center" textRotation="0" wrapText="false" indent="0" shrinkToFit="false"/>
      <protection locked="true" hidden="false"/>
    </xf>
    <xf numFmtId="164" fontId="41" fillId="22" borderId="1" xfId="0" applyFont="true" applyBorder="true" applyAlignment="true" applyProtection="false">
      <alignment horizontal="center" vertical="center" textRotation="0" wrapText="false" indent="0" shrinkToFit="false"/>
      <protection locked="true" hidden="false"/>
    </xf>
    <xf numFmtId="174" fontId="48" fillId="0" borderId="1" xfId="0" applyFont="true" applyBorder="true" applyAlignment="true" applyProtection="false">
      <alignment horizontal="center" vertical="center" textRotation="0" wrapText="false" indent="0" shrinkToFit="false"/>
      <protection locked="true" hidden="false"/>
    </xf>
    <xf numFmtId="172" fontId="48" fillId="0" borderId="1" xfId="0" applyFont="true" applyBorder="true" applyAlignment="true" applyProtection="false">
      <alignment horizontal="center" vertical="center" textRotation="0" wrapText="false" indent="0" shrinkToFit="false"/>
      <protection locked="true" hidden="false"/>
    </xf>
    <xf numFmtId="165" fontId="48" fillId="0" borderId="1" xfId="0" applyFont="true" applyBorder="true" applyAlignment="true" applyProtection="false">
      <alignment horizontal="center" vertical="center" textRotation="0" wrapText="false" indent="0" shrinkToFit="false"/>
      <protection locked="true" hidden="false"/>
    </xf>
    <xf numFmtId="170" fontId="0" fillId="20" borderId="1" xfId="0" applyFont="false" applyBorder="true" applyAlignment="true" applyProtection="false">
      <alignment horizontal="center" vertical="center" textRotation="0" wrapText="false" indent="0" shrinkToFit="false"/>
      <protection locked="true" hidden="false"/>
    </xf>
    <xf numFmtId="165" fontId="0" fillId="20" borderId="1" xfId="0" applyFont="false" applyBorder="true" applyAlignment="true" applyProtection="false">
      <alignment horizontal="center" vertical="center" textRotation="0" wrapText="false" indent="0" shrinkToFit="false"/>
      <protection locked="true" hidden="false"/>
    </xf>
    <xf numFmtId="174" fontId="0" fillId="20" borderId="1" xfId="0" applyFont="false" applyBorder="true" applyAlignment="true" applyProtection="false">
      <alignment horizontal="center" vertical="center" textRotation="0" wrapText="false" indent="0" shrinkToFit="false"/>
      <protection locked="true" hidden="false"/>
    </xf>
    <xf numFmtId="174" fontId="48" fillId="20" borderId="1" xfId="0" applyFont="true" applyBorder="true" applyAlignment="true" applyProtection="false">
      <alignment horizontal="center" vertical="center" textRotation="0" wrapText="false" indent="0" shrinkToFit="false"/>
      <protection locked="true" hidden="false"/>
    </xf>
    <xf numFmtId="172" fontId="48" fillId="20" borderId="1" xfId="0" applyFont="true" applyBorder="true" applyAlignment="true" applyProtection="false">
      <alignment horizontal="center" vertical="center" textRotation="0" wrapText="false" indent="0" shrinkToFit="false"/>
      <protection locked="true" hidden="false"/>
    </xf>
    <xf numFmtId="165" fontId="48" fillId="20" borderId="1" xfId="0" applyFont="true" applyBorder="true" applyAlignment="true" applyProtection="false">
      <alignment horizontal="center" vertical="center" textRotation="0" wrapText="false" indent="0" shrinkToFit="false"/>
      <protection locked="true" hidden="false"/>
    </xf>
    <xf numFmtId="165" fontId="42" fillId="4" borderId="1"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center" vertical="top" textRotation="0" wrapText="false" indent="0" shrinkToFit="false"/>
      <protection locked="true" hidden="false"/>
    </xf>
    <xf numFmtId="164" fontId="41" fillId="24" borderId="1" xfId="0" applyFont="true" applyBorder="true" applyAlignment="true" applyProtection="false">
      <alignment horizontal="center" vertical="center" textRotation="0" wrapText="false" indent="0" shrinkToFit="false"/>
      <protection locked="true" hidden="false"/>
    </xf>
    <xf numFmtId="164" fontId="0" fillId="20" borderId="1" xfId="0" applyFont="false" applyBorder="true" applyAlignment="true" applyProtection="false">
      <alignment horizontal="center" vertical="center" textRotation="0" wrapText="false" indent="0" shrinkToFit="false"/>
      <protection locked="true" hidden="false"/>
    </xf>
    <xf numFmtId="164" fontId="42" fillId="5" borderId="6" xfId="0" applyFont="true" applyBorder="true" applyAlignment="true" applyProtection="false">
      <alignment horizontal="general" vertical="center" textRotation="0" wrapText="false" indent="0" shrinkToFit="false"/>
      <protection locked="true" hidden="false"/>
    </xf>
    <xf numFmtId="170" fontId="42" fillId="0" borderId="1" xfId="0" applyFont="true" applyBorder="true" applyAlignment="true" applyProtection="false">
      <alignment horizontal="center" vertical="center" textRotation="0" wrapText="false" indent="0" shrinkToFit="false"/>
      <protection locked="true" hidden="false"/>
    </xf>
    <xf numFmtId="165" fontId="42" fillId="0" borderId="1" xfId="0" applyFont="true" applyBorder="true" applyAlignment="true" applyProtection="false">
      <alignment horizontal="center" vertical="center" textRotation="0" wrapText="false" indent="0" shrinkToFit="false"/>
      <protection locked="true" hidden="false"/>
    </xf>
    <xf numFmtId="165" fontId="43" fillId="0" borderId="1" xfId="0" applyFont="true" applyBorder="true" applyAlignment="true" applyProtection="false">
      <alignment horizontal="center" vertical="center" textRotation="0" wrapText="false" indent="0" shrinkToFit="false"/>
      <protection locked="true" hidden="false"/>
    </xf>
    <xf numFmtId="170" fontId="42" fillId="20" borderId="1" xfId="0" applyFont="true" applyBorder="true" applyAlignment="true" applyProtection="false">
      <alignment horizontal="center" vertical="center" textRotation="0" wrapText="false" indent="0" shrinkToFit="false"/>
      <protection locked="true" hidden="false"/>
    </xf>
    <xf numFmtId="165" fontId="42" fillId="20" borderId="1" xfId="0" applyFont="true" applyBorder="true" applyAlignment="true" applyProtection="false">
      <alignment horizontal="center" vertical="center" textRotation="0" wrapText="false" indent="0" shrinkToFit="false"/>
      <protection locked="true" hidden="false"/>
    </xf>
    <xf numFmtId="165" fontId="43" fillId="20" borderId="1" xfId="0" applyFont="true" applyBorder="true" applyAlignment="true" applyProtection="false">
      <alignment horizontal="center" vertical="center" textRotation="0" wrapText="false" indent="0" shrinkToFit="false"/>
      <protection locked="true" hidden="false"/>
    </xf>
    <xf numFmtId="164" fontId="45" fillId="19" borderId="1" xfId="0" applyFont="true" applyBorder="true" applyAlignment="true" applyProtection="false">
      <alignment horizontal="center" vertical="center" textRotation="0" wrapText="false" indent="0" shrinkToFit="false"/>
      <protection locked="true" hidden="false"/>
    </xf>
    <xf numFmtId="164" fontId="49" fillId="21" borderId="1" xfId="0" applyFont="true" applyBorder="true" applyAlignment="true" applyProtection="false">
      <alignment horizontal="center" vertical="center"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0" borderId="0" xfId="0" applyFont="true" applyBorder="true" applyAlignment="true" applyProtection="false">
      <alignment horizontal="general" vertical="top" textRotation="0" wrapText="true" indent="0" shrinkToFit="false"/>
      <protection locked="true" hidden="false"/>
    </xf>
    <xf numFmtId="164" fontId="52" fillId="24" borderId="1" xfId="0" applyFont="true" applyBorder="true" applyAlignment="true" applyProtection="false">
      <alignment horizontal="center" vertical="center" textRotation="0" wrapText="true" indent="0" shrinkToFit="false"/>
      <protection locked="true" hidden="false"/>
    </xf>
    <xf numFmtId="164" fontId="52" fillId="24" borderId="1" xfId="0" applyFont="true" applyBorder="true" applyAlignment="true" applyProtection="false">
      <alignment horizontal="left" vertical="center"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0" fontId="54" fillId="0" borderId="1" xfId="0" applyFont="true" applyBorder="true" applyAlignment="true" applyProtection="false">
      <alignment horizontal="center" vertical="center" textRotation="0" wrapText="true" indent="0" shrinkToFit="false"/>
      <protection locked="true" hidden="false"/>
    </xf>
    <xf numFmtId="170" fontId="53" fillId="0" borderId="1" xfId="0" applyFont="true" applyBorder="true" applyAlignment="true" applyProtection="false">
      <alignment horizontal="center" vertical="center" textRotation="0" wrapText="true" indent="0" shrinkToFit="false"/>
      <protection locked="true" hidden="false"/>
    </xf>
    <xf numFmtId="164" fontId="53" fillId="20" borderId="0" xfId="0" applyFont="true" applyBorder="false" applyAlignment="false" applyProtection="false">
      <alignment horizontal="general" vertical="bottom" textRotation="0" wrapText="false" indent="0" shrinkToFit="false"/>
      <protection locked="true" hidden="false"/>
    </xf>
    <xf numFmtId="164" fontId="54" fillId="20" borderId="0" xfId="0" applyFont="true" applyBorder="false" applyAlignment="false" applyProtection="false">
      <alignment horizontal="general" vertical="bottom" textRotation="0" wrapText="false" indent="0" shrinkToFit="false"/>
      <protection locked="true" hidden="false"/>
    </xf>
    <xf numFmtId="170" fontId="54" fillId="20" borderId="1" xfId="0" applyFont="true" applyBorder="true" applyAlignment="true" applyProtection="false">
      <alignment horizontal="center" vertical="center" textRotation="0" wrapText="true" indent="0" shrinkToFit="false"/>
      <protection locked="true" hidden="false"/>
    </xf>
    <xf numFmtId="170" fontId="53" fillId="20" borderId="1" xfId="0" applyFont="true" applyBorder="true" applyAlignment="true" applyProtection="false">
      <alignment horizontal="center" vertical="center" textRotation="0" wrapText="true" indent="0" shrinkToFit="false"/>
      <protection locked="true" hidden="false"/>
    </xf>
    <xf numFmtId="164" fontId="53" fillId="4" borderId="1" xfId="0" applyFont="true" applyBorder="true" applyAlignment="false" applyProtection="false">
      <alignment horizontal="general" vertical="bottom" textRotation="0" wrapText="false" indent="0" shrinkToFit="false"/>
      <protection locked="true" hidden="false"/>
    </xf>
    <xf numFmtId="170" fontId="53" fillId="4" borderId="1" xfId="0" applyFont="true" applyBorder="true" applyAlignment="false" applyProtection="false">
      <alignment horizontal="general" vertical="bottom" textRotation="0" wrapText="false" indent="0" shrinkToFit="false"/>
      <protection locked="true" hidden="false"/>
    </xf>
    <xf numFmtId="164" fontId="52" fillId="23" borderId="1" xfId="0" applyFont="true" applyBorder="true" applyAlignment="true" applyProtection="false">
      <alignment horizontal="center" vertical="center" textRotation="0" wrapText="true" indent="0" shrinkToFit="false"/>
      <protection locked="true" hidden="false"/>
    </xf>
    <xf numFmtId="164" fontId="52" fillId="23" borderId="1" xfId="0" applyFont="true" applyBorder="true" applyAlignment="true" applyProtection="false">
      <alignment horizontal="left" vertical="center" textRotation="0" wrapText="false" indent="0" shrinkToFit="false"/>
      <protection locked="true" hidden="false"/>
    </xf>
    <xf numFmtId="164" fontId="52" fillId="3" borderId="1" xfId="0" applyFont="true" applyBorder="true" applyAlignment="true" applyProtection="false">
      <alignment horizontal="center" vertical="center" textRotation="0" wrapText="true" indent="0" shrinkToFit="false"/>
      <protection locked="true" hidden="false"/>
    </xf>
    <xf numFmtId="164" fontId="52" fillId="3" borderId="1" xfId="0" applyFont="true" applyBorder="true" applyAlignment="true" applyProtection="false">
      <alignment horizontal="left" vertical="center" textRotation="0" wrapText="fals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64" fontId="53" fillId="5" borderId="1" xfId="0" applyFont="true" applyBorder="true" applyAlignment="true" applyProtection="false">
      <alignment horizontal="center" vertical="center" textRotation="0" wrapText="tru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2" fillId="19" borderId="1" xfId="0" applyFont="true" applyBorder="true" applyAlignment="true" applyProtection="false">
      <alignment horizontal="center" vertical="center" textRotation="0" wrapText="true" indent="0" shrinkToFit="false"/>
      <protection locked="true" hidden="false"/>
    </xf>
    <xf numFmtId="164" fontId="54" fillId="25" borderId="1" xfId="0" applyFont="true" applyBorder="true" applyAlignment="true" applyProtection="false">
      <alignment horizontal="left" vertical="center" textRotation="0" wrapText="false" indent="0" shrinkToFit="false"/>
      <protection locked="true" hidden="false"/>
    </xf>
    <xf numFmtId="170" fontId="0" fillId="25" borderId="1" xfId="0" applyFont="false" applyBorder="true" applyAlignment="true" applyProtection="false">
      <alignment horizontal="center" vertical="center" textRotation="0" wrapText="true" indent="0" shrinkToFit="false"/>
      <protection locked="true" hidden="false"/>
    </xf>
    <xf numFmtId="165" fontId="0" fillId="25" borderId="1" xfId="0" applyFont="false" applyBorder="true" applyAlignment="true" applyProtection="false">
      <alignment horizontal="center" vertical="center" textRotation="0" wrapText="true" indent="0" shrinkToFit="false"/>
      <protection locked="true" hidden="false"/>
    </xf>
    <xf numFmtId="164" fontId="52" fillId="19" borderId="1" xfId="0" applyFont="true" applyBorder="true" applyAlignment="true" applyProtection="false">
      <alignment horizontal="left" vertical="center" textRotation="0" wrapText="false" indent="0" shrinkToFit="false"/>
      <protection locked="true" hidden="false"/>
    </xf>
    <xf numFmtId="165" fontId="54" fillId="0" borderId="1" xfId="0" applyFont="true" applyBorder="true" applyAlignment="true" applyProtection="false">
      <alignment horizontal="center" vertical="center" textRotation="0" wrapText="true" indent="0" shrinkToFit="false"/>
      <protection locked="true" hidden="false"/>
    </xf>
    <xf numFmtId="172" fontId="54" fillId="0" borderId="1" xfId="0" applyFont="true" applyBorder="true" applyAlignment="true" applyProtection="false">
      <alignment horizontal="center" vertical="center" textRotation="0" wrapText="true" indent="0" shrinkToFit="false"/>
      <protection locked="true" hidden="false"/>
    </xf>
    <xf numFmtId="164" fontId="54" fillId="0" borderId="1" xfId="0" applyFont="true" applyBorder="true" applyAlignment="true" applyProtection="false">
      <alignment horizontal="center" vertical="center" textRotation="0" wrapText="true" indent="0" shrinkToFit="false"/>
      <protection locked="true" hidden="false"/>
    </xf>
    <xf numFmtId="164" fontId="57" fillId="0" borderId="1" xfId="0" applyFont="true" applyBorder="true" applyAlignment="true" applyProtection="false">
      <alignment horizontal="left" vertical="center" textRotation="0" wrapText="false" indent="0" shrinkToFit="false"/>
      <protection locked="true" hidden="false"/>
    </xf>
    <xf numFmtId="164" fontId="58" fillId="0" borderId="1" xfId="0" applyFont="true" applyBorder="true" applyAlignment="true" applyProtection="false">
      <alignment horizontal="center" vertical="center" textRotation="0" wrapText="true" indent="0" shrinkToFit="false"/>
      <protection locked="true" hidden="false"/>
    </xf>
    <xf numFmtId="165" fontId="54" fillId="20" borderId="1" xfId="0" applyFont="true" applyBorder="true" applyAlignment="true" applyProtection="false">
      <alignment horizontal="center" vertical="center" textRotation="0" wrapText="true" indent="0" shrinkToFit="false"/>
      <protection locked="true" hidden="false"/>
    </xf>
    <xf numFmtId="172" fontId="54" fillId="20" borderId="1" xfId="0" applyFont="true" applyBorder="true" applyAlignment="true" applyProtection="false">
      <alignment horizontal="center" vertical="center" textRotation="0" wrapText="true" indent="0" shrinkToFit="false"/>
      <protection locked="true" hidden="false"/>
    </xf>
    <xf numFmtId="164" fontId="54" fillId="20" borderId="1" xfId="0" applyFont="true" applyBorder="true" applyAlignment="true" applyProtection="false">
      <alignment horizontal="center" vertical="center" textRotation="0" wrapText="true" indent="0" shrinkToFit="false"/>
      <protection locked="true" hidden="false"/>
    </xf>
    <xf numFmtId="164" fontId="57" fillId="20" borderId="1" xfId="0" applyFont="true" applyBorder="true" applyAlignment="true" applyProtection="false">
      <alignment horizontal="left" vertical="center" textRotation="0" wrapText="false" indent="0" shrinkToFit="false"/>
      <protection locked="true" hidden="false"/>
    </xf>
    <xf numFmtId="164" fontId="58" fillId="20" borderId="1" xfId="0" applyFont="true" applyBorder="true" applyAlignment="true" applyProtection="false">
      <alignment horizontal="center" vertical="center" textRotation="0" wrapText="true" indent="0" shrinkToFit="false"/>
      <protection locked="true" hidden="false"/>
    </xf>
    <xf numFmtId="164" fontId="54" fillId="0" borderId="1" xfId="0" applyFont="true" applyBorder="true" applyAlignment="false" applyProtection="false">
      <alignment horizontal="general" vertical="bottom" textRotation="0" wrapText="false" indent="0" shrinkToFit="false"/>
      <protection locked="true" hidden="false"/>
    </xf>
    <xf numFmtId="170" fontId="58" fillId="0"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41617"/>
      <rgbColor rgb="FF008000"/>
      <rgbColor rgb="FF000080"/>
      <rgbColor rgb="FF7F6000"/>
      <rgbColor rgb="FF800080"/>
      <rgbColor rgb="FF1F4E78"/>
      <rgbColor rgb="FFBFBFBF"/>
      <rgbColor rgb="FF808080"/>
      <rgbColor rgb="FF7F7F7F"/>
      <rgbColor rgb="FFC0504D"/>
      <rgbColor rgb="FFFFF2CC"/>
      <rgbColor rgb="FFEAF1FB"/>
      <rgbColor rgb="FF660066"/>
      <rgbColor rgb="FFFF8080"/>
      <rgbColor rgb="FF2E5395"/>
      <rgbColor rgb="FFD9D9D9"/>
      <rgbColor rgb="FF000080"/>
      <rgbColor rgb="FFFF00FF"/>
      <rgbColor rgb="FFF2F2F2"/>
      <rgbColor rgb="FF00FFFF"/>
      <rgbColor rgb="FF800080"/>
      <rgbColor rgb="FF800000"/>
      <rgbColor rgb="FF008080"/>
      <rgbColor rgb="FF0000FF"/>
      <rgbColor rgb="FF00CCFF"/>
      <rgbColor rgb="FFDCE6F1"/>
      <rgbColor rgb="FFE2EFDA"/>
      <rgbColor rgb="FFFFE699"/>
      <rgbColor rgb="FFB3B3B3"/>
      <rgbColor rgb="FFF4B6B6"/>
      <rgbColor rgb="FFEAE0F5"/>
      <rgbColor rgb="FFF8CBAD"/>
      <rgbColor rgb="FF4F81BD"/>
      <rgbColor rgb="FF33CCCC"/>
      <rgbColor rgb="FFC6E0B4"/>
      <rgbColor rgb="FFFCE4D6"/>
      <rgbColor rgb="FFBF8F00"/>
      <rgbColor rgb="FFFF6600"/>
      <rgbColor rgb="FF595959"/>
      <rgbColor rgb="FFA6A6A6"/>
      <rgbColor rgb="FF1F3864"/>
      <rgbColor rgb="FF2E7D32"/>
      <rgbColor rgb="FF003300"/>
      <rgbColor rgb="FF375623"/>
      <rgbColor rgb="FF843C0C"/>
      <rgbColor rgb="FF9C5700"/>
      <rgbColor rgb="FF5B2C8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Revenue Multiple vs. Approx. Margin Multiple, by Program</a:t>
            </a:r>
          </a:p>
        </c:rich>
      </c:tx>
      <c:overlay val="0"/>
      <c:spPr>
        <a:noFill/>
        <a:ln w="0">
          <a:noFill/>
        </a:ln>
      </c:spPr>
    </c:title>
    <c:autoTitleDeleted val="0"/>
    <c:plotArea>
      <c:barChart>
        <c:barDir val="col"/>
        <c:grouping val="clustered"/>
        <c:varyColors val="0"/>
        <c:ser>
          <c:idx val="0"/>
          <c:order val="0"/>
          <c:tx>
            <c:strRef>
              <c:f>'Margin View (Trial, Approx.)'!$B$73</c:f>
              <c:strCache>
                <c:ptCount val="1"/>
                <c:pt idx="0">
                  <c:v>Gross Revenue Multiple</c:v>
                </c:pt>
              </c:strCache>
            </c:strRef>
          </c:tx>
          <c:spPr>
            <a:solidFill>
              <a:srgbClr val="bfbfbf"/>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'Margin View (Trial, Approx.)'!$A$74:$A$97</c:f>
              <c:strCache>
                <c:ptCount val="24"/>
                <c:pt idx="0">
                  <c:v>M366</c:v>
                </c:pt>
                <c:pt idx="1">
                  <c:v>M035</c:v>
                </c:pt>
                <c:pt idx="2">
                  <c:v>M073</c:v>
                </c:pt>
                <c:pt idx="3">
                  <c:v>M145</c:v>
                </c:pt>
                <c:pt idx="4">
                  <c:v>M494</c:v>
                </c:pt>
                <c:pt idx="5">
                  <c:v>M374</c:v>
                </c:pt>
                <c:pt idx="6">
                  <c:v>M700</c:v>
                </c:pt>
                <c:pt idx="7">
                  <c:v>M527</c:v>
                </c:pt>
                <c:pt idx="8">
                  <c:v>M435</c:v>
                </c:pt>
                <c:pt idx="9">
                  <c:v>M844</c:v>
                </c:pt>
                <c:pt idx="10">
                  <c:v>M464</c:v>
                </c:pt>
                <c:pt idx="11">
                  <c:v>M762</c:v>
                </c:pt>
                <c:pt idx="12">
                  <c:v>M518</c:v>
                </c:pt>
                <c:pt idx="13">
                  <c:v>M746</c:v>
                </c:pt>
                <c:pt idx="14">
                  <c:v>M246</c:v>
                </c:pt>
                <c:pt idx="15">
                  <c:v>M861</c:v>
                </c:pt>
                <c:pt idx="16">
                  <c:v>M869</c:v>
                </c:pt>
                <c:pt idx="17">
                  <c:v>M260</c:v>
                </c:pt>
                <c:pt idx="18">
                  <c:v>M859</c:v>
                </c:pt>
                <c:pt idx="19">
                  <c:v>M202</c:v>
                </c:pt>
                <c:pt idx="20">
                  <c:v>M075</c:v>
                </c:pt>
                <c:pt idx="21">
                  <c:v>M191</c:v>
                </c:pt>
                <c:pt idx="22">
                  <c:v>M867</c:v>
                </c:pt>
                <c:pt idx="23">
                  <c:v>M013</c:v>
                </c:pt>
              </c:strCache>
            </c:strRef>
          </c:cat>
          <c:val>
            <c:numRef>
              <c:f>'Margin View (Trial, Approx.)'!$B$74:$B$97</c:f>
              <c:numCache>
                <c:formatCode>General</c:formatCode>
                <c:ptCount val="24"/>
                <c:pt idx="0">
                  <c:v>8.84</c:v>
                </c:pt>
                <c:pt idx="1">
                  <c:v>19.6</c:v>
                </c:pt>
                <c:pt idx="2">
                  <c:v>7.23</c:v>
                </c:pt>
                <c:pt idx="3">
                  <c:v>7.3</c:v>
                </c:pt>
                <c:pt idx="4">
                  <c:v>12.19</c:v>
                </c:pt>
                <c:pt idx="5">
                  <c:v>5.48</c:v>
                </c:pt>
                <c:pt idx="6">
                  <c:v>11.22</c:v>
                </c:pt>
                <c:pt idx="7">
                  <c:v>5.18</c:v>
                </c:pt>
                <c:pt idx="8">
                  <c:v>16.64</c:v>
                </c:pt>
                <c:pt idx="9">
                  <c:v>16.66</c:v>
                </c:pt>
                <c:pt idx="10">
                  <c:v>9.12</c:v>
                </c:pt>
                <c:pt idx="11">
                  <c:v>5.63</c:v>
                </c:pt>
                <c:pt idx="12">
                  <c:v>5.51</c:v>
                </c:pt>
                <c:pt idx="13">
                  <c:v>5.93</c:v>
                </c:pt>
                <c:pt idx="14">
                  <c:v>2.98</c:v>
                </c:pt>
                <c:pt idx="15">
                  <c:v>6.37</c:v>
                </c:pt>
                <c:pt idx="16">
                  <c:v>4.22</c:v>
                </c:pt>
                <c:pt idx="17">
                  <c:v>2.43</c:v>
                </c:pt>
                <c:pt idx="18">
                  <c:v>4.73</c:v>
                </c:pt>
                <c:pt idx="19">
                  <c:v>11.78</c:v>
                </c:pt>
                <c:pt idx="20">
                  <c:v>3.49</c:v>
                </c:pt>
                <c:pt idx="21">
                  <c:v>2.7</c:v>
                </c:pt>
                <c:pt idx="22">
                  <c:v>2.6</c:v>
                </c:pt>
                <c:pt idx="23">
                  <c:v>8.28</c:v>
                </c:pt>
              </c:numCache>
            </c:numRef>
          </c:val>
        </c:ser>
        <c:ser>
          <c:idx val="1"/>
          <c:order val="1"/>
          <c:tx>
            <c:strRef>
              <c:f>'Margin View (Trial, Approx.)'!$C$73</c:f>
              <c:strCache>
                <c:ptCount val="1"/>
                <c:pt idx="0">
                  <c:v>Approx. Margin Multiple</c:v>
                </c:pt>
              </c:strCache>
            </c:strRef>
          </c:tx>
          <c:spPr>
            <a:solidFill>
              <a:srgbClr val="841617"/>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'Margin View (Trial, Approx.)'!$A$74:$A$97</c:f>
              <c:strCache>
                <c:ptCount val="24"/>
                <c:pt idx="0">
                  <c:v>M366</c:v>
                </c:pt>
                <c:pt idx="1">
                  <c:v>M035</c:v>
                </c:pt>
                <c:pt idx="2">
                  <c:v>M073</c:v>
                </c:pt>
                <c:pt idx="3">
                  <c:v>M145</c:v>
                </c:pt>
                <c:pt idx="4">
                  <c:v>M494</c:v>
                </c:pt>
                <c:pt idx="5">
                  <c:v>M374</c:v>
                </c:pt>
                <c:pt idx="6">
                  <c:v>M700</c:v>
                </c:pt>
                <c:pt idx="7">
                  <c:v>M527</c:v>
                </c:pt>
                <c:pt idx="8">
                  <c:v>M435</c:v>
                </c:pt>
                <c:pt idx="9">
                  <c:v>M844</c:v>
                </c:pt>
                <c:pt idx="10">
                  <c:v>M464</c:v>
                </c:pt>
                <c:pt idx="11">
                  <c:v>M762</c:v>
                </c:pt>
                <c:pt idx="12">
                  <c:v>M518</c:v>
                </c:pt>
                <c:pt idx="13">
                  <c:v>M746</c:v>
                </c:pt>
                <c:pt idx="14">
                  <c:v>M246</c:v>
                </c:pt>
                <c:pt idx="15">
                  <c:v>M861</c:v>
                </c:pt>
                <c:pt idx="16">
                  <c:v>M869</c:v>
                </c:pt>
                <c:pt idx="17">
                  <c:v>M260</c:v>
                </c:pt>
                <c:pt idx="18">
                  <c:v>M859</c:v>
                </c:pt>
                <c:pt idx="19">
                  <c:v>M202</c:v>
                </c:pt>
                <c:pt idx="20">
                  <c:v>M075</c:v>
                </c:pt>
                <c:pt idx="21">
                  <c:v>M191</c:v>
                </c:pt>
                <c:pt idx="22">
                  <c:v>M867</c:v>
                </c:pt>
                <c:pt idx="23">
                  <c:v>M013</c:v>
                </c:pt>
              </c:strCache>
            </c:strRef>
          </c:cat>
          <c:val>
            <c:numRef>
              <c:f>'Margin View (Trial, Approx.)'!$C$74:$C$97</c:f>
              <c:numCache>
                <c:formatCode>General</c:formatCode>
                <c:ptCount val="24"/>
                <c:pt idx="0">
                  <c:v>4.48</c:v>
                </c:pt>
                <c:pt idx="1">
                  <c:v>4.24</c:v>
                </c:pt>
                <c:pt idx="2">
                  <c:v>4.04</c:v>
                </c:pt>
                <c:pt idx="3">
                  <c:v>2.87</c:v>
                </c:pt>
                <c:pt idx="4">
                  <c:v>2.84</c:v>
                </c:pt>
                <c:pt idx="5">
                  <c:v>2.77</c:v>
                </c:pt>
                <c:pt idx="6">
                  <c:v>2.44</c:v>
                </c:pt>
                <c:pt idx="7">
                  <c:v>2.33</c:v>
                </c:pt>
                <c:pt idx="8">
                  <c:v>2.02</c:v>
                </c:pt>
                <c:pt idx="9">
                  <c:v>1.99</c:v>
                </c:pt>
                <c:pt idx="10">
                  <c:v>1.84</c:v>
                </c:pt>
                <c:pt idx="11">
                  <c:v>1.44</c:v>
                </c:pt>
                <c:pt idx="12">
                  <c:v>1.43</c:v>
                </c:pt>
                <c:pt idx="13">
                  <c:v>1.31</c:v>
                </c:pt>
                <c:pt idx="14">
                  <c:v>0.91</c:v>
                </c:pt>
                <c:pt idx="15">
                  <c:v>0.71</c:v>
                </c:pt>
                <c:pt idx="16">
                  <c:v>0.51</c:v>
                </c:pt>
                <c:pt idx="17">
                  <c:v>0.43</c:v>
                </c:pt>
                <c:pt idx="18">
                  <c:v>0.4</c:v>
                </c:pt>
                <c:pt idx="19">
                  <c:v>0.33</c:v>
                </c:pt>
                <c:pt idx="20">
                  <c:v>0.26</c:v>
                </c:pt>
                <c:pt idx="21">
                  <c:v>0</c:v>
                </c:pt>
                <c:pt idx="22">
                  <c:v>-0.14</c:v>
                </c:pt>
                <c:pt idx="23">
                  <c:v>-0.36</c:v>
                </c:pt>
              </c:numCache>
            </c:numRef>
          </c:val>
        </c:ser>
        <c:gapWidth val="150"/>
        <c:overlap val="0"/>
        <c:axId val="39796705"/>
        <c:axId val="61049959"/>
      </c:barChart>
      <c:catAx>
        <c:axId val="3979670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Program</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1049959"/>
        <c:crosses val="autoZero"/>
        <c:auto val="1"/>
        <c:lblAlgn val="ctr"/>
        <c:lblOffset val="100"/>
        <c:noMultiLvlLbl val="0"/>
      </c:catAx>
      <c:valAx>
        <c:axId val="6104995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Multiple (x)</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979670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0"/>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Portfolio Continuing% — Original vs. Maturity-Matched</a:t>
            </a:r>
          </a:p>
        </c:rich>
      </c:tx>
      <c:overlay val="0"/>
      <c:spPr>
        <a:noFill/>
        <a:ln w="0">
          <a:noFill/>
        </a:ln>
      </c:spPr>
    </c:title>
    <c:autoTitleDeleted val="0"/>
    <c:plotArea>
      <c:lineChart>
        <c:grouping val="standard"/>
        <c:varyColors val="0"/>
        <c:ser>
          <c:idx val="0"/>
          <c:order val="0"/>
          <c:tx>
            <c:strRef>
              <c:f>'FY Trend - Matched (Trial)'!$B$6</c:f>
              <c:strCache>
                <c:ptCount val="1"/>
                <c:pt idx="0">
                  <c:v>Original
(as observed so far)</c:v>
                </c:pt>
              </c:strCache>
            </c:strRef>
          </c:tx>
          <c:spPr>
            <a:solidFill>
              <a:srgbClr val="808080"/>
            </a:solidFill>
            <a:ln w="28440">
              <a:solidFill>
                <a:srgbClr val="808080"/>
              </a:solidFill>
              <a:round/>
            </a:ln>
          </c:spPr>
          <c:marker>
            <c:symbol val="circle"/>
            <c:size val="6"/>
            <c:spPr>
              <a:solidFill>
                <a:srgbClr val="80808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'FY Trend - Matched (Trial)'!$A$7:$A$12</c:f>
              <c:strCache>
                <c:ptCount val="6"/>
                <c:pt idx="0">
                  <c:v>FY2021</c:v>
                </c:pt>
                <c:pt idx="1">
                  <c:v>FY2022</c:v>
                </c:pt>
                <c:pt idx="2">
                  <c:v>FY2023</c:v>
                </c:pt>
                <c:pt idx="3">
                  <c:v>FY2024</c:v>
                </c:pt>
                <c:pt idx="4">
                  <c:v>FY2025</c:v>
                </c:pt>
                <c:pt idx="5">
                  <c:v>FY2026</c:v>
                </c:pt>
              </c:strCache>
            </c:strRef>
          </c:cat>
          <c:val>
            <c:numRef>
              <c:f>'FY Trend - Matched (Trial)'!$B$7:$B$12</c:f>
              <c:numCache>
                <c:formatCode>0.0%</c:formatCode>
                <c:ptCount val="6"/>
                <c:pt idx="0">
                  <c:v>0.674200801199307</c:v>
                </c:pt>
                <c:pt idx="1">
                  <c:v>0.6402923507245</c:v>
                </c:pt>
                <c:pt idx="2">
                  <c:v>0.701594207873865</c:v>
                </c:pt>
                <c:pt idx="3">
                  <c:v>0.639420983801705</c:v>
                </c:pt>
                <c:pt idx="4">
                  <c:v>0.765216901314156</c:v>
                </c:pt>
                <c:pt idx="5">
                  <c:v>0.802186293966682</c:v>
                </c:pt>
              </c:numCache>
            </c:numRef>
          </c:val>
          <c:smooth val="0"/>
        </c:ser>
        <c:ser>
          <c:idx val="1"/>
          <c:order val="1"/>
          <c:tx>
            <c:strRef>
              <c:f>'FY Trend - Matched (Trial)'!$C$6</c:f>
              <c:strCache>
                <c:ptCount val="1"/>
                <c:pt idx="0">
                  <c:v>Cut A
(matched @ 4 terms, all 6 FYs)</c:v>
                </c:pt>
              </c:strCache>
            </c:strRef>
          </c:tx>
          <c:spPr>
            <a:solidFill>
              <a:srgbClr val="bf8f00"/>
            </a:solidFill>
            <a:ln w="28440">
              <a:solidFill>
                <a:srgbClr val="bf8f00"/>
              </a:solidFill>
              <a:prstDash val="dash"/>
              <a:round/>
            </a:ln>
          </c:spPr>
          <c:marker>
            <c:symbol val="circle"/>
            <c:size val="6"/>
            <c:spPr>
              <a:solidFill>
                <a:srgbClr val="bf8f0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'FY Trend - Matched (Trial)'!$A$7:$A$12</c:f>
              <c:strCache>
                <c:ptCount val="6"/>
                <c:pt idx="0">
                  <c:v>FY2021</c:v>
                </c:pt>
                <c:pt idx="1">
                  <c:v>FY2022</c:v>
                </c:pt>
                <c:pt idx="2">
                  <c:v>FY2023</c:v>
                </c:pt>
                <c:pt idx="3">
                  <c:v>FY2024</c:v>
                </c:pt>
                <c:pt idx="4">
                  <c:v>FY2025</c:v>
                </c:pt>
                <c:pt idx="5">
                  <c:v>FY2026</c:v>
                </c:pt>
              </c:strCache>
            </c:strRef>
          </c:cat>
          <c:val>
            <c:numRef>
              <c:f>'FY Trend - Matched (Trial)'!$C$7:$C$12</c:f>
              <c:numCache>
                <c:formatCode>0.0%</c:formatCode>
                <c:ptCount val="6"/>
                <c:pt idx="0">
                  <c:v>1.00059281131289</c:v>
                </c:pt>
                <c:pt idx="1">
                  <c:v>0.986149011172297</c:v>
                </c:pt>
                <c:pt idx="2">
                  <c:v>0.984278020181547</c:v>
                </c:pt>
                <c:pt idx="3">
                  <c:v>0.997287909503809</c:v>
                </c:pt>
                <c:pt idx="4">
                  <c:v>0.98121799863749</c:v>
                </c:pt>
                <c:pt idx="5">
                  <c:v>0.802186293966682</c:v>
                </c:pt>
              </c:numCache>
            </c:numRef>
          </c:val>
          <c:smooth val="0"/>
        </c:ser>
        <c:ser>
          <c:idx val="2"/>
          <c:order val="2"/>
          <c:tx>
            <c:strRef>
              <c:f>'FY Trend - Matched (Trial)'!$D$6</c:f>
              <c:strCache>
                <c:ptCount val="1"/>
                <c:pt idx="0">
                  <c:v>Cut B
(matched @ 7 terms, FY21-25 only)</c:v>
                </c:pt>
              </c:strCache>
            </c:strRef>
          </c:tx>
          <c:spPr>
            <a:solidFill>
              <a:srgbClr val="841617"/>
            </a:solidFill>
            <a:ln w="28440">
              <a:solidFill>
                <a:srgbClr val="841617"/>
              </a:solidFill>
              <a:round/>
            </a:ln>
          </c:spPr>
          <c:marker>
            <c:symbol val="circle"/>
            <c:size val="6"/>
            <c:spPr>
              <a:solidFill>
                <a:srgbClr val="841617"/>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'FY Trend - Matched (Trial)'!$A$7:$A$12</c:f>
              <c:strCache>
                <c:ptCount val="6"/>
                <c:pt idx="0">
                  <c:v>FY2021</c:v>
                </c:pt>
                <c:pt idx="1">
                  <c:v>FY2022</c:v>
                </c:pt>
                <c:pt idx="2">
                  <c:v>FY2023</c:v>
                </c:pt>
                <c:pt idx="3">
                  <c:v>FY2024</c:v>
                </c:pt>
                <c:pt idx="4">
                  <c:v>FY2025</c:v>
                </c:pt>
                <c:pt idx="5">
                  <c:v>FY2026</c:v>
                </c:pt>
              </c:strCache>
            </c:strRef>
          </c:cat>
          <c:val>
            <c:numRef>
              <c:f>'FY Trend - Matched (Trial)'!$D$7:$D$12</c:f>
              <c:numCache>
                <c:formatCode>0.0%</c:formatCode>
                <c:ptCount val="6"/>
                <c:pt idx="0">
                  <c:v>0.674200801199307</c:v>
                </c:pt>
                <c:pt idx="1">
                  <c:v>0.709230637429377</c:v>
                </c:pt>
                <c:pt idx="2">
                  <c:v>0.701594207873865</c:v>
                </c:pt>
                <c:pt idx="3">
                  <c:v>0.713085926138797</c:v>
                </c:pt>
                <c:pt idx="4">
                  <c:v>0.765216901314156</c:v>
                </c:pt>
              </c:numCache>
            </c:numRef>
          </c:val>
          <c:smooth val="0"/>
        </c:ser>
        <c:hiLowLines>
          <c:spPr>
            <a:ln w="0">
              <a:noFill/>
            </a:ln>
          </c:spPr>
        </c:hiLowLines>
        <c:marker val="1"/>
        <c:axId val="42510772"/>
        <c:axId val="95460549"/>
      </c:lineChart>
      <c:catAx>
        <c:axId val="42510772"/>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460549"/>
        <c:crosses val="autoZero"/>
        <c:auto val="1"/>
        <c:lblAlgn val="ctr"/>
        <c:lblOffset val="100"/>
        <c:noMultiLvlLbl val="0"/>
      </c:catAx>
      <c:valAx>
        <c:axId val="95460549"/>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Continuing Student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251077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LTR vs. CAC — Strategic Portfolio View (Norman Graduate Programs, FY26)</a:t>
            </a:r>
          </a:p>
        </c:rich>
      </c:tx>
      <c:overlay val="0"/>
      <c:spPr>
        <a:noFill/>
        <a:ln w="0">
          <a:noFill/>
        </a:ln>
      </c:spPr>
    </c:title>
    <c:autoTitleDeleted val="0"/>
    <c:plotArea>
      <c:scatterChart>
        <c:scatterStyle val="lineMarker"/>
        <c:varyColors val="0"/>
        <c:ser>
          <c:idx val="0"/>
          <c:order val="0"/>
          <c:tx>
            <c:strRef>
              <c:f>"Max Spend"</c:f>
              <c:strCache>
                <c:ptCount val="1"/>
                <c:pt idx="0">
                  <c:v>Max Spend</c:v>
                </c:pt>
              </c:strCache>
            </c:strRef>
          </c:tx>
          <c:spPr>
            <a:solidFill>
              <a:srgbClr val="2e7d32"/>
            </a:solidFill>
            <a:ln w="28440">
              <a:noFill/>
            </a:ln>
          </c:spPr>
          <c:marker>
            <c:symbol val="circle"/>
            <c:size val="8"/>
            <c:spPr>
              <a:solidFill>
                <a:srgbClr val="2e7d32"/>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'LTR vs CAC Matrix (Trial)'!$B$6:$B$11</c:f>
              <c:numCache>
                <c:formatCode>General</c:formatCode>
                <c:ptCount val="6"/>
                <c:pt idx="0">
                  <c:v>29413.17</c:v>
                </c:pt>
                <c:pt idx="1">
                  <c:v>39095.33</c:v>
                </c:pt>
                <c:pt idx="2">
                  <c:v>24566.94</c:v>
                </c:pt>
                <c:pt idx="3">
                  <c:v>25235.44</c:v>
                </c:pt>
                <c:pt idx="4">
                  <c:v>25130.94</c:v>
                </c:pt>
                <c:pt idx="5">
                  <c:v>25430.97</c:v>
                </c:pt>
              </c:numCache>
            </c:numRef>
          </c:xVal>
          <c:yVal>
            <c:numRef>
              <c:f>'LTR vs CAC Matrix (Trial)'!$C$6:$C$11</c:f>
              <c:numCache>
                <c:formatCode>General</c:formatCode>
                <c:ptCount val="6"/>
                <c:pt idx="0">
                  <c:v>1765.88</c:v>
                </c:pt>
                <c:pt idx="1">
                  <c:v>3320.06</c:v>
                </c:pt>
                <c:pt idx="2">
                  <c:v>2694.18</c:v>
                </c:pt>
                <c:pt idx="3">
                  <c:v>3492.26</c:v>
                </c:pt>
                <c:pt idx="4">
                  <c:v>1510.04</c:v>
                </c:pt>
                <c:pt idx="5">
                  <c:v>3073.17</c:v>
                </c:pt>
              </c:numCache>
            </c:numRef>
          </c:yVal>
          <c:smooth val="1"/>
        </c:ser>
        <c:ser>
          <c:idx val="1"/>
          <c:order val="1"/>
          <c:tx>
            <c:strRef>
              <c:f>"Evaluate Spend &amp; Channel Strategy"</c:f>
              <c:strCache>
                <c:ptCount val="1"/>
                <c:pt idx="0">
                  <c:v>Evaluate Spend &amp; Channel Strategy</c:v>
                </c:pt>
              </c:strCache>
            </c:strRef>
          </c:tx>
          <c:spPr>
            <a:solidFill>
              <a:srgbClr val="bf8f00"/>
            </a:solidFill>
            <a:ln w="28440">
              <a:noFill/>
            </a:ln>
          </c:spPr>
          <c:marker>
            <c:symbol val="circle"/>
            <c:size val="8"/>
            <c:spPr>
              <a:solidFill>
                <a:srgbClr val="bf8f0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'LTR vs CAC Matrix (Trial)'!$E$6:$E$11</c:f>
              <c:numCache>
                <c:formatCode>General</c:formatCode>
                <c:ptCount val="6"/>
                <c:pt idx="0">
                  <c:v>29505.61</c:v>
                </c:pt>
                <c:pt idx="1">
                  <c:v>26009.38</c:v>
                </c:pt>
                <c:pt idx="2">
                  <c:v>24328.03</c:v>
                </c:pt>
                <c:pt idx="3">
                  <c:v>24703</c:v>
                </c:pt>
                <c:pt idx="4">
                  <c:v>23181.39</c:v>
                </c:pt>
                <c:pt idx="5">
                  <c:v>26782.16</c:v>
                </c:pt>
              </c:numCache>
            </c:numRef>
          </c:xVal>
          <c:yVal>
            <c:numRef>
              <c:f>'LTR vs CAC Matrix (Trial)'!$F$6:$F$11</c:f>
              <c:numCache>
                <c:formatCode>General</c:formatCode>
                <c:ptCount val="6"/>
                <c:pt idx="0">
                  <c:v>9906.01</c:v>
                </c:pt>
                <c:pt idx="1">
                  <c:v>4749.79</c:v>
                </c:pt>
                <c:pt idx="2">
                  <c:v>4414.21</c:v>
                </c:pt>
                <c:pt idx="3">
                  <c:v>9150.74</c:v>
                </c:pt>
                <c:pt idx="4">
                  <c:v>4899.18</c:v>
                </c:pt>
                <c:pt idx="5">
                  <c:v>4204.16</c:v>
                </c:pt>
              </c:numCache>
            </c:numRef>
          </c:yVal>
          <c:smooth val="1"/>
        </c:ser>
        <c:ser>
          <c:idx val="2"/>
          <c:order val="2"/>
          <c:tx>
            <c:strRef>
              <c:f>"Throttle Spend — Fix Persistence"</c:f>
              <c:strCache>
                <c:ptCount val="1"/>
                <c:pt idx="0">
                  <c:v>Throttle Spend — Fix Persistence</c:v>
                </c:pt>
              </c:strCache>
            </c:strRef>
          </c:tx>
          <c:spPr>
            <a:solidFill>
              <a:srgbClr val="bf8f00"/>
            </a:solidFill>
            <a:ln w="28440">
              <a:noFill/>
            </a:ln>
          </c:spPr>
          <c:marker>
            <c:symbol val="circle"/>
            <c:size val="8"/>
            <c:spPr>
              <a:solidFill>
                <a:srgbClr val="bf8f0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'LTR vs CAC Matrix (Trial)'!$H$6:$H$11</c:f>
              <c:numCache>
                <c:formatCode>General</c:formatCode>
                <c:ptCount val="6"/>
                <c:pt idx="0">
                  <c:v>19353.23</c:v>
                </c:pt>
                <c:pt idx="1">
                  <c:v>20032.2</c:v>
                </c:pt>
                <c:pt idx="2">
                  <c:v>11019.49</c:v>
                </c:pt>
                <c:pt idx="3">
                  <c:v>17651.3</c:v>
                </c:pt>
                <c:pt idx="4">
                  <c:v>18638.08</c:v>
                </c:pt>
                <c:pt idx="5">
                  <c:v>22435.45</c:v>
                </c:pt>
              </c:numCache>
            </c:numRef>
          </c:xVal>
          <c:yVal>
            <c:numRef>
              <c:f>'LTR vs CAC Matrix (Trial)'!$I$6:$I$11</c:f>
              <c:numCache>
                <c:formatCode>General</c:formatCode>
                <c:ptCount val="6"/>
                <c:pt idx="0">
                  <c:v>1587.31</c:v>
                </c:pt>
                <c:pt idx="1">
                  <c:v>1786.02</c:v>
                </c:pt>
                <c:pt idx="2">
                  <c:v>562.17</c:v>
                </c:pt>
                <c:pt idx="3">
                  <c:v>3132.91</c:v>
                </c:pt>
                <c:pt idx="4">
                  <c:v>3597.88</c:v>
                </c:pt>
                <c:pt idx="5">
                  <c:v>3071.82</c:v>
                </c:pt>
              </c:numCache>
            </c:numRef>
          </c:yVal>
          <c:smooth val="1"/>
        </c:ser>
        <c:ser>
          <c:idx val="3"/>
          <c:order val="3"/>
          <c:tx>
            <c:strRef>
              <c:f>"Sunset Candidates"</c:f>
              <c:strCache>
                <c:ptCount val="1"/>
                <c:pt idx="0">
                  <c:v>Sunset Candidates</c:v>
                </c:pt>
              </c:strCache>
            </c:strRef>
          </c:tx>
          <c:spPr>
            <a:solidFill>
              <a:srgbClr val="c00000"/>
            </a:solidFill>
            <a:ln w="28440">
              <a:noFill/>
            </a:ln>
          </c:spPr>
          <c:marker>
            <c:symbol val="circle"/>
            <c:size val="8"/>
            <c:spPr>
              <a:solidFill>
                <a:srgbClr val="c0000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'LTR vs CAC Matrix (Trial)'!$K$6:$K$10</c:f>
              <c:numCache>
                <c:formatCode>General</c:formatCode>
                <c:ptCount val="5"/>
                <c:pt idx="0">
                  <c:v>22025.5</c:v>
                </c:pt>
                <c:pt idx="1">
                  <c:v>14814.7</c:v>
                </c:pt>
                <c:pt idx="2">
                  <c:v>22552.8</c:v>
                </c:pt>
                <c:pt idx="3">
                  <c:v>17918.65</c:v>
                </c:pt>
                <c:pt idx="4">
                  <c:v>19863.29</c:v>
                </c:pt>
              </c:numCache>
            </c:numRef>
          </c:xVal>
          <c:yVal>
            <c:numRef>
              <c:f>'LTR vs CAC Matrix (Trial)'!$L$6:$L$10</c:f>
              <c:numCache>
                <c:formatCode>General</c:formatCode>
                <c:ptCount val="5"/>
                <c:pt idx="0">
                  <c:v>8456.52</c:v>
                </c:pt>
                <c:pt idx="1">
                  <c:v>6088.15</c:v>
                </c:pt>
                <c:pt idx="2">
                  <c:v>3803.68</c:v>
                </c:pt>
                <c:pt idx="3">
                  <c:v>4249.14</c:v>
                </c:pt>
                <c:pt idx="4">
                  <c:v>5692.38</c:v>
                </c:pt>
              </c:numCache>
            </c:numRef>
          </c:yVal>
          <c:smooth val="1"/>
        </c:ser>
        <c:ser>
          <c:idx val="4"/>
          <c:order val="4"/>
          <c:tx>
            <c:strRef>
              <c:f>"Median LTR"</c:f>
              <c:strCache>
                <c:ptCount val="1"/>
                <c:pt idx="0">
                  <c:v>Median LTR</c:v>
                </c:pt>
              </c:strCache>
            </c:strRef>
          </c:tx>
          <c:spPr>
            <a:solidFill>
              <a:srgbClr val="a6a6a6"/>
            </a:solidFill>
            <a:ln w="12600">
              <a:solidFill>
                <a:srgbClr val="a6a6a6"/>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'LTR vs CAC Matrix (Trial)'!$B$13:$C$13</c:f>
              <c:numCache>
                <c:formatCode>General</c:formatCode>
                <c:ptCount val="2"/>
                <c:pt idx="0">
                  <c:v>23181.38671875</c:v>
                </c:pt>
                <c:pt idx="1">
                  <c:v>23181.38671875</c:v>
                </c:pt>
              </c:numCache>
            </c:numRef>
          </c:xVal>
          <c:yVal>
            <c:numRef>
              <c:f>'LTR vs CAC Matrix (Trial)'!$B$14:$C$14</c:f>
              <c:numCache>
                <c:formatCode>General</c:formatCode>
                <c:ptCount val="2"/>
                <c:pt idx="0">
                  <c:v>0</c:v>
                </c:pt>
                <c:pt idx="1">
                  <c:v>10896.6072068966</c:v>
                </c:pt>
              </c:numCache>
            </c:numRef>
          </c:yVal>
          <c:smooth val="1"/>
        </c:ser>
        <c:ser>
          <c:idx val="5"/>
          <c:order val="5"/>
          <c:tx>
            <c:strRef>
              <c:f>"Median CAC"</c:f>
              <c:strCache>
                <c:ptCount val="1"/>
                <c:pt idx="0">
                  <c:v>Median CAC</c:v>
                </c:pt>
              </c:strCache>
            </c:strRef>
          </c:tx>
          <c:spPr>
            <a:solidFill>
              <a:srgbClr val="a6a6a6"/>
            </a:solidFill>
            <a:ln w="12600">
              <a:solidFill>
                <a:srgbClr val="a6a6a6"/>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'LTR vs CAC Matrix (Trial)'!$B$15:$C$15</c:f>
              <c:numCache>
                <c:formatCode>General</c:formatCode>
                <c:ptCount val="2"/>
                <c:pt idx="0">
                  <c:v>0</c:v>
                </c:pt>
                <c:pt idx="1">
                  <c:v>43004.8666666667</c:v>
                </c:pt>
              </c:numCache>
            </c:numRef>
          </c:xVal>
          <c:yVal>
            <c:numRef>
              <c:f>'LTR vs CAC Matrix (Trial)'!$B$16:$C$16</c:f>
              <c:numCache>
                <c:formatCode>General</c:formatCode>
                <c:ptCount val="2"/>
                <c:pt idx="0">
                  <c:v>3597.87568965517</c:v>
                </c:pt>
                <c:pt idx="1">
                  <c:v>3597.87568965517</c:v>
                </c:pt>
              </c:numCache>
            </c:numRef>
          </c:yVal>
          <c:smooth val="1"/>
        </c:ser>
        <c:axId val="1628235"/>
        <c:axId val="95087545"/>
      </c:scatterChart>
      <c:valAx>
        <c:axId val="1628235"/>
        <c:scaling>
          <c:orientation val="minMax"/>
          <c:max val="43004.8666666667"/>
          <c:min val="0"/>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Lifetime Revenue per Student (LTR, $) — low to high</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087545"/>
        <c:crosses val="autoZero"/>
        <c:crossBetween val="midCat"/>
      </c:valAx>
      <c:valAx>
        <c:axId val="95087545"/>
        <c:scaling>
          <c:orientation val="maxMin"/>
          <c:max val="10896.6072068966"/>
          <c:min val="0"/>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Customer Acquisition Cost (CAC, $) — INVERTED: low at top, high at bottom</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62823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0"/>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Portfolio enrolment by term</a:t>
            </a:r>
          </a:p>
        </c:rich>
      </c:tx>
      <c:overlay val="0"/>
      <c:spPr>
        <a:noFill/>
        <a:ln w="0">
          <a:noFill/>
        </a:ln>
      </c:spPr>
    </c:title>
    <c:autoTitleDeleted val="0"/>
    <c:plotArea>
      <c:lineChart>
        <c:grouping val="standard"/>
        <c:varyColors val="0"/>
        <c:ser>
          <c:idx val="0"/>
          <c:order val="0"/>
          <c:tx>
            <c:strRef>
              <c:f>'Trends &amp; Risk Dashboard'!B95</c:f>
              <c:strCache>
                <c:ptCount val="1"/>
                <c:pt idx="0">
                  <c:v>Enrolled</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'Trends &amp; Risk Dashboard'!$A$96:$A$115</c:f>
              <c:strCache>
                <c:ptCount val="20"/>
                <c:pt idx="0">
                  <c:v>Su20</c:v>
                </c:pt>
                <c:pt idx="1">
                  <c:v>Fa20</c:v>
                </c:pt>
                <c:pt idx="2">
                  <c:v>Sp21</c:v>
                </c:pt>
                <c:pt idx="3">
                  <c:v>Su21</c:v>
                </c:pt>
                <c:pt idx="4">
                  <c:v>Fa21</c:v>
                </c:pt>
                <c:pt idx="5">
                  <c:v>Sp22</c:v>
                </c:pt>
                <c:pt idx="6">
                  <c:v>Su22</c:v>
                </c:pt>
                <c:pt idx="7">
                  <c:v>Fa22</c:v>
                </c:pt>
                <c:pt idx="8">
                  <c:v>Sp23</c:v>
                </c:pt>
                <c:pt idx="9">
                  <c:v>Su23</c:v>
                </c:pt>
                <c:pt idx="10">
                  <c:v>Fa23</c:v>
                </c:pt>
                <c:pt idx="11">
                  <c:v>Sp24</c:v>
                </c:pt>
                <c:pt idx="12">
                  <c:v>Su24</c:v>
                </c:pt>
                <c:pt idx="13">
                  <c:v>Fa24</c:v>
                </c:pt>
                <c:pt idx="14">
                  <c:v>Sp25</c:v>
                </c:pt>
                <c:pt idx="15">
                  <c:v>Su25</c:v>
                </c:pt>
                <c:pt idx="16">
                  <c:v>Fa25</c:v>
                </c:pt>
                <c:pt idx="17">
                  <c:v>Sp26</c:v>
                </c:pt>
                <c:pt idx="18">
                  <c:v>Su26</c:v>
                </c:pt>
                <c:pt idx="19">
                  <c:v>Fa26</c:v>
                </c:pt>
              </c:strCache>
            </c:strRef>
          </c:cat>
          <c:val>
            <c:numRef>
              <c:f>'Trends &amp; Risk Dashboard'!$B$96:$B$115</c:f>
              <c:numCache>
                <c:formatCode>#,##0</c:formatCode>
                <c:ptCount val="20"/>
                <c:pt idx="0">
                  <c:v>111</c:v>
                </c:pt>
                <c:pt idx="1">
                  <c:v>589</c:v>
                </c:pt>
                <c:pt idx="2">
                  <c:v>1006</c:v>
                </c:pt>
                <c:pt idx="3">
                  <c:v>957</c:v>
                </c:pt>
                <c:pt idx="4">
                  <c:v>1609</c:v>
                </c:pt>
                <c:pt idx="5">
                  <c:v>1954</c:v>
                </c:pt>
                <c:pt idx="6">
                  <c:v>1552</c:v>
                </c:pt>
                <c:pt idx="7">
                  <c:v>2202</c:v>
                </c:pt>
                <c:pt idx="8">
                  <c:v>2271</c:v>
                </c:pt>
                <c:pt idx="9">
                  <c:v>1719</c:v>
                </c:pt>
                <c:pt idx="10">
                  <c:v>2551</c:v>
                </c:pt>
                <c:pt idx="11">
                  <c:v>2760</c:v>
                </c:pt>
                <c:pt idx="12">
                  <c:v>2042</c:v>
                </c:pt>
                <c:pt idx="13">
                  <c:v>2816</c:v>
                </c:pt>
                <c:pt idx="14">
                  <c:v>2756</c:v>
                </c:pt>
                <c:pt idx="15">
                  <c:v>2025</c:v>
                </c:pt>
                <c:pt idx="16">
                  <c:v>2704</c:v>
                </c:pt>
                <c:pt idx="17">
                  <c:v>2663</c:v>
                </c:pt>
                <c:pt idx="18">
                  <c:v>1981</c:v>
                </c:pt>
                <c:pt idx="19">
                  <c:v>2482</c:v>
                </c:pt>
              </c:numCache>
            </c:numRef>
          </c:val>
          <c:smooth val="1"/>
        </c:ser>
        <c:hiLowLines>
          <c:spPr>
            <a:ln w="0">
              <a:noFill/>
            </a:ln>
          </c:spPr>
        </c:hiLowLines>
        <c:marker val="0"/>
        <c:axId val="88661608"/>
        <c:axId val="62363080"/>
      </c:lineChart>
      <c:catAx>
        <c:axId val="88661608"/>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363080"/>
        <c:crosses val="autoZero"/>
        <c:auto val="1"/>
        <c:lblAlgn val="ctr"/>
        <c:lblOffset val="100"/>
        <c:noMultiLvlLbl val="0"/>
      </c:catAx>
      <c:valAx>
        <c:axId val="6236308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86616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vs Continuing by year</a:t>
            </a:r>
          </a:p>
        </c:rich>
      </c:tx>
      <c:overlay val="0"/>
      <c:spPr>
        <a:noFill/>
        <a:ln w="0">
          <a:noFill/>
        </a:ln>
      </c:spPr>
    </c:title>
    <c:autoTitleDeleted val="0"/>
    <c:plotArea>
      <c:barChart>
        <c:barDir val="col"/>
        <c:grouping val="stacked"/>
        <c:varyColors val="0"/>
        <c:ser>
          <c:idx val="0"/>
          <c:order val="0"/>
          <c:tx>
            <c:strRef>
              <c:f>'Trends &amp; Risk Dashboard'!C118</c:f>
              <c:strCache>
                <c:ptCount val="1"/>
                <c:pt idx="0">
                  <c:v>New</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'Trends &amp; Risk Dashboard'!$A$119:$A$126</c:f>
              <c:strCache>
                <c:ptCount val="8"/>
                <c:pt idx="0">
                  <c:v>2019</c:v>
                </c:pt>
                <c:pt idx="1">
                  <c:v>2020</c:v>
                </c:pt>
                <c:pt idx="2">
                  <c:v>2021</c:v>
                </c:pt>
                <c:pt idx="3">
                  <c:v>2022</c:v>
                </c:pt>
                <c:pt idx="4">
                  <c:v>2023</c:v>
                </c:pt>
                <c:pt idx="5">
                  <c:v>2024</c:v>
                </c:pt>
                <c:pt idx="6">
                  <c:v>2025</c:v>
                </c:pt>
                <c:pt idx="7">
                  <c:v>2026</c:v>
                </c:pt>
              </c:strCache>
            </c:strRef>
          </c:cat>
          <c:val>
            <c:numRef>
              <c:f>'Trends &amp; Risk Dashboard'!$C$119:$C$126</c:f>
              <c:numCache>
                <c:formatCode>#,##0</c:formatCode>
                <c:ptCount val="8"/>
                <c:pt idx="0">
                  <c:v>111</c:v>
                </c:pt>
                <c:pt idx="1">
                  <c:v>1164</c:v>
                </c:pt>
                <c:pt idx="2">
                  <c:v>1503</c:v>
                </c:pt>
                <c:pt idx="3">
                  <c:v>1488</c:v>
                </c:pt>
                <c:pt idx="4">
                  <c:v>1776</c:v>
                </c:pt>
                <c:pt idx="5">
                  <c:v>1591</c:v>
                </c:pt>
                <c:pt idx="6">
                  <c:v>1518</c:v>
                </c:pt>
                <c:pt idx="7">
                  <c:v>700</c:v>
                </c:pt>
              </c:numCache>
            </c:numRef>
          </c:val>
        </c:ser>
        <c:ser>
          <c:idx val="1"/>
          <c:order val="1"/>
          <c:tx>
            <c:strRef>
              <c:f>'Trends &amp; Risk Dashboard'!D118</c:f>
              <c:strCache>
                <c:ptCount val="1"/>
                <c:pt idx="0">
                  <c:v>Continuing</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'Trends &amp; Risk Dashboard'!$A$119:$A$126</c:f>
              <c:strCache>
                <c:ptCount val="8"/>
                <c:pt idx="0">
                  <c:v>2019</c:v>
                </c:pt>
                <c:pt idx="1">
                  <c:v>2020</c:v>
                </c:pt>
                <c:pt idx="2">
                  <c:v>2021</c:v>
                </c:pt>
                <c:pt idx="3">
                  <c:v>2022</c:v>
                </c:pt>
                <c:pt idx="4">
                  <c:v>2023</c:v>
                </c:pt>
                <c:pt idx="5">
                  <c:v>2024</c:v>
                </c:pt>
                <c:pt idx="6">
                  <c:v>2025</c:v>
                </c:pt>
                <c:pt idx="7">
                  <c:v>2026</c:v>
                </c:pt>
              </c:strCache>
            </c:strRef>
          </c:cat>
          <c:val>
            <c:numRef>
              <c:f>'Trends &amp; Risk Dashboard'!$D$119:$D$126</c:f>
              <c:numCache>
                <c:formatCode>#,##0</c:formatCode>
                <c:ptCount val="8"/>
                <c:pt idx="0">
                  <c:v>0</c:v>
                </c:pt>
                <c:pt idx="1">
                  <c:v>1388</c:v>
                </c:pt>
                <c:pt idx="2">
                  <c:v>3612</c:v>
                </c:pt>
                <c:pt idx="3">
                  <c:v>4704</c:v>
                </c:pt>
                <c:pt idx="4">
                  <c:v>5577</c:v>
                </c:pt>
                <c:pt idx="5">
                  <c:v>6006</c:v>
                </c:pt>
                <c:pt idx="6">
                  <c:v>5830</c:v>
                </c:pt>
                <c:pt idx="7">
                  <c:v>1782</c:v>
                </c:pt>
              </c:numCache>
            </c:numRef>
          </c:val>
        </c:ser>
        <c:gapWidth val="150"/>
        <c:overlap val="100"/>
        <c:axId val="98197062"/>
        <c:axId val="15525305"/>
      </c:barChart>
      <c:catAx>
        <c:axId val="9819706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5525305"/>
        <c:crosses val="autoZero"/>
        <c:auto val="1"/>
        <c:lblAlgn val="ctr"/>
        <c:lblOffset val="100"/>
        <c:noMultiLvlLbl val="0"/>
      </c:catAx>
      <c:valAx>
        <c:axId val="15525305"/>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81970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Exits by year (grad + withdrew)</a:t>
            </a:r>
          </a:p>
        </c:rich>
      </c:tx>
      <c:overlay val="0"/>
      <c:spPr>
        <a:noFill/>
        <a:ln w="0">
          <a:noFill/>
        </a:ln>
      </c:spPr>
    </c:title>
    <c:autoTitleDeleted val="0"/>
    <c:plotArea>
      <c:barChart>
        <c:barDir val="col"/>
        <c:grouping val="clustered"/>
        <c:varyColors val="0"/>
        <c:ser>
          <c:idx val="0"/>
          <c:order val="0"/>
          <c:tx>
            <c:strRef>
              <c:f>'Trends &amp; Risk Dashboard'!E118</c:f>
              <c:strCache>
                <c:ptCount val="1"/>
                <c:pt idx="0">
                  <c:v>Exits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'Trends &amp; Risk Dashboard'!$A$119:$A$126</c:f>
              <c:strCache>
                <c:ptCount val="8"/>
                <c:pt idx="0">
                  <c:v>2019</c:v>
                </c:pt>
                <c:pt idx="1">
                  <c:v>2020</c:v>
                </c:pt>
                <c:pt idx="2">
                  <c:v>2021</c:v>
                </c:pt>
                <c:pt idx="3">
                  <c:v>2022</c:v>
                </c:pt>
                <c:pt idx="4">
                  <c:v>2023</c:v>
                </c:pt>
                <c:pt idx="5">
                  <c:v>2024</c:v>
                </c:pt>
                <c:pt idx="6">
                  <c:v>2025</c:v>
                </c:pt>
                <c:pt idx="7">
                  <c:v>2026</c:v>
                </c:pt>
              </c:strCache>
            </c:strRef>
          </c:cat>
          <c:val>
            <c:numRef>
              <c:f>'Trends &amp; Risk Dashboard'!$E$119:$E$126</c:f>
              <c:numCache>
                <c:formatCode>#,##0</c:formatCode>
                <c:ptCount val="8"/>
                <c:pt idx="0">
                  <c:v>0</c:v>
                </c:pt>
                <c:pt idx="1">
                  <c:v>318</c:v>
                </c:pt>
                <c:pt idx="2">
                  <c:v>908</c:v>
                </c:pt>
                <c:pt idx="3">
                  <c:v>1321</c:v>
                </c:pt>
                <c:pt idx="4">
                  <c:v>1453</c:v>
                </c:pt>
                <c:pt idx="5">
                  <c:v>1608</c:v>
                </c:pt>
                <c:pt idx="6">
                  <c:v>1562</c:v>
                </c:pt>
                <c:pt idx="7">
                  <c:v>199</c:v>
                </c:pt>
              </c:numCache>
            </c:numRef>
          </c:val>
        </c:ser>
        <c:gapWidth val="150"/>
        <c:overlap val="0"/>
        <c:axId val="62648890"/>
        <c:axId val="95768867"/>
      </c:barChart>
      <c:catAx>
        <c:axId val="6264889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768867"/>
        <c:crosses val="autoZero"/>
        <c:auto val="1"/>
        <c:lblAlgn val="ctr"/>
        <c:lblOffset val="100"/>
        <c:noMultiLvlLbl val="0"/>
      </c:catAx>
      <c:valAx>
        <c:axId val="95768867"/>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6488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Programs by tail class</a:t>
            </a:r>
          </a:p>
        </c:rich>
      </c:tx>
      <c:overlay val="0"/>
      <c:spPr>
        <a:noFill/>
        <a:ln w="0">
          <a:noFill/>
        </a:ln>
      </c:spPr>
    </c:title>
    <c:autoTitleDeleted val="0"/>
    <c:plotArea>
      <c:barChart>
        <c:barDir val="bar"/>
        <c:grouping val="clustered"/>
        <c:varyColors val="0"/>
        <c:ser>
          <c:idx val="0"/>
          <c:order val="0"/>
          <c:tx>
            <c:strRef>
              <c:f>'Trends &amp; Risk Dashboard'!B129</c:f>
              <c:strCache>
                <c:ptCount val="1"/>
                <c:pt idx="0">
                  <c:v>Programs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'Trends &amp; Risk Dashboard'!$A$130:$A$134</c:f>
              <c:strCache>
                <c:ptCount val="5"/>
                <c:pt idx="0">
                  <c:v>Short</c:v>
                </c:pt>
                <c:pt idx="1">
                  <c:v>Aligned</c:v>
                </c:pt>
                <c:pt idx="2">
                  <c:v>Long (prolonged)</c:v>
                </c:pt>
                <c:pt idx="3">
                  <c:v>Unresolved (never &lt;20%)</c:v>
                </c:pt>
                <c:pt idx="4">
                  <c:v>No data</c:v>
                </c:pt>
              </c:strCache>
            </c:strRef>
          </c:cat>
          <c:val>
            <c:numRef>
              <c:f>'Trends &amp; Risk Dashboard'!$B$130:$B$134</c:f>
              <c:numCache>
                <c:formatCode>#,##0</c:formatCode>
                <c:ptCount val="5"/>
                <c:pt idx="0">
                  <c:v>0</c:v>
                </c:pt>
                <c:pt idx="1">
                  <c:v>20</c:v>
                </c:pt>
                <c:pt idx="2">
                  <c:v>10</c:v>
                </c:pt>
                <c:pt idx="3">
                  <c:v>2</c:v>
                </c:pt>
                <c:pt idx="4">
                  <c:v>9</c:v>
                </c:pt>
              </c:numCache>
            </c:numRef>
          </c:val>
        </c:ser>
        <c:gapWidth val="150"/>
        <c:overlap val="0"/>
        <c:axId val="48435619"/>
        <c:axId val="13073991"/>
      </c:barChart>
      <c:catAx>
        <c:axId val="4843561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3073991"/>
        <c:crosses val="autoZero"/>
        <c:auto val="1"/>
        <c:lblAlgn val="ctr"/>
        <c:lblOffset val="100"/>
        <c:noMultiLvlLbl val="0"/>
      </c:catAx>
      <c:valAx>
        <c:axId val="13073991"/>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843561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97</xdr:row>
      <xdr:rowOff>160920</xdr:rowOff>
    </xdr:from>
    <xdr:to>
      <xdr:col>11</xdr:col>
      <xdr:colOff>73080</xdr:colOff>
      <xdr:row>120</xdr:row>
      <xdr:rowOff>95760</xdr:rowOff>
    </xdr:to>
    <xdr:graphicFrame>
      <xdr:nvGraphicFramePr>
        <xdr:cNvPr id="0" name="Chart 1"/>
        <xdr:cNvGraphicFramePr/>
      </xdr:nvGraphicFramePr>
      <xdr:xfrm>
        <a:off x="0" y="16039080"/>
        <a:ext cx="11515320" cy="4097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160560</xdr:rowOff>
    </xdr:from>
    <xdr:to>
      <xdr:col>5</xdr:col>
      <xdr:colOff>405360</xdr:colOff>
      <xdr:row>36</xdr:row>
      <xdr:rowOff>117360</xdr:rowOff>
    </xdr:to>
    <xdr:graphicFrame>
      <xdr:nvGraphicFramePr>
        <xdr:cNvPr id="1" name="Chart 1"/>
        <xdr:cNvGraphicFramePr/>
      </xdr:nvGraphicFramePr>
      <xdr:xfrm>
        <a:off x="0" y="5218200"/>
        <a:ext cx="9357120" cy="37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11</xdr:col>
      <xdr:colOff>177480</xdr:colOff>
      <xdr:row>44</xdr:row>
      <xdr:rowOff>34200</xdr:rowOff>
    </xdr:to>
    <xdr:graphicFrame>
      <xdr:nvGraphicFramePr>
        <xdr:cNvPr id="2" name="Chart 1"/>
        <xdr:cNvGraphicFramePr/>
      </xdr:nvGraphicFramePr>
      <xdr:xfrm>
        <a:off x="0" y="1342080"/>
        <a:ext cx="10797120" cy="512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145440</xdr:rowOff>
    </xdr:from>
    <xdr:to>
      <xdr:col>20</xdr:col>
      <xdr:colOff>507600</xdr:colOff>
      <xdr:row>15</xdr:row>
      <xdr:rowOff>188640</xdr:rowOff>
    </xdr:to>
    <xdr:graphicFrame>
      <xdr:nvGraphicFramePr>
        <xdr:cNvPr id="3" name="Chart 1"/>
        <xdr:cNvGraphicFramePr/>
      </xdr:nvGraphicFramePr>
      <xdr:xfrm>
        <a:off x="14990400" y="914400"/>
        <a:ext cx="53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0</xdr:colOff>
      <xdr:row>2</xdr:row>
      <xdr:rowOff>145440</xdr:rowOff>
    </xdr:from>
    <xdr:to>
      <xdr:col>28</xdr:col>
      <xdr:colOff>507600</xdr:colOff>
      <xdr:row>15</xdr:row>
      <xdr:rowOff>188640</xdr:rowOff>
    </xdr:to>
    <xdr:graphicFrame>
      <xdr:nvGraphicFramePr>
        <xdr:cNvPr id="4" name="Chart 2"/>
        <xdr:cNvGraphicFramePr/>
      </xdr:nvGraphicFramePr>
      <xdr:xfrm>
        <a:off x="19882440" y="914400"/>
        <a:ext cx="539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16</xdr:row>
      <xdr:rowOff>526680</xdr:rowOff>
    </xdr:from>
    <xdr:to>
      <xdr:col>20</xdr:col>
      <xdr:colOff>507600</xdr:colOff>
      <xdr:row>26</xdr:row>
      <xdr:rowOff>292680</xdr:rowOff>
    </xdr:to>
    <xdr:graphicFrame>
      <xdr:nvGraphicFramePr>
        <xdr:cNvPr id="5" name="Chart 3"/>
        <xdr:cNvGraphicFramePr/>
      </xdr:nvGraphicFramePr>
      <xdr:xfrm>
        <a:off x="14990400" y="3962520"/>
        <a:ext cx="539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0</xdr:colOff>
      <xdr:row>16</xdr:row>
      <xdr:rowOff>526680</xdr:rowOff>
    </xdr:from>
    <xdr:to>
      <xdr:col>28</xdr:col>
      <xdr:colOff>507600</xdr:colOff>
      <xdr:row>26</xdr:row>
      <xdr:rowOff>292680</xdr:rowOff>
    </xdr:to>
    <xdr:graphicFrame>
      <xdr:nvGraphicFramePr>
        <xdr:cNvPr id="6" name="Chart 4"/>
        <xdr:cNvGraphicFramePr/>
      </xdr:nvGraphicFramePr>
      <xdr:xfrm>
        <a:off x="19882440" y="3962520"/>
        <a:ext cx="5399640" cy="25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9.xml.rels><?xml version="1.0" encoding="UTF-8"?>
<Relationships xmlns="http://schemas.openxmlformats.org/package/2006/relationships"><Relationship Id="rId1" Type="http://schemas.openxmlformats.org/officeDocument/2006/relationships/drawing" Target="../drawings/drawing1.xml"/>
</Relationships>
</file>

<file path=xl/worksheets/_rels/sheet20.xml.rels><?xml version="1.0" encoding="UTF-8"?>
<Relationships xmlns="http://schemas.openxmlformats.org/package/2006/relationships"><Relationship Id="rId1" Type="http://schemas.openxmlformats.org/officeDocument/2006/relationships/drawing" Target="../drawings/drawing2.xml"/>
</Relationships>
</file>

<file path=xl/worksheets/_rels/sheet22.xml.rels><?xml version="1.0" encoding="UTF-8"?>
<Relationships xmlns="http://schemas.openxmlformats.org/package/2006/relationships"><Relationship Id="rId1" Type="http://schemas.openxmlformats.org/officeDocument/2006/relationships/drawing" Target="../drawings/drawing3.xml"/>
</Relationships>
</file>

<file path=xl/worksheets/_rels/sheet32.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110"/>
  </cols>
  <sheetData>
    <row r="1" customFormat="false" ht="18" hidden="false" customHeight="true" outlineLevel="0" collapsed="false">
      <c r="A1" s="1" t="s">
        <v>0</v>
      </c>
    </row>
    <row r="2" customFormat="false" ht="42" hidden="false" customHeight="true" outlineLevel="0" collapsed="false">
      <c r="A2" s="2" t="s">
        <v>1</v>
      </c>
    </row>
    <row r="3" customFormat="false" ht="18" hidden="false" customHeight="true" outlineLevel="0" collapsed="false">
      <c r="A3" s="3"/>
    </row>
    <row r="4" customFormat="false" ht="18" hidden="false" customHeight="true" outlineLevel="0" collapsed="false">
      <c r="A4" s="4" t="s">
        <v>2</v>
      </c>
    </row>
    <row r="5" customFormat="false" ht="42" hidden="false" customHeight="true" outlineLevel="0" collapsed="false">
      <c r="A5" s="3" t="s">
        <v>3</v>
      </c>
    </row>
    <row r="6" customFormat="false" ht="69.75" hidden="false" customHeight="true" outlineLevel="0" collapsed="false">
      <c r="A6" s="3" t="s">
        <v>4</v>
      </c>
    </row>
    <row r="7" customFormat="false" ht="42" hidden="false" customHeight="true" outlineLevel="0" collapsed="false">
      <c r="A7" s="3" t="s">
        <v>5</v>
      </c>
    </row>
    <row r="8" customFormat="false" ht="27.75" hidden="false" customHeight="true" outlineLevel="0" collapsed="false">
      <c r="A8" s="3" t="s">
        <v>6</v>
      </c>
    </row>
    <row r="9" customFormat="false" ht="18" hidden="false" customHeight="true" outlineLevel="0" collapsed="false">
      <c r="A9" s="3"/>
    </row>
    <row r="10" customFormat="false" ht="18" hidden="false" customHeight="true" outlineLevel="0" collapsed="false">
      <c r="A10" s="4" t="s">
        <v>7</v>
      </c>
    </row>
    <row r="11" customFormat="false" ht="42" hidden="false" customHeight="true" outlineLevel="0" collapsed="false">
      <c r="A11" s="3" t="s">
        <v>8</v>
      </c>
    </row>
    <row r="12" customFormat="false" ht="27.75" hidden="false" customHeight="true" outlineLevel="0" collapsed="false">
      <c r="A12" s="3" t="s">
        <v>9</v>
      </c>
    </row>
    <row r="13" customFormat="false" ht="55.5" hidden="false" customHeight="true" outlineLevel="0" collapsed="false">
      <c r="A13" s="3" t="s">
        <v>10</v>
      </c>
    </row>
    <row r="14" customFormat="false" ht="18" hidden="false" customHeight="true" outlineLevel="0" collapsed="false">
      <c r="A14" s="3"/>
    </row>
    <row r="15" customFormat="false" ht="18" hidden="false" customHeight="true" outlineLevel="0" collapsed="false">
      <c r="A15" s="4" t="s">
        <v>11</v>
      </c>
    </row>
    <row r="16" customFormat="false" ht="55.5" hidden="false" customHeight="true" outlineLevel="0" collapsed="false">
      <c r="A16" s="3" t="s">
        <v>12</v>
      </c>
    </row>
    <row r="17" customFormat="false" ht="18" hidden="false" customHeight="true" outlineLevel="0" collapsed="false">
      <c r="A17" s="3"/>
    </row>
    <row r="18" customFormat="false" ht="18" hidden="false" customHeight="true" outlineLevel="0" collapsed="false">
      <c r="A18" s="4" t="s">
        <v>13</v>
      </c>
    </row>
    <row r="19" customFormat="false" ht="42" hidden="false" customHeight="true" outlineLevel="0" collapsed="false">
      <c r="A19" s="3" t="s">
        <v>14</v>
      </c>
    </row>
    <row r="20" customFormat="false" ht="42" hidden="false" customHeight="true" outlineLevel="0" collapsed="false">
      <c r="A20" s="3" t="s">
        <v>15</v>
      </c>
    </row>
    <row r="21" customFormat="false" ht="18" hidden="false" customHeight="true" outlineLevel="0" collapsed="false">
      <c r="A21" s="3"/>
    </row>
    <row r="22" customFormat="false" ht="18" hidden="false" customHeight="true" outlineLevel="0" collapsed="false">
      <c r="A22" s="5" t="s">
        <v>16</v>
      </c>
    </row>
    <row r="23" customFormat="false" ht="27.75" hidden="false" customHeight="true" outlineLevel="0" collapsed="false">
      <c r="A23" s="3" t="s">
        <v>17</v>
      </c>
    </row>
    <row r="24" customFormat="false" ht="84" hidden="false" customHeight="true" outlineLevel="0" collapsed="false">
      <c r="A24" s="3" t="s">
        <v>18</v>
      </c>
    </row>
    <row r="25" customFormat="false" ht="97.5" hidden="false" customHeight="true" outlineLevel="0" collapsed="false">
      <c r="A25" s="3" t="s">
        <v>19</v>
      </c>
    </row>
    <row r="26" customFormat="false" ht="111.75" hidden="false" customHeight="true" outlineLevel="0" collapsed="false">
      <c r="A26" s="3" t="s">
        <v>20</v>
      </c>
    </row>
    <row r="27" customFormat="false" ht="55.5" hidden="false" customHeight="true" outlineLevel="0" collapsed="false">
      <c r="A27" s="3" t="s">
        <v>21</v>
      </c>
    </row>
    <row r="28" customFormat="false" ht="18" hidden="false" customHeight="true" outlineLevel="0" collapsed="false">
      <c r="A28" s="3"/>
    </row>
    <row r="29" customFormat="false" ht="18" hidden="false" customHeight="true" outlineLevel="0" collapsed="false">
      <c r="A29" s="5" t="s">
        <v>22</v>
      </c>
    </row>
    <row r="30" customFormat="false" ht="27.75" hidden="false" customHeight="true" outlineLevel="0" collapsed="false">
      <c r="A30" s="3" t="s">
        <v>23</v>
      </c>
    </row>
    <row r="31" customFormat="false" ht="42" hidden="false" customHeight="true" outlineLevel="0" collapsed="false">
      <c r="A31" s="3" t="s">
        <v>24</v>
      </c>
    </row>
    <row r="32" customFormat="false" ht="42" hidden="false" customHeight="true" outlineLevel="0" collapsed="false">
      <c r="A32" s="3" t="s">
        <v>25</v>
      </c>
    </row>
    <row r="33" customFormat="false" ht="42" hidden="false" customHeight="true" outlineLevel="0" collapsed="false">
      <c r="A33" s="3" t="s">
        <v>26</v>
      </c>
    </row>
    <row r="34" customFormat="false" ht="84" hidden="false" customHeight="true" outlineLevel="0" collapsed="false">
      <c r="A34" s="3" t="s">
        <v>27</v>
      </c>
    </row>
    <row r="35" customFormat="false" ht="18" hidden="false" customHeight="true" outlineLevel="0" collapsed="false">
      <c r="A35" s="3"/>
    </row>
    <row r="36" customFormat="false" ht="18" hidden="false" customHeight="true" outlineLevel="0" collapsed="false">
      <c r="A36" s="5" t="s">
        <v>28</v>
      </c>
    </row>
    <row r="37" customFormat="false" ht="55.5" hidden="false" customHeight="true" outlineLevel="0" collapsed="false">
      <c r="A37" s="3" t="s">
        <v>29</v>
      </c>
    </row>
    <row r="38" customFormat="false" ht="55.5" hidden="false" customHeight="true" outlineLevel="0" collapsed="false">
      <c r="A38" s="3" t="s">
        <v>30</v>
      </c>
    </row>
    <row r="39" customFormat="false" ht="69.75" hidden="false" customHeight="true" outlineLevel="0" collapsed="false">
      <c r="A39" s="3" t="s">
        <v>31</v>
      </c>
    </row>
    <row r="40" customFormat="false" ht="55.5" hidden="false" customHeight="true" outlineLevel="0" collapsed="false">
      <c r="A40" s="3" t="s">
        <v>32</v>
      </c>
    </row>
    <row r="41" customFormat="false" ht="55.5" hidden="false" customHeight="true" outlineLevel="0" collapsed="false">
      <c r="A41" s="3" t="s">
        <v>33</v>
      </c>
    </row>
    <row r="42" customFormat="false" ht="18" hidden="false" customHeight="true" outlineLevel="0" collapsed="false">
      <c r="A42" s="3"/>
    </row>
    <row r="43" customFormat="false" ht="18" hidden="false" customHeight="true" outlineLevel="0" collapsed="false">
      <c r="A43" s="5" t="s">
        <v>34</v>
      </c>
    </row>
    <row r="44" customFormat="false" ht="69.75" hidden="false" customHeight="true" outlineLevel="0" collapsed="false">
      <c r="A44" s="3" t="s">
        <v>35</v>
      </c>
    </row>
    <row r="45" customFormat="false" ht="126" hidden="false" customHeight="true" outlineLevel="0" collapsed="false">
      <c r="A45" s="3" t="s">
        <v>36</v>
      </c>
    </row>
    <row r="46" customFormat="false" ht="18" hidden="false" customHeight="true" outlineLevel="0" collapsed="false">
      <c r="A46" s="3"/>
    </row>
    <row r="47" customFormat="false" ht="18" hidden="false" customHeight="true" outlineLevel="0" collapsed="false">
      <c r="A47" s="5" t="s">
        <v>37</v>
      </c>
    </row>
    <row r="48" customFormat="false" ht="55.5" hidden="false" customHeight="true" outlineLevel="0" collapsed="false">
      <c r="A48" s="3" t="s">
        <v>38</v>
      </c>
    </row>
    <row r="49" customFormat="false" ht="55.5" hidden="false" customHeight="true" outlineLevel="0" collapsed="false">
      <c r="A49" s="3" t="s">
        <v>39</v>
      </c>
    </row>
    <row r="50" customFormat="false" ht="42" hidden="false" customHeight="true" outlineLevel="0" collapsed="false">
      <c r="A50" s="3" t="s">
        <v>40</v>
      </c>
    </row>
    <row r="51" customFormat="false" ht="18" hidden="false" customHeight="true" outlineLevel="0" collapsed="false">
      <c r="A51" s="3"/>
    </row>
    <row r="52" customFormat="false" ht="18" hidden="false" customHeight="true" outlineLevel="0" collapsed="false">
      <c r="A52" s="5" t="s">
        <v>41</v>
      </c>
    </row>
    <row r="53" customFormat="false" ht="55.5" hidden="false" customHeight="true" outlineLevel="0" collapsed="false">
      <c r="A53" s="3" t="s">
        <v>42</v>
      </c>
    </row>
    <row r="54" customFormat="false" ht="69.75" hidden="false" customHeight="true" outlineLevel="0" collapsed="false">
      <c r="A54" s="3" t="s">
        <v>43</v>
      </c>
    </row>
    <row r="55" customFormat="false" ht="126" hidden="false" customHeight="true" outlineLevel="0" collapsed="false">
      <c r="A55" s="3" t="s">
        <v>44</v>
      </c>
    </row>
    <row r="56" customFormat="false" ht="18" hidden="false" customHeight="true" outlineLevel="0" collapsed="false">
      <c r="A56" s="3"/>
    </row>
    <row r="57" customFormat="false" ht="18" hidden="false" customHeight="true" outlineLevel="0" collapsed="false">
      <c r="A57" s="5" t="s">
        <v>45</v>
      </c>
    </row>
    <row r="58" customFormat="false" ht="97.5" hidden="false" customHeight="true" outlineLevel="0" collapsed="false">
      <c r="A58" s="3" t="s">
        <v>46</v>
      </c>
    </row>
    <row r="59" customFormat="false" ht="18" hidden="false" customHeight="true" outlineLevel="0" collapsed="false">
      <c r="A59" s="3"/>
    </row>
    <row r="60" customFormat="false" ht="18" hidden="false" customHeight="true" outlineLevel="0" collapsed="false">
      <c r="A60" s="5" t="s">
        <v>47</v>
      </c>
    </row>
    <row r="61" customFormat="false" ht="97.5" hidden="false" customHeight="true" outlineLevel="0" collapsed="false">
      <c r="A61" s="3" t="s">
        <v>48</v>
      </c>
    </row>
    <row r="62" customFormat="false" ht="69.75" hidden="false" customHeight="true" outlineLevel="0" collapsed="false">
      <c r="A62" s="3" t="s">
        <v>49</v>
      </c>
    </row>
    <row r="63" customFormat="false" ht="153.75" hidden="false" customHeight="true" outlineLevel="0" collapsed="false">
      <c r="A63" s="3" t="s">
        <v>50</v>
      </c>
    </row>
    <row r="64" customFormat="false" ht="18" hidden="false" customHeight="true" outlineLevel="0" collapsed="false">
      <c r="A64" s="3"/>
    </row>
    <row r="65" customFormat="false" ht="18" hidden="false" customHeight="true" outlineLevel="0" collapsed="false">
      <c r="A65" s="5" t="s">
        <v>51</v>
      </c>
    </row>
    <row r="66" customFormat="false" ht="42" hidden="false" customHeight="true" outlineLevel="0" collapsed="false">
      <c r="A66" s="3" t="s">
        <v>52</v>
      </c>
    </row>
    <row r="67" customFormat="false" ht="97.5" hidden="false" customHeight="true" outlineLevel="0" collapsed="false">
      <c r="A67" s="3" t="s">
        <v>53</v>
      </c>
    </row>
    <row r="68" customFormat="false" ht="84" hidden="false" customHeight="true" outlineLevel="0" collapsed="false">
      <c r="A68" s="3" t="s">
        <v>54</v>
      </c>
    </row>
    <row r="69" customFormat="false" ht="69.75" hidden="false" customHeight="true" outlineLevel="0" collapsed="false">
      <c r="A69" s="3" t="s">
        <v>55</v>
      </c>
    </row>
    <row r="70" customFormat="false" ht="111.75" hidden="false" customHeight="true" outlineLevel="0" collapsed="false">
      <c r="A70" s="3" t="s">
        <v>56</v>
      </c>
    </row>
    <row r="71" customFormat="false" ht="55.5" hidden="false" customHeight="true" outlineLevel="0" collapsed="false">
      <c r="A71" s="3" t="s">
        <v>57</v>
      </c>
    </row>
    <row r="72" customFormat="false" ht="42" hidden="false" customHeight="true" outlineLevel="0" collapsed="false">
      <c r="A72" s="3" t="s">
        <v>58</v>
      </c>
    </row>
    <row r="73" customFormat="false" ht="18" hidden="false" customHeight="true" outlineLevel="0" collapsed="false">
      <c r="A73" s="3"/>
    </row>
    <row r="74" customFormat="false" ht="18" hidden="false" customHeight="true" outlineLevel="0" collapsed="false">
      <c r="A74" s="5" t="s">
        <v>59</v>
      </c>
    </row>
    <row r="75" customFormat="false" ht="97.5" hidden="false" customHeight="true" outlineLevel="0" collapsed="false">
      <c r="A75" s="3" t="s">
        <v>60</v>
      </c>
    </row>
    <row r="76" customFormat="false" ht="111.75" hidden="false" customHeight="true" outlineLevel="0" collapsed="false">
      <c r="A76" s="3" t="s">
        <v>61</v>
      </c>
    </row>
    <row r="77" customFormat="false" ht="27.75" hidden="false" customHeight="true" outlineLevel="0" collapsed="false">
      <c r="A77" s="3" t="s">
        <v>62</v>
      </c>
    </row>
    <row r="78" customFormat="false" ht="168" hidden="false" customHeight="true" outlineLevel="0" collapsed="false">
      <c r="A78" s="3" t="s">
        <v>63</v>
      </c>
    </row>
    <row r="79" customFormat="false" ht="18" hidden="false" customHeight="true" outlineLevel="0" collapsed="false">
      <c r="A79" s="3"/>
    </row>
    <row r="80" customFormat="false" ht="18" hidden="false" customHeight="true" outlineLevel="0" collapsed="false">
      <c r="A80" s="5" t="s">
        <v>64</v>
      </c>
    </row>
    <row r="81" customFormat="false" ht="42" hidden="false" customHeight="true" outlineLevel="0" collapsed="false">
      <c r="A81" s="3" t="s">
        <v>65</v>
      </c>
    </row>
    <row r="82" customFormat="false" ht="97.5" hidden="false" customHeight="true" outlineLevel="0" collapsed="false">
      <c r="A82" s="3" t="s">
        <v>66</v>
      </c>
    </row>
    <row r="83" customFormat="false" ht="126" hidden="false" customHeight="true" outlineLevel="0" collapsed="false">
      <c r="A83" s="3" t="s">
        <v>67</v>
      </c>
    </row>
    <row r="84" customFormat="false" ht="69.75" hidden="false" customHeight="true" outlineLevel="0" collapsed="false">
      <c r="A84" s="3" t="s">
        <v>68</v>
      </c>
    </row>
    <row r="85" customFormat="false" ht="18" hidden="false" customHeight="true" outlineLevel="0" collapsed="false">
      <c r="A85" s="3"/>
    </row>
    <row r="86" customFormat="false" ht="18" hidden="false" customHeight="true" outlineLevel="0" collapsed="false">
      <c r="A86" s="5" t="s">
        <v>69</v>
      </c>
    </row>
    <row r="87" customFormat="false" ht="42" hidden="false" customHeight="true" outlineLevel="0" collapsed="false">
      <c r="A87" s="3" t="s">
        <v>70</v>
      </c>
    </row>
    <row r="88" customFormat="false" ht="55.5" hidden="false" customHeight="true" outlineLevel="0" collapsed="false">
      <c r="A88" s="3" t="s">
        <v>71</v>
      </c>
    </row>
    <row r="89" customFormat="false" ht="69.75" hidden="false" customHeight="true" outlineLevel="0" collapsed="false">
      <c r="A89" s="3" t="s">
        <v>72</v>
      </c>
    </row>
    <row r="90" customFormat="false" ht="69.75" hidden="false" customHeight="true" outlineLevel="0" collapsed="false">
      <c r="A90" s="3" t="s">
        <v>73</v>
      </c>
    </row>
    <row r="91" customFormat="false" ht="18" hidden="false" customHeight="true" outlineLevel="0" collapsed="false">
      <c r="A91" s="3"/>
    </row>
    <row r="92" customFormat="false" ht="18" hidden="false" customHeight="true" outlineLevel="0" collapsed="false">
      <c r="A92" s="5" t="s">
        <v>74</v>
      </c>
    </row>
    <row r="93" customFormat="false" ht="97.5" hidden="false" customHeight="true" outlineLevel="0" collapsed="false">
      <c r="A93" s="3" t="s">
        <v>75</v>
      </c>
    </row>
    <row r="94" customFormat="false" ht="153.75" hidden="false" customHeight="true" outlineLevel="0" collapsed="false">
      <c r="A94" s="3" t="s">
        <v>76</v>
      </c>
    </row>
    <row r="95" customFormat="false" ht="111.75" hidden="false" customHeight="true" outlineLevel="0" collapsed="false">
      <c r="A95" s="3" t="s">
        <v>77</v>
      </c>
    </row>
    <row r="96" customFormat="false" ht="84" hidden="false" customHeight="true" outlineLevel="0" collapsed="false">
      <c r="A96" s="3" t="s">
        <v>78</v>
      </c>
    </row>
    <row r="97" customFormat="false" ht="18" hidden="false" customHeight="true" outlineLevel="0" collapsed="false">
      <c r="A97" s="3"/>
    </row>
    <row r="98" customFormat="false" ht="18" hidden="false" customHeight="true" outlineLevel="0" collapsed="false">
      <c r="A98" s="5" t="s">
        <v>79</v>
      </c>
    </row>
    <row r="99" customFormat="false" ht="97.5" hidden="false" customHeight="true" outlineLevel="0" collapsed="false">
      <c r="A99" s="3" t="s">
        <v>80</v>
      </c>
    </row>
    <row r="100" customFormat="false" ht="84" hidden="false" customHeight="true" outlineLevel="0" collapsed="false">
      <c r="A100" s="3" t="s">
        <v>81</v>
      </c>
    </row>
    <row r="101" customFormat="false" ht="126" hidden="false" customHeight="true" outlineLevel="0" collapsed="false">
      <c r="A101" s="3" t="s">
        <v>82</v>
      </c>
    </row>
    <row r="102" customFormat="false" ht="84" hidden="false" customHeight="true" outlineLevel="0" collapsed="false">
      <c r="A102" s="3" t="s">
        <v>83</v>
      </c>
    </row>
    <row r="103" customFormat="false" ht="69.75" hidden="false" customHeight="true" outlineLevel="0" collapsed="false">
      <c r="A103" s="3" t="s">
        <v>84</v>
      </c>
    </row>
    <row r="104" customFormat="false" ht="18" hidden="false" customHeight="true" outlineLevel="0" collapsed="false">
      <c r="A104" s="3"/>
    </row>
    <row r="105" customFormat="false" ht="18" hidden="false" customHeight="true" outlineLevel="0" collapsed="false">
      <c r="A105" s="5" t="s">
        <v>85</v>
      </c>
    </row>
    <row r="106" customFormat="false" ht="139.5" hidden="false" customHeight="true" outlineLevel="0" collapsed="false">
      <c r="A106" s="3" t="s">
        <v>86</v>
      </c>
    </row>
    <row r="107" customFormat="false" ht="18" hidden="false" customHeight="true" outlineLevel="0" collapsed="false">
      <c r="A107" s="3"/>
    </row>
    <row r="108" customFormat="false" ht="18" hidden="false" customHeight="true" outlineLevel="0" collapsed="false">
      <c r="A108" s="5" t="s">
        <v>87</v>
      </c>
    </row>
    <row r="109" customFormat="false" ht="126" hidden="false" customHeight="true" outlineLevel="0" collapsed="false">
      <c r="A109" s="3" t="s">
        <v>88</v>
      </c>
    </row>
    <row r="110" customFormat="false" ht="18" hidden="false" customHeight="true" outlineLevel="0" collapsed="false">
      <c r="A110" s="3"/>
    </row>
    <row r="111" customFormat="false" ht="18" hidden="false" customHeight="true" outlineLevel="0" collapsed="false">
      <c r="A111" s="5" t="s">
        <v>89</v>
      </c>
    </row>
    <row r="112" customFormat="false" ht="195.75" hidden="false" customHeight="true" outlineLevel="0" collapsed="false">
      <c r="A112" s="3" t="s">
        <v>90</v>
      </c>
    </row>
    <row r="113" customFormat="false" ht="18" hidden="false" customHeight="true" outlineLevel="0" collapsed="false">
      <c r="A113" s="3"/>
    </row>
    <row r="114" customFormat="false" ht="18" hidden="false" customHeight="true" outlineLevel="0" collapsed="false">
      <c r="A114" s="5" t="s">
        <v>91</v>
      </c>
    </row>
    <row r="115" customFormat="false" ht="84" hidden="false" customHeight="true" outlineLevel="0" collapsed="false">
      <c r="A115" s="3" t="s">
        <v>92</v>
      </c>
    </row>
    <row r="116" customFormat="false" ht="69.75" hidden="false" customHeight="true" outlineLevel="0" collapsed="false">
      <c r="A116" s="3" t="s">
        <v>93</v>
      </c>
    </row>
    <row r="117" customFormat="false" ht="126" hidden="false" customHeight="true" outlineLevel="0" collapsed="false">
      <c r="A117" s="3" t="s">
        <v>94</v>
      </c>
    </row>
    <row r="118" customFormat="false" ht="69.75" hidden="false" customHeight="true" outlineLevel="0" collapsed="false">
      <c r="A118" s="3" t="s">
        <v>95</v>
      </c>
    </row>
    <row r="119" customFormat="false" ht="97.5" hidden="false" customHeight="true" outlineLevel="0" collapsed="false">
      <c r="A119" s="3" t="s">
        <v>96</v>
      </c>
    </row>
    <row r="120" customFormat="false" ht="18" hidden="false" customHeight="true" outlineLevel="0" collapsed="false">
      <c r="A120" s="3"/>
    </row>
    <row r="121" customFormat="false" ht="18" hidden="false" customHeight="true" outlineLevel="0" collapsed="false">
      <c r="A121" s="4" t="s">
        <v>97</v>
      </c>
    </row>
    <row r="122" customFormat="false" ht="27.75" hidden="false" customHeight="true" outlineLevel="0" collapsed="false">
      <c r="A122" s="3" t="s">
        <v>98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80"/>
  </cols>
  <sheetData>
    <row r="1" customFormat="false" ht="17.25" hidden="false" customHeight="true" outlineLevel="0" collapsed="false">
      <c r="A1" s="6" t="s">
        <v>99</v>
      </c>
    </row>
    <row r="3" customFormat="false" ht="39.75" hidden="false" customHeight="true" outlineLevel="0" collapsed="false">
      <c r="A3" s="7" t="s">
        <v>100</v>
      </c>
      <c r="B3" s="8" t="n">
        <v>201930</v>
      </c>
      <c r="C3" s="9" t="s">
        <v>101</v>
      </c>
    </row>
    <row r="5" customFormat="false" ht="39.75" hidden="false" customHeight="true" outlineLevel="0" collapsed="false">
      <c r="A5" s="7" t="s">
        <v>102</v>
      </c>
      <c r="B5" s="8" t="n">
        <v>9</v>
      </c>
      <c r="C5" s="9" t="s">
        <v>103</v>
      </c>
    </row>
    <row r="7" customFormat="false" ht="39.75" hidden="false" customHeight="true" outlineLevel="0" collapsed="false">
      <c r="A7" s="7" t="s">
        <v>104</v>
      </c>
      <c r="B7" s="10" t="n">
        <v>0.2</v>
      </c>
      <c r="C7" s="9" t="s">
        <v>105</v>
      </c>
    </row>
    <row r="9" customFormat="false" ht="39.75" hidden="false" customHeight="true" outlineLevel="0" collapsed="false">
      <c r="A9" s="7" t="s">
        <v>106</v>
      </c>
      <c r="B9" s="8" t="n">
        <v>30</v>
      </c>
      <c r="C9" s="9" t="s">
        <v>107</v>
      </c>
    </row>
    <row r="11" customFormat="false" ht="39.75" hidden="false" customHeight="true" outlineLevel="0" collapsed="false">
      <c r="A11" s="7" t="s">
        <v>108</v>
      </c>
      <c r="B11" s="8" t="n">
        <v>20</v>
      </c>
      <c r="C11" s="9" t="s">
        <v>109</v>
      </c>
    </row>
    <row r="13" customFormat="false" ht="15" hidden="false" customHeight="true" outlineLevel="0" collapsed="false">
      <c r="A13" s="11" t="s">
        <v>110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2" min="1" style="0" width="14"/>
  </cols>
  <sheetData>
    <row r="1" customFormat="false" ht="15" hidden="false" customHeight="true" outlineLevel="0" collapsed="false">
      <c r="A1" s="12" t="s">
        <v>111</v>
      </c>
      <c r="B1" s="12" t="s">
        <v>112</v>
      </c>
    </row>
    <row r="2" customFormat="false" ht="15" hidden="false" customHeight="true" outlineLevel="0" collapsed="false">
      <c r="A2" s="0" t="s">
        <v>113</v>
      </c>
      <c r="B2" s="0" t="n">
        <v>1</v>
      </c>
    </row>
    <row r="3" customFormat="false" ht="15" hidden="false" customHeight="true" outlineLevel="0" collapsed="false">
      <c r="A3" s="0" t="s">
        <v>114</v>
      </c>
      <c r="B3" s="0" t="n">
        <v>2</v>
      </c>
    </row>
    <row r="4" customFormat="false" ht="15" hidden="false" customHeight="true" outlineLevel="0" collapsed="false">
      <c r="A4" s="0" t="s">
        <v>115</v>
      </c>
      <c r="B4" s="0" t="n">
        <v>3</v>
      </c>
    </row>
    <row r="5" customFormat="false" ht="15" hidden="false" customHeight="true" outlineLevel="0" collapsed="false">
      <c r="A5" s="0" t="s">
        <v>116</v>
      </c>
      <c r="B5" s="0" t="n">
        <v>4</v>
      </c>
    </row>
    <row r="6" customFormat="false" ht="15" hidden="false" customHeight="true" outlineLevel="0" collapsed="false">
      <c r="A6" s="0" t="s">
        <v>117</v>
      </c>
      <c r="B6" s="0" t="n">
        <v>5</v>
      </c>
    </row>
    <row r="7" customFormat="false" ht="15" hidden="false" customHeight="true" outlineLevel="0" collapsed="false">
      <c r="A7" s="0" t="s">
        <v>118</v>
      </c>
      <c r="B7" s="0" t="n">
        <v>6</v>
      </c>
    </row>
    <row r="8" customFormat="false" ht="15" hidden="false" customHeight="true" outlineLevel="0" collapsed="false">
      <c r="A8" s="0" t="s">
        <v>119</v>
      </c>
      <c r="B8" s="0" t="n">
        <v>7</v>
      </c>
    </row>
    <row r="9" customFormat="false" ht="15" hidden="false" customHeight="true" outlineLevel="0" collapsed="false">
      <c r="A9" s="0" t="s">
        <v>120</v>
      </c>
      <c r="B9" s="0" t="n">
        <v>8</v>
      </c>
    </row>
    <row r="10" customFormat="false" ht="15" hidden="false" customHeight="true" outlineLevel="0" collapsed="false">
      <c r="A10" s="0" t="s">
        <v>121</v>
      </c>
      <c r="B10" s="0" t="n">
        <v>9</v>
      </c>
    </row>
    <row r="11" customFormat="false" ht="15" hidden="false" customHeight="true" outlineLevel="0" collapsed="false">
      <c r="A11" s="0" t="s">
        <v>122</v>
      </c>
      <c r="B11" s="0" t="n">
        <v>10</v>
      </c>
    </row>
    <row r="12" customFormat="false" ht="15" hidden="false" customHeight="true" outlineLevel="0" collapsed="false">
      <c r="A12" s="0" t="s">
        <v>123</v>
      </c>
      <c r="B12" s="0" t="n">
        <v>11</v>
      </c>
    </row>
    <row r="13" customFormat="false" ht="15" hidden="false" customHeight="true" outlineLevel="0" collapsed="false">
      <c r="A13" s="0" t="s">
        <v>124</v>
      </c>
      <c r="B13" s="0" t="n">
        <v>12</v>
      </c>
    </row>
    <row r="14" customFormat="false" ht="15" hidden="false" customHeight="true" outlineLevel="0" collapsed="false">
      <c r="A14" s="0" t="s">
        <v>125</v>
      </c>
      <c r="B14" s="0" t="n">
        <v>13</v>
      </c>
    </row>
    <row r="15" customFormat="false" ht="15" hidden="false" customHeight="true" outlineLevel="0" collapsed="false">
      <c r="A15" s="0" t="s">
        <v>126</v>
      </c>
      <c r="B15" s="0" t="n">
        <v>14</v>
      </c>
    </row>
    <row r="16" customFormat="false" ht="15" hidden="false" customHeight="true" outlineLevel="0" collapsed="false">
      <c r="A16" s="0" t="s">
        <v>127</v>
      </c>
      <c r="B16" s="0" t="n">
        <v>15</v>
      </c>
    </row>
    <row r="17" customFormat="false" ht="15" hidden="false" customHeight="true" outlineLevel="0" collapsed="false">
      <c r="A17" s="0" t="s">
        <v>128</v>
      </c>
      <c r="B17" s="0" t="n">
        <v>16</v>
      </c>
    </row>
    <row r="18" customFormat="false" ht="15" hidden="false" customHeight="true" outlineLevel="0" collapsed="false">
      <c r="A18" s="0" t="s">
        <v>129</v>
      </c>
      <c r="B18" s="0" t="n">
        <v>17</v>
      </c>
    </row>
    <row r="19" customFormat="false" ht="15" hidden="false" customHeight="true" outlineLevel="0" collapsed="false">
      <c r="A19" s="0" t="s">
        <v>130</v>
      </c>
      <c r="B19" s="0" t="n">
        <v>18</v>
      </c>
    </row>
    <row r="20" customFormat="false" ht="15" hidden="false" customHeight="true" outlineLevel="0" collapsed="false">
      <c r="A20" s="0" t="s">
        <v>131</v>
      </c>
      <c r="B20" s="0" t="n">
        <v>19</v>
      </c>
    </row>
    <row r="21" customFormat="false" ht="15" hidden="false" customHeight="true" outlineLevel="0" collapsed="false">
      <c r="A21" s="0" t="s">
        <v>132</v>
      </c>
      <c r="B21" s="0" t="n">
        <v>20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6"/>
    <col collapsed="false" customWidth="true" hidden="false" outlineLevel="0" max="4" min="4" style="0" width="46"/>
    <col collapsed="false" customWidth="true" hidden="false" outlineLevel="0" max="5" min="5" style="0" width="10"/>
    <col collapsed="false" customWidth="true" hidden="false" outlineLevel="0" max="6" min="6" style="0" width="44"/>
    <col collapsed="false" customWidth="true" hidden="false" outlineLevel="0" max="9" min="7" style="0" width="12"/>
    <col collapsed="false" customWidth="true" hidden="false" outlineLevel="0" max="10" min="10" style="0" width="20"/>
  </cols>
  <sheetData>
    <row r="1" customFormat="false" ht="15" hidden="false" customHeight="true" outlineLevel="0" collapsed="false">
      <c r="A1" s="12" t="s">
        <v>133</v>
      </c>
      <c r="B1" s="12" t="s">
        <v>134</v>
      </c>
      <c r="C1" s="12" t="s">
        <v>135</v>
      </c>
      <c r="D1" s="12" t="s">
        <v>136</v>
      </c>
      <c r="E1" s="12" t="s">
        <v>137</v>
      </c>
      <c r="F1" s="12" t="s">
        <v>138</v>
      </c>
      <c r="G1" s="12" t="s">
        <v>139</v>
      </c>
      <c r="H1" s="12" t="s">
        <v>140</v>
      </c>
      <c r="I1" s="12" t="s">
        <v>141</v>
      </c>
      <c r="J1" s="12" t="s">
        <v>142</v>
      </c>
    </row>
    <row r="2" customFormat="false" ht="15" hidden="false" customHeight="true" outlineLevel="0" collapsed="false">
      <c r="A2" s="13" t="s">
        <v>143</v>
      </c>
      <c r="B2" s="13" t="s">
        <v>144</v>
      </c>
      <c r="C2" s="14" t="s">
        <v>143</v>
      </c>
      <c r="D2" s="14" t="s">
        <v>145</v>
      </c>
      <c r="E2" s="13" t="n">
        <v>12</v>
      </c>
      <c r="F2" s="14" t="s">
        <v>146</v>
      </c>
      <c r="G2" s="13" t="n">
        <v>0</v>
      </c>
      <c r="H2" s="13" t="n">
        <v>0</v>
      </c>
      <c r="I2" s="13" t="n">
        <v>0</v>
      </c>
      <c r="J2" s="13" t="s">
        <v>147</v>
      </c>
    </row>
    <row r="3" customFormat="false" ht="15" hidden="false" customHeight="true" outlineLevel="0" collapsed="false">
      <c r="A3" s="13" t="s">
        <v>148</v>
      </c>
      <c r="B3" s="13" t="s">
        <v>149</v>
      </c>
      <c r="C3" s="14" t="s">
        <v>148</v>
      </c>
      <c r="D3" s="14" t="s">
        <v>150</v>
      </c>
      <c r="E3" s="13" t="n">
        <v>54</v>
      </c>
      <c r="F3" s="14" t="s">
        <v>151</v>
      </c>
      <c r="G3" s="13" t="n">
        <v>955</v>
      </c>
      <c r="H3" s="13" t="n">
        <v>0</v>
      </c>
      <c r="I3" s="13" t="n">
        <v>0</v>
      </c>
      <c r="J3" s="13" t="s">
        <v>147</v>
      </c>
    </row>
    <row r="4" customFormat="false" ht="95.25" hidden="false" customHeight="true" outlineLevel="0" collapsed="false">
      <c r="A4" s="15" t="s">
        <v>152</v>
      </c>
      <c r="B4" s="15" t="s">
        <v>153</v>
      </c>
      <c r="C4" s="16" t="s">
        <v>152</v>
      </c>
      <c r="D4" s="16" t="s">
        <v>154</v>
      </c>
      <c r="E4" s="15" t="n">
        <v>36</v>
      </c>
      <c r="F4" s="16" t="s">
        <v>155</v>
      </c>
      <c r="G4" s="15" t="n">
        <v>801</v>
      </c>
      <c r="H4" s="15" t="n">
        <v>0</v>
      </c>
      <c r="I4" s="15" t="n">
        <v>112</v>
      </c>
      <c r="J4" s="15" t="s">
        <v>156</v>
      </c>
    </row>
    <row r="5" customFormat="false" ht="15" hidden="false" customHeight="true" outlineLevel="0" collapsed="false">
      <c r="A5" s="13" t="s">
        <v>157</v>
      </c>
      <c r="B5" s="13" t="s">
        <v>158</v>
      </c>
      <c r="C5" s="14" t="s">
        <v>157</v>
      </c>
      <c r="D5" s="14" t="s">
        <v>145</v>
      </c>
      <c r="E5" s="13" t="n">
        <v>42</v>
      </c>
      <c r="F5" s="14" t="s">
        <v>155</v>
      </c>
      <c r="G5" s="13" t="n">
        <v>0</v>
      </c>
      <c r="H5" s="13" t="n">
        <v>0</v>
      </c>
      <c r="I5" s="13" t="n">
        <v>0</v>
      </c>
      <c r="J5" s="13" t="s">
        <v>147</v>
      </c>
    </row>
    <row r="6" customFormat="false" ht="15" hidden="false" customHeight="true" outlineLevel="0" collapsed="false">
      <c r="A6" s="17" t="s">
        <v>159</v>
      </c>
      <c r="B6" s="17" t="s">
        <v>160</v>
      </c>
      <c r="C6" s="18" t="s">
        <v>161</v>
      </c>
      <c r="D6" s="18" t="s">
        <v>150</v>
      </c>
      <c r="E6" s="17" t="n">
        <v>40</v>
      </c>
      <c r="F6" s="18" t="s">
        <v>162</v>
      </c>
      <c r="G6" s="17" t="n">
        <v>2036</v>
      </c>
      <c r="H6" s="17" t="n">
        <v>0</v>
      </c>
      <c r="I6" s="17" t="n">
        <v>272</v>
      </c>
      <c r="J6" s="17" t="s">
        <v>156</v>
      </c>
    </row>
    <row r="7" customFormat="false" ht="15" hidden="false" customHeight="true" outlineLevel="0" collapsed="false">
      <c r="A7" s="17" t="s">
        <v>163</v>
      </c>
      <c r="B7" s="17" t="s">
        <v>164</v>
      </c>
      <c r="C7" s="18" t="s">
        <v>163</v>
      </c>
      <c r="D7" s="18" t="s">
        <v>150</v>
      </c>
      <c r="E7" s="17" t="n">
        <v>33</v>
      </c>
      <c r="F7" s="18" t="s">
        <v>155</v>
      </c>
      <c r="G7" s="17" t="n">
        <v>864</v>
      </c>
      <c r="H7" s="17" t="n">
        <v>0</v>
      </c>
      <c r="I7" s="17" t="n">
        <v>146</v>
      </c>
      <c r="J7" s="17" t="s">
        <v>156</v>
      </c>
    </row>
    <row r="8" customFormat="false" ht="15" hidden="false" customHeight="true" outlineLevel="0" collapsed="false">
      <c r="A8" s="17" t="s">
        <v>165</v>
      </c>
      <c r="B8" s="17" t="s">
        <v>166</v>
      </c>
      <c r="C8" s="18" t="s">
        <v>165</v>
      </c>
      <c r="D8" s="18" t="s">
        <v>150</v>
      </c>
      <c r="E8" s="17" t="n">
        <v>30</v>
      </c>
      <c r="F8" s="18" t="s">
        <v>155</v>
      </c>
      <c r="G8" s="17" t="n">
        <v>721</v>
      </c>
      <c r="H8" s="17" t="n">
        <v>0</v>
      </c>
      <c r="I8" s="17" t="n">
        <v>80</v>
      </c>
      <c r="J8" s="17" t="s">
        <v>156</v>
      </c>
    </row>
    <row r="9" customFormat="false" ht="15" hidden="false" customHeight="true" outlineLevel="0" collapsed="false">
      <c r="A9" s="17" t="s">
        <v>167</v>
      </c>
      <c r="B9" s="17" t="s">
        <v>168</v>
      </c>
      <c r="C9" s="18" t="s">
        <v>167</v>
      </c>
      <c r="D9" s="18" t="s">
        <v>150</v>
      </c>
      <c r="E9" s="17" t="n">
        <v>33</v>
      </c>
      <c r="F9" s="18" t="s">
        <v>155</v>
      </c>
      <c r="G9" s="17" t="n">
        <v>1852</v>
      </c>
      <c r="H9" s="17" t="n">
        <v>0</v>
      </c>
      <c r="I9" s="17" t="n">
        <v>248</v>
      </c>
      <c r="J9" s="17" t="s">
        <v>156</v>
      </c>
    </row>
    <row r="10" customFormat="false" ht="15" hidden="false" customHeight="true" outlineLevel="0" collapsed="false">
      <c r="A10" s="17" t="s">
        <v>169</v>
      </c>
      <c r="B10" s="17" t="s">
        <v>170</v>
      </c>
      <c r="C10" s="18" t="s">
        <v>171</v>
      </c>
      <c r="D10" s="18" t="s">
        <v>150</v>
      </c>
      <c r="E10" s="17" t="n">
        <v>33</v>
      </c>
      <c r="F10" s="18" t="s">
        <v>155</v>
      </c>
      <c r="G10" s="17" t="n">
        <v>3652</v>
      </c>
      <c r="H10" s="17" t="n">
        <v>0</v>
      </c>
      <c r="I10" s="17" t="n">
        <v>474</v>
      </c>
      <c r="J10" s="17" t="s">
        <v>156</v>
      </c>
    </row>
    <row r="11" customFormat="false" ht="32.25" hidden="false" customHeight="true" outlineLevel="0" collapsed="false">
      <c r="A11" s="15" t="s">
        <v>172</v>
      </c>
      <c r="B11" s="15" t="s">
        <v>173</v>
      </c>
      <c r="C11" s="16" t="s">
        <v>172</v>
      </c>
      <c r="D11" s="16" t="s">
        <v>174</v>
      </c>
      <c r="E11" s="15" t="n">
        <v>30</v>
      </c>
      <c r="F11" s="16" t="s">
        <v>155</v>
      </c>
      <c r="G11" s="15" t="n">
        <v>3083</v>
      </c>
      <c r="H11" s="15" t="n">
        <v>0</v>
      </c>
      <c r="I11" s="15" t="n">
        <v>505</v>
      </c>
      <c r="J11" s="15" t="s">
        <v>156</v>
      </c>
    </row>
    <row r="12" customFormat="false" ht="178.5" hidden="false" customHeight="true" outlineLevel="0" collapsed="false">
      <c r="A12" s="17" t="s">
        <v>175</v>
      </c>
      <c r="B12" s="17" t="s">
        <v>176</v>
      </c>
      <c r="C12" s="18" t="s">
        <v>177</v>
      </c>
      <c r="D12" s="18" t="s">
        <v>178</v>
      </c>
      <c r="E12" s="17" t="n">
        <v>33</v>
      </c>
      <c r="F12" s="18" t="s">
        <v>155</v>
      </c>
      <c r="G12" s="17" t="n">
        <v>1687</v>
      </c>
      <c r="H12" s="17" t="n">
        <v>0</v>
      </c>
      <c r="I12" s="17" t="n">
        <v>256</v>
      </c>
      <c r="J12" s="17" t="s">
        <v>156</v>
      </c>
    </row>
    <row r="13" customFormat="false" ht="15" hidden="false" customHeight="true" outlineLevel="0" collapsed="false">
      <c r="A13" s="17" t="s">
        <v>179</v>
      </c>
      <c r="B13" s="17" t="s">
        <v>180</v>
      </c>
      <c r="C13" s="18" t="s">
        <v>179</v>
      </c>
      <c r="D13" s="18" t="s">
        <v>150</v>
      </c>
      <c r="E13" s="17" t="n">
        <v>60</v>
      </c>
      <c r="F13" s="18" t="s">
        <v>155</v>
      </c>
      <c r="G13" s="17" t="n">
        <v>2180</v>
      </c>
      <c r="H13" s="17" t="n">
        <v>0</v>
      </c>
      <c r="I13" s="17" t="n">
        <v>240</v>
      </c>
      <c r="J13" s="17" t="s">
        <v>156</v>
      </c>
    </row>
    <row r="14" customFormat="false" ht="15" hidden="false" customHeight="true" outlineLevel="0" collapsed="false">
      <c r="A14" s="17" t="s">
        <v>181</v>
      </c>
      <c r="B14" s="17" t="s">
        <v>182</v>
      </c>
      <c r="C14" s="18" t="s">
        <v>181</v>
      </c>
      <c r="D14" s="18" t="s">
        <v>150</v>
      </c>
      <c r="E14" s="17" t="n">
        <v>32</v>
      </c>
      <c r="F14" s="18" t="s">
        <v>155</v>
      </c>
      <c r="G14" s="17" t="n">
        <v>742</v>
      </c>
      <c r="H14" s="17" t="n">
        <v>0</v>
      </c>
      <c r="I14" s="17" t="n">
        <v>115</v>
      </c>
      <c r="J14" s="17" t="s">
        <v>156</v>
      </c>
    </row>
    <row r="15" customFormat="false" ht="15" hidden="false" customHeight="true" outlineLevel="0" collapsed="false">
      <c r="A15" s="13" t="s">
        <v>183</v>
      </c>
      <c r="B15" s="13" t="s">
        <v>184</v>
      </c>
      <c r="C15" s="14" t="s">
        <v>183</v>
      </c>
      <c r="D15" s="14" t="s">
        <v>150</v>
      </c>
      <c r="E15" s="13" t="n">
        <v>30</v>
      </c>
      <c r="F15" s="14" t="s">
        <v>155</v>
      </c>
      <c r="G15" s="13" t="n">
        <v>152</v>
      </c>
      <c r="H15" s="13" t="n">
        <v>0</v>
      </c>
      <c r="I15" s="13" t="n">
        <v>0</v>
      </c>
      <c r="J15" s="13" t="s">
        <v>147</v>
      </c>
    </row>
    <row r="16" customFormat="false" ht="15" hidden="false" customHeight="true" outlineLevel="0" collapsed="false">
      <c r="A16" s="13" t="s">
        <v>185</v>
      </c>
      <c r="B16" s="13" t="s">
        <v>186</v>
      </c>
      <c r="C16" s="14" t="s">
        <v>185</v>
      </c>
      <c r="D16" s="14" t="s">
        <v>150</v>
      </c>
      <c r="E16" s="13" t="n">
        <v>30</v>
      </c>
      <c r="F16" s="14" t="s">
        <v>155</v>
      </c>
      <c r="G16" s="13" t="n">
        <v>58</v>
      </c>
      <c r="H16" s="13" t="n">
        <v>0</v>
      </c>
      <c r="I16" s="13" t="n">
        <v>0</v>
      </c>
      <c r="J16" s="13" t="s">
        <v>147</v>
      </c>
    </row>
    <row r="17" customFormat="false" ht="15" hidden="false" customHeight="true" outlineLevel="0" collapsed="false">
      <c r="A17" s="17" t="s">
        <v>187</v>
      </c>
      <c r="B17" s="17" t="s">
        <v>188</v>
      </c>
      <c r="C17" s="18" t="s">
        <v>187</v>
      </c>
      <c r="D17" s="18" t="s">
        <v>150</v>
      </c>
      <c r="E17" s="17" t="n">
        <v>30</v>
      </c>
      <c r="F17" s="18" t="s">
        <v>155</v>
      </c>
      <c r="G17" s="17" t="n">
        <v>1871</v>
      </c>
      <c r="H17" s="17" t="n">
        <v>0</v>
      </c>
      <c r="I17" s="17" t="n">
        <v>254</v>
      </c>
      <c r="J17" s="17" t="s">
        <v>156</v>
      </c>
    </row>
    <row r="18" customFormat="false" ht="32.25" hidden="false" customHeight="true" outlineLevel="0" collapsed="false">
      <c r="A18" s="15" t="s">
        <v>189</v>
      </c>
      <c r="B18" s="15" t="s">
        <v>190</v>
      </c>
      <c r="C18" s="16" t="s">
        <v>189</v>
      </c>
      <c r="D18" s="16" t="s">
        <v>191</v>
      </c>
      <c r="E18" s="15" t="n">
        <v>32</v>
      </c>
      <c r="F18" s="16" t="s">
        <v>155</v>
      </c>
      <c r="G18" s="15" t="n">
        <v>416</v>
      </c>
      <c r="H18" s="15" t="n">
        <v>0</v>
      </c>
      <c r="I18" s="15" t="n">
        <v>82</v>
      </c>
      <c r="J18" s="15" t="s">
        <v>156</v>
      </c>
    </row>
    <row r="19" customFormat="false" ht="15" hidden="false" customHeight="true" outlineLevel="0" collapsed="false">
      <c r="A19" s="13" t="s">
        <v>192</v>
      </c>
      <c r="B19" s="13" t="s">
        <v>193</v>
      </c>
      <c r="C19" s="14" t="s">
        <v>192</v>
      </c>
      <c r="D19" s="14" t="s">
        <v>145</v>
      </c>
      <c r="E19" s="13" t="n">
        <v>32</v>
      </c>
      <c r="F19" s="14" t="s">
        <v>155</v>
      </c>
      <c r="G19" s="13" t="n">
        <v>27</v>
      </c>
      <c r="H19" s="13" t="n">
        <v>0</v>
      </c>
      <c r="I19" s="13" t="n">
        <v>0</v>
      </c>
      <c r="J19" s="13" t="s">
        <v>147</v>
      </c>
    </row>
    <row r="20" customFormat="false" ht="21.75" hidden="false" customHeight="true" outlineLevel="0" collapsed="false">
      <c r="A20" s="15" t="s">
        <v>194</v>
      </c>
      <c r="B20" s="15" t="s">
        <v>195</v>
      </c>
      <c r="C20" s="16" t="s">
        <v>194</v>
      </c>
      <c r="D20" s="16" t="s">
        <v>196</v>
      </c>
      <c r="E20" s="15" t="n">
        <v>32</v>
      </c>
      <c r="F20" s="16" t="s">
        <v>155</v>
      </c>
      <c r="G20" s="15" t="n">
        <v>2189</v>
      </c>
      <c r="H20" s="15" t="n">
        <v>0</v>
      </c>
      <c r="I20" s="15" t="n">
        <v>428</v>
      </c>
      <c r="J20" s="15" t="s">
        <v>156</v>
      </c>
    </row>
    <row r="21" customFormat="false" ht="21.75" hidden="false" customHeight="true" outlineLevel="0" collapsed="false">
      <c r="A21" s="15" t="s">
        <v>197</v>
      </c>
      <c r="B21" s="15" t="s">
        <v>198</v>
      </c>
      <c r="C21" s="16" t="s">
        <v>197</v>
      </c>
      <c r="D21" s="16" t="s">
        <v>199</v>
      </c>
      <c r="E21" s="15" t="n">
        <v>33</v>
      </c>
      <c r="F21" s="16" t="s">
        <v>155</v>
      </c>
      <c r="G21" s="15" t="n">
        <v>2864</v>
      </c>
      <c r="H21" s="15" t="n">
        <v>0</v>
      </c>
      <c r="I21" s="15" t="n">
        <v>566</v>
      </c>
      <c r="J21" s="15" t="s">
        <v>156</v>
      </c>
    </row>
    <row r="22" customFormat="false" ht="21.75" hidden="false" customHeight="true" outlineLevel="0" collapsed="false">
      <c r="A22" s="15" t="s">
        <v>200</v>
      </c>
      <c r="B22" s="15" t="s">
        <v>201</v>
      </c>
      <c r="C22" s="16" t="s">
        <v>200</v>
      </c>
      <c r="D22" s="16" t="s">
        <v>202</v>
      </c>
      <c r="E22" s="15" t="n">
        <v>32</v>
      </c>
      <c r="F22" s="16" t="s">
        <v>155</v>
      </c>
      <c r="G22" s="15" t="n">
        <v>322</v>
      </c>
      <c r="H22" s="15" t="n">
        <v>0</v>
      </c>
      <c r="I22" s="15" t="n">
        <v>68</v>
      </c>
      <c r="J22" s="15" t="s">
        <v>156</v>
      </c>
    </row>
    <row r="23" customFormat="false" ht="15" hidden="false" customHeight="true" outlineLevel="0" collapsed="false">
      <c r="A23" s="13" t="s">
        <v>203</v>
      </c>
      <c r="B23" s="13" t="s">
        <v>204</v>
      </c>
      <c r="C23" s="14" t="s">
        <v>203</v>
      </c>
      <c r="D23" s="14" t="s">
        <v>150</v>
      </c>
      <c r="E23" s="13" t="n">
        <v>30</v>
      </c>
      <c r="F23" s="14" t="s">
        <v>155</v>
      </c>
      <c r="G23" s="13" t="n">
        <v>166</v>
      </c>
      <c r="H23" s="13" t="n">
        <v>0</v>
      </c>
      <c r="I23" s="13" t="n">
        <v>0</v>
      </c>
      <c r="J23" s="13" t="s">
        <v>147</v>
      </c>
    </row>
    <row r="24" customFormat="false" ht="15" hidden="false" customHeight="true" outlineLevel="0" collapsed="false">
      <c r="A24" s="17" t="s">
        <v>205</v>
      </c>
      <c r="B24" s="17" t="s">
        <v>206</v>
      </c>
      <c r="C24" s="18" t="s">
        <v>205</v>
      </c>
      <c r="D24" s="18" t="s">
        <v>150</v>
      </c>
      <c r="E24" s="17" t="n">
        <v>30</v>
      </c>
      <c r="F24" s="18" t="s">
        <v>155</v>
      </c>
      <c r="G24" s="17" t="n">
        <v>521</v>
      </c>
      <c r="H24" s="17" t="n">
        <v>0</v>
      </c>
      <c r="I24" s="17" t="n">
        <v>49</v>
      </c>
      <c r="J24" s="17" t="s">
        <v>156</v>
      </c>
    </row>
    <row r="25" customFormat="false" ht="15" hidden="false" customHeight="true" outlineLevel="0" collapsed="false">
      <c r="A25" s="17" t="s">
        <v>207</v>
      </c>
      <c r="B25" s="17" t="s">
        <v>208</v>
      </c>
      <c r="C25" s="18" t="s">
        <v>207</v>
      </c>
      <c r="D25" s="18" t="s">
        <v>150</v>
      </c>
      <c r="E25" s="17" t="n">
        <v>32</v>
      </c>
      <c r="F25" s="18" t="s">
        <v>155</v>
      </c>
      <c r="G25" s="17" t="n">
        <v>506</v>
      </c>
      <c r="H25" s="17" t="n">
        <v>0</v>
      </c>
      <c r="I25" s="17" t="n">
        <v>77</v>
      </c>
      <c r="J25" s="17" t="s">
        <v>156</v>
      </c>
    </row>
    <row r="26" customFormat="false" ht="15" hidden="false" customHeight="true" outlineLevel="0" collapsed="false">
      <c r="A26" s="17" t="s">
        <v>209</v>
      </c>
      <c r="B26" s="17" t="s">
        <v>210</v>
      </c>
      <c r="C26" s="18" t="s">
        <v>211</v>
      </c>
      <c r="D26" s="18" t="s">
        <v>150</v>
      </c>
      <c r="E26" s="17" t="n">
        <v>30</v>
      </c>
      <c r="F26" s="18" t="s">
        <v>155</v>
      </c>
      <c r="G26" s="17" t="n">
        <v>1139</v>
      </c>
      <c r="H26" s="17" t="n">
        <v>0</v>
      </c>
      <c r="I26" s="17" t="n">
        <v>145</v>
      </c>
      <c r="J26" s="17" t="s">
        <v>156</v>
      </c>
    </row>
    <row r="27" customFormat="false" ht="21.75" hidden="false" customHeight="true" outlineLevel="0" collapsed="false">
      <c r="A27" s="15" t="s">
        <v>212</v>
      </c>
      <c r="B27" s="15" t="s">
        <v>213</v>
      </c>
      <c r="C27" s="16" t="s">
        <v>212</v>
      </c>
      <c r="D27" s="16" t="s">
        <v>214</v>
      </c>
      <c r="E27" s="15" t="n">
        <v>30</v>
      </c>
      <c r="F27" s="16" t="s">
        <v>155</v>
      </c>
      <c r="G27" s="15" t="n">
        <v>1520</v>
      </c>
      <c r="H27" s="15" t="n">
        <v>0</v>
      </c>
      <c r="I27" s="15" t="n">
        <v>218</v>
      </c>
      <c r="J27" s="15" t="s">
        <v>156</v>
      </c>
    </row>
    <row r="28" customFormat="false" ht="15" hidden="false" customHeight="true" outlineLevel="0" collapsed="false">
      <c r="A28" s="13" t="s">
        <v>215</v>
      </c>
      <c r="B28" s="13" t="s">
        <v>216</v>
      </c>
      <c r="C28" s="14" t="s">
        <v>215</v>
      </c>
      <c r="D28" s="14" t="s">
        <v>145</v>
      </c>
      <c r="E28" s="13" t="n">
        <v>30</v>
      </c>
      <c r="F28" s="14" t="s">
        <v>217</v>
      </c>
      <c r="G28" s="13" t="n">
        <v>41</v>
      </c>
      <c r="H28" s="13" t="n">
        <v>0</v>
      </c>
      <c r="I28" s="13" t="n">
        <v>0</v>
      </c>
      <c r="J28" s="13" t="s">
        <v>147</v>
      </c>
    </row>
    <row r="29" customFormat="false" ht="15" hidden="false" customHeight="true" outlineLevel="0" collapsed="false">
      <c r="A29" s="15" t="s">
        <v>218</v>
      </c>
      <c r="B29" s="15" t="s">
        <v>219</v>
      </c>
      <c r="C29" s="16" t="s">
        <v>218</v>
      </c>
      <c r="D29" s="16" t="s">
        <v>150</v>
      </c>
      <c r="E29" s="15" t="n">
        <v>30</v>
      </c>
      <c r="F29" s="16" t="s">
        <v>155</v>
      </c>
      <c r="G29" s="15" t="n">
        <v>535</v>
      </c>
      <c r="H29" s="15" t="n">
        <v>0</v>
      </c>
      <c r="I29" s="15" t="n">
        <v>24</v>
      </c>
      <c r="J29" s="15" t="s">
        <v>220</v>
      </c>
    </row>
    <row r="30" customFormat="false" ht="15" hidden="false" customHeight="true" outlineLevel="0" collapsed="false">
      <c r="A30" s="17" t="s">
        <v>221</v>
      </c>
      <c r="B30" s="17" t="s">
        <v>222</v>
      </c>
      <c r="C30" s="18" t="s">
        <v>223</v>
      </c>
      <c r="D30" s="18" t="s">
        <v>150</v>
      </c>
      <c r="E30" s="17" t="n">
        <v>32</v>
      </c>
      <c r="F30" s="18" t="s">
        <v>155</v>
      </c>
      <c r="G30" s="17" t="n">
        <v>1454</v>
      </c>
      <c r="H30" s="17" t="n">
        <v>0</v>
      </c>
      <c r="I30" s="17" t="n">
        <v>262</v>
      </c>
      <c r="J30" s="17" t="s">
        <v>156</v>
      </c>
    </row>
    <row r="31" customFormat="false" ht="15" hidden="false" customHeight="true" outlineLevel="0" collapsed="false">
      <c r="A31" s="17" t="s">
        <v>224</v>
      </c>
      <c r="B31" s="17" t="s">
        <v>225</v>
      </c>
      <c r="C31" s="18" t="s">
        <v>224</v>
      </c>
      <c r="D31" s="18" t="s">
        <v>150</v>
      </c>
      <c r="E31" s="17" t="n">
        <v>33</v>
      </c>
      <c r="F31" s="18" t="s">
        <v>155</v>
      </c>
      <c r="G31" s="17" t="n">
        <v>529</v>
      </c>
      <c r="H31" s="17" t="n">
        <v>0</v>
      </c>
      <c r="I31" s="17" t="n">
        <v>103</v>
      </c>
      <c r="J31" s="17" t="s">
        <v>156</v>
      </c>
    </row>
    <row r="32" customFormat="false" ht="15" hidden="false" customHeight="true" outlineLevel="0" collapsed="false">
      <c r="A32" s="17" t="s">
        <v>226</v>
      </c>
      <c r="B32" s="17" t="s">
        <v>227</v>
      </c>
      <c r="C32" s="18" t="s">
        <v>226</v>
      </c>
      <c r="D32" s="18" t="s">
        <v>150</v>
      </c>
      <c r="E32" s="17" t="n">
        <v>30</v>
      </c>
      <c r="F32" s="18" t="s">
        <v>155</v>
      </c>
      <c r="G32" s="17" t="n">
        <v>775</v>
      </c>
      <c r="H32" s="17" t="n">
        <v>0</v>
      </c>
      <c r="I32" s="17" t="n">
        <v>91</v>
      </c>
      <c r="J32" s="17" t="s">
        <v>156</v>
      </c>
    </row>
    <row r="33" customFormat="false" ht="15" hidden="false" customHeight="true" outlineLevel="0" collapsed="false">
      <c r="A33" s="17" t="s">
        <v>228</v>
      </c>
      <c r="B33" s="17" t="s">
        <v>229</v>
      </c>
      <c r="C33" s="18" t="s">
        <v>228</v>
      </c>
      <c r="D33" s="18" t="s">
        <v>150</v>
      </c>
      <c r="E33" s="17" t="n">
        <v>30</v>
      </c>
      <c r="F33" s="18" t="s">
        <v>155</v>
      </c>
      <c r="G33" s="17" t="n">
        <v>750</v>
      </c>
      <c r="H33" s="17" t="n">
        <v>0</v>
      </c>
      <c r="I33" s="17" t="n">
        <v>82</v>
      </c>
      <c r="J33" s="17" t="s">
        <v>156</v>
      </c>
    </row>
    <row r="34" customFormat="false" ht="15" hidden="false" customHeight="true" outlineLevel="0" collapsed="false">
      <c r="A34" s="17" t="s">
        <v>230</v>
      </c>
      <c r="B34" s="17" t="s">
        <v>231</v>
      </c>
      <c r="C34" s="18" t="s">
        <v>232</v>
      </c>
      <c r="D34" s="18" t="s">
        <v>150</v>
      </c>
      <c r="E34" s="17" t="n">
        <v>32</v>
      </c>
      <c r="F34" s="18" t="s">
        <v>155</v>
      </c>
      <c r="G34" s="17" t="n">
        <v>706</v>
      </c>
      <c r="H34" s="17" t="n">
        <v>0</v>
      </c>
      <c r="I34" s="17" t="n">
        <v>88</v>
      </c>
      <c r="J34" s="17" t="s">
        <v>156</v>
      </c>
    </row>
    <row r="35" customFormat="false" ht="15" hidden="false" customHeight="true" outlineLevel="0" collapsed="false">
      <c r="A35" s="15" t="s">
        <v>233</v>
      </c>
      <c r="B35" s="15" t="s">
        <v>234</v>
      </c>
      <c r="C35" s="16" t="s">
        <v>233</v>
      </c>
      <c r="D35" s="16" t="s">
        <v>150</v>
      </c>
      <c r="E35" s="15" t="n">
        <v>30</v>
      </c>
      <c r="F35" s="16" t="s">
        <v>155</v>
      </c>
      <c r="G35" s="15" t="n">
        <v>413</v>
      </c>
      <c r="H35" s="15" t="n">
        <v>0</v>
      </c>
      <c r="I35" s="15" t="n">
        <v>26</v>
      </c>
      <c r="J35" s="15" t="s">
        <v>220</v>
      </c>
    </row>
    <row r="36" customFormat="false" ht="15" hidden="false" customHeight="true" outlineLevel="0" collapsed="false">
      <c r="A36" s="15" t="s">
        <v>235</v>
      </c>
      <c r="B36" s="15" t="s">
        <v>236</v>
      </c>
      <c r="C36" s="16" t="s">
        <v>235</v>
      </c>
      <c r="D36" s="16" t="s">
        <v>150</v>
      </c>
      <c r="E36" s="15" t="n">
        <v>30</v>
      </c>
      <c r="F36" s="16" t="s">
        <v>155</v>
      </c>
      <c r="G36" s="15" t="n">
        <v>215</v>
      </c>
      <c r="H36" s="15" t="n">
        <v>0</v>
      </c>
      <c r="I36" s="15" t="n">
        <v>20</v>
      </c>
      <c r="J36" s="15" t="s">
        <v>220</v>
      </c>
    </row>
    <row r="37" customFormat="false" ht="15" hidden="false" customHeight="true" outlineLevel="0" collapsed="false">
      <c r="A37" s="17" t="s">
        <v>237</v>
      </c>
      <c r="B37" s="17" t="s">
        <v>238</v>
      </c>
      <c r="C37" s="18" t="s">
        <v>237</v>
      </c>
      <c r="D37" s="18" t="s">
        <v>150</v>
      </c>
      <c r="E37" s="17" t="n">
        <v>60</v>
      </c>
      <c r="F37" s="18" t="s">
        <v>155</v>
      </c>
      <c r="G37" s="17" t="n">
        <v>6825</v>
      </c>
      <c r="H37" s="17" t="n">
        <v>0</v>
      </c>
      <c r="I37" s="17" t="n">
        <v>771</v>
      </c>
      <c r="J37" s="17" t="s">
        <v>156</v>
      </c>
    </row>
    <row r="38" customFormat="false" ht="15" hidden="false" customHeight="true" outlineLevel="0" collapsed="false">
      <c r="A38" s="13" t="s">
        <v>239</v>
      </c>
      <c r="B38" s="13" t="s">
        <v>240</v>
      </c>
      <c r="C38" s="14" t="s">
        <v>239</v>
      </c>
      <c r="D38" s="14" t="s">
        <v>145</v>
      </c>
      <c r="E38" s="13" t="n">
        <v>42</v>
      </c>
      <c r="F38" s="14" t="s">
        <v>155</v>
      </c>
      <c r="G38" s="13" t="n">
        <v>0</v>
      </c>
      <c r="H38" s="13" t="n">
        <v>0</v>
      </c>
      <c r="I38" s="13" t="n">
        <v>0</v>
      </c>
      <c r="J38" s="13" t="s">
        <v>147</v>
      </c>
    </row>
    <row r="39" customFormat="false" ht="32.25" hidden="false" customHeight="true" outlineLevel="0" collapsed="false">
      <c r="A39" s="15" t="s">
        <v>241</v>
      </c>
      <c r="B39" s="15" t="s">
        <v>242</v>
      </c>
      <c r="C39" s="16" t="s">
        <v>241</v>
      </c>
      <c r="D39" s="16" t="s">
        <v>243</v>
      </c>
      <c r="E39" s="15" t="n">
        <v>24</v>
      </c>
      <c r="F39" s="16" t="s">
        <v>155</v>
      </c>
      <c r="G39" s="15" t="n">
        <v>40</v>
      </c>
      <c r="H39" s="15" t="n">
        <v>0</v>
      </c>
      <c r="I39" s="15" t="n">
        <v>9</v>
      </c>
      <c r="J39" s="15" t="s">
        <v>220</v>
      </c>
    </row>
    <row r="40" customFormat="false" ht="21.75" hidden="false" customHeight="true" outlineLevel="0" collapsed="false">
      <c r="A40" s="15" t="s">
        <v>244</v>
      </c>
      <c r="B40" s="15" t="s">
        <v>245</v>
      </c>
      <c r="C40" s="16" t="s">
        <v>244</v>
      </c>
      <c r="D40" s="16" t="s">
        <v>246</v>
      </c>
      <c r="E40" s="15" t="n">
        <v>24</v>
      </c>
      <c r="F40" s="16" t="s">
        <v>155</v>
      </c>
      <c r="G40" s="15" t="n">
        <v>37</v>
      </c>
      <c r="H40" s="15" t="n">
        <v>0</v>
      </c>
      <c r="I40" s="15" t="n">
        <v>9</v>
      </c>
      <c r="J40" s="15" t="s">
        <v>220</v>
      </c>
    </row>
    <row r="41" customFormat="false" ht="21.75" hidden="false" customHeight="true" outlineLevel="0" collapsed="false">
      <c r="A41" s="15" t="s">
        <v>247</v>
      </c>
      <c r="B41" s="15" t="s">
        <v>248</v>
      </c>
      <c r="C41" s="16" t="s">
        <v>247</v>
      </c>
      <c r="D41" s="16" t="s">
        <v>249</v>
      </c>
      <c r="E41" s="15" t="n">
        <v>25</v>
      </c>
      <c r="F41" s="16" t="s">
        <v>155</v>
      </c>
      <c r="G41" s="15" t="n">
        <v>88</v>
      </c>
      <c r="H41" s="15" t="n">
        <v>0</v>
      </c>
      <c r="I41" s="15" t="n">
        <v>19</v>
      </c>
      <c r="J41" s="15" t="s">
        <v>220</v>
      </c>
    </row>
    <row r="42" customFormat="false" ht="21.75" hidden="false" customHeight="true" outlineLevel="0" collapsed="false">
      <c r="A42" s="15" t="s">
        <v>250</v>
      </c>
      <c r="B42" s="15" t="s">
        <v>251</v>
      </c>
      <c r="C42" s="16" t="s">
        <v>250</v>
      </c>
      <c r="D42" s="16" t="s">
        <v>252</v>
      </c>
      <c r="E42" s="15" t="n">
        <v>24</v>
      </c>
      <c r="F42" s="16" t="s">
        <v>155</v>
      </c>
      <c r="G42" s="15" t="n">
        <v>16</v>
      </c>
      <c r="H42" s="15" t="n">
        <v>0</v>
      </c>
      <c r="I42" s="15" t="n">
        <v>2</v>
      </c>
      <c r="J42" s="15" t="s">
        <v>220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4" min="3" style="0" width="12"/>
    <col collapsed="false" customWidth="true" hidden="false" outlineLevel="0" max="5" min="5" style="0" width="16"/>
    <col collapsed="false" customWidth="true" hidden="false" outlineLevel="0" max="6" min="6" style="0" width="14"/>
    <col collapsed="false" customWidth="true" hidden="false" outlineLevel="0" max="8" min="7"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18"/>
  </cols>
  <sheetData>
    <row r="1" customFormat="false" ht="15" hidden="false" customHeight="true" outlineLevel="0" collapsed="false">
      <c r="A1" s="12" t="s">
        <v>133</v>
      </c>
      <c r="B1" s="12" t="s">
        <v>134</v>
      </c>
      <c r="C1" s="12" t="s">
        <v>253</v>
      </c>
      <c r="D1" s="12" t="s">
        <v>254</v>
      </c>
      <c r="E1" s="12" t="s">
        <v>255</v>
      </c>
      <c r="F1" s="12" t="s">
        <v>256</v>
      </c>
      <c r="G1" s="12" t="s">
        <v>257</v>
      </c>
      <c r="H1" s="12" t="s">
        <v>258</v>
      </c>
      <c r="I1" s="12" t="s">
        <v>259</v>
      </c>
      <c r="J1" s="12" t="s">
        <v>260</v>
      </c>
      <c r="K1" s="12" t="s">
        <v>261</v>
      </c>
      <c r="L1" s="12" t="s">
        <v>142</v>
      </c>
    </row>
    <row r="2" customFormat="false" ht="15" hidden="false" customHeight="true" outlineLevel="0" collapsed="false">
      <c r="A2" s="19" t="s">
        <v>143</v>
      </c>
      <c r="B2" s="19" t="s">
        <v>144</v>
      </c>
      <c r="C2" s="19"/>
      <c r="D2" s="19"/>
      <c r="E2" s="20"/>
      <c r="F2" s="21" t="n">
        <v>0</v>
      </c>
      <c r="G2" s="21" t="n">
        <v>0</v>
      </c>
      <c r="H2" s="19" t="n">
        <v>12</v>
      </c>
      <c r="I2" s="20"/>
      <c r="J2" s="20"/>
      <c r="K2" s="19" t="s">
        <v>262</v>
      </c>
      <c r="L2" s="19" t="s">
        <v>147</v>
      </c>
    </row>
    <row r="3" customFormat="false" ht="15" hidden="false" customHeight="true" outlineLevel="0" collapsed="false">
      <c r="A3" s="19" t="s">
        <v>148</v>
      </c>
      <c r="B3" s="19" t="s">
        <v>149</v>
      </c>
      <c r="C3" s="19"/>
      <c r="D3" s="19"/>
      <c r="E3" s="20"/>
      <c r="F3" s="21" t="n">
        <v>0</v>
      </c>
      <c r="G3" s="21" t="n">
        <v>0</v>
      </c>
      <c r="H3" s="19" t="n">
        <v>54</v>
      </c>
      <c r="I3" s="20"/>
      <c r="J3" s="20"/>
      <c r="K3" s="19" t="n">
        <v>3</v>
      </c>
      <c r="L3" s="19" t="s">
        <v>147</v>
      </c>
    </row>
    <row r="4" customFormat="false" ht="15" hidden="false" customHeight="true" outlineLevel="0" collapsed="false">
      <c r="A4" s="22" t="s">
        <v>152</v>
      </c>
      <c r="B4" s="22" t="s">
        <v>153</v>
      </c>
      <c r="C4" s="22" t="n">
        <v>112</v>
      </c>
      <c r="D4" s="22" t="n">
        <v>109</v>
      </c>
      <c r="E4" s="23" t="n">
        <v>0.973214285714286</v>
      </c>
      <c r="F4" s="24" t="n">
        <v>20.7064220183486</v>
      </c>
      <c r="G4" s="24" t="n">
        <v>22.7684080869861</v>
      </c>
      <c r="H4" s="22" t="n">
        <v>36</v>
      </c>
      <c r="I4" s="23" t="n">
        <v>0.909436528862287</v>
      </c>
      <c r="J4" s="23" t="n">
        <v>0.88507662183919</v>
      </c>
      <c r="K4" s="22" t="n">
        <v>6</v>
      </c>
      <c r="L4" s="22" t="s">
        <v>156</v>
      </c>
    </row>
    <row r="5" customFormat="false" ht="15" hidden="false" customHeight="true" outlineLevel="0" collapsed="false">
      <c r="A5" s="19" t="s">
        <v>157</v>
      </c>
      <c r="B5" s="19" t="s">
        <v>158</v>
      </c>
      <c r="C5" s="19"/>
      <c r="D5" s="19"/>
      <c r="E5" s="20"/>
      <c r="F5" s="21" t="n">
        <v>0</v>
      </c>
      <c r="G5" s="21" t="n">
        <v>0</v>
      </c>
      <c r="H5" s="19" t="n">
        <v>42</v>
      </c>
      <c r="I5" s="20"/>
      <c r="J5" s="20"/>
      <c r="K5" s="19" t="s">
        <v>262</v>
      </c>
      <c r="L5" s="19" t="s">
        <v>147</v>
      </c>
    </row>
    <row r="6" customFormat="false" ht="15" hidden="false" customHeight="true" outlineLevel="0" collapsed="false">
      <c r="A6" s="22" t="s">
        <v>159</v>
      </c>
      <c r="B6" s="22" t="s">
        <v>160</v>
      </c>
      <c r="C6" s="22" t="n">
        <v>272</v>
      </c>
      <c r="D6" s="22" t="n">
        <v>188</v>
      </c>
      <c r="E6" s="23" t="n">
        <v>0.691176470588235</v>
      </c>
      <c r="F6" s="24" t="n">
        <v>20.3191489361702</v>
      </c>
      <c r="G6" s="24" t="n">
        <v>32.5638170066702</v>
      </c>
      <c r="H6" s="22" t="n">
        <v>40</v>
      </c>
      <c r="I6" s="23" t="n">
        <v>0.623979336697787</v>
      </c>
      <c r="J6" s="23" t="n">
        <v>0.431279835658765</v>
      </c>
      <c r="K6" s="22" t="n">
        <v>9</v>
      </c>
      <c r="L6" s="22" t="s">
        <v>156</v>
      </c>
    </row>
    <row r="7" customFormat="false" ht="15" hidden="false" customHeight="true" outlineLevel="0" collapsed="false">
      <c r="A7" s="22" t="s">
        <v>163</v>
      </c>
      <c r="B7" s="22" t="s">
        <v>164</v>
      </c>
      <c r="C7" s="22" t="n">
        <v>146</v>
      </c>
      <c r="D7" s="22" t="n">
        <v>101</v>
      </c>
      <c r="E7" s="23" t="n">
        <v>0.691780821917808</v>
      </c>
      <c r="F7" s="24" t="n">
        <v>18.0594059405941</v>
      </c>
      <c r="G7" s="24" t="n">
        <v>19.1044549175856</v>
      </c>
      <c r="H7" s="22" t="n">
        <v>33</v>
      </c>
      <c r="I7" s="23" t="n">
        <v>0.945298152629857</v>
      </c>
      <c r="J7" s="23" t="n">
        <v>0.653939132983668</v>
      </c>
      <c r="K7" s="22" t="n">
        <v>6</v>
      </c>
      <c r="L7" s="22" t="s">
        <v>156</v>
      </c>
    </row>
    <row r="8" customFormat="false" ht="15" hidden="false" customHeight="true" outlineLevel="0" collapsed="false">
      <c r="A8" s="22" t="s">
        <v>165</v>
      </c>
      <c r="B8" s="22" t="s">
        <v>166</v>
      </c>
      <c r="C8" s="22" t="n">
        <v>80</v>
      </c>
      <c r="D8" s="22" t="n">
        <v>62</v>
      </c>
      <c r="E8" s="23" t="n">
        <v>0.775</v>
      </c>
      <c r="F8" s="24" t="n">
        <v>13.1129032258065</v>
      </c>
      <c r="G8" s="24" t="n">
        <v>13.2072977260709</v>
      </c>
      <c r="H8" s="22" t="n">
        <v>30</v>
      </c>
      <c r="I8" s="23" t="n">
        <v>0.992852852852853</v>
      </c>
      <c r="J8" s="23" t="n">
        <v>0.769460960960961</v>
      </c>
      <c r="K8" s="22" t="n">
        <v>5</v>
      </c>
      <c r="L8" s="22" t="s">
        <v>156</v>
      </c>
    </row>
    <row r="9" customFormat="false" ht="15" hidden="false" customHeight="true" outlineLevel="0" collapsed="false">
      <c r="A9" s="22" t="s">
        <v>167</v>
      </c>
      <c r="B9" s="22" t="s">
        <v>168</v>
      </c>
      <c r="C9" s="22" t="n">
        <v>248</v>
      </c>
      <c r="D9" s="22" t="n">
        <v>132</v>
      </c>
      <c r="E9" s="23" t="n">
        <v>0.532258064516129</v>
      </c>
      <c r="F9" s="24" t="n">
        <v>25.7651515151515</v>
      </c>
      <c r="G9" s="24" t="n">
        <v>30.8095682036931</v>
      </c>
      <c r="H9" s="22" t="n">
        <v>33</v>
      </c>
      <c r="I9" s="23" t="n">
        <v>0.836271100744058</v>
      </c>
      <c r="J9" s="23" t="n">
        <v>0.445112037492805</v>
      </c>
      <c r="K9" s="22" t="n">
        <v>9</v>
      </c>
      <c r="L9" s="22" t="s">
        <v>156</v>
      </c>
    </row>
    <row r="10" customFormat="false" ht="15" hidden="false" customHeight="true" outlineLevel="0" collapsed="false">
      <c r="A10" s="22" t="s">
        <v>169</v>
      </c>
      <c r="B10" s="22" t="s">
        <v>170</v>
      </c>
      <c r="C10" s="22" t="n">
        <v>474</v>
      </c>
      <c r="D10" s="22" t="n">
        <v>310</v>
      </c>
      <c r="E10" s="23" t="n">
        <v>0.654008438818565</v>
      </c>
      <c r="F10" s="24" t="n">
        <v>21.6741935483871</v>
      </c>
      <c r="G10" s="24" t="n">
        <v>29.3392792042271</v>
      </c>
      <c r="H10" s="22" t="n">
        <v>33</v>
      </c>
      <c r="I10" s="23" t="n">
        <v>0.738743218519983</v>
      </c>
      <c r="J10" s="23" t="n">
        <v>0.483144299032056</v>
      </c>
      <c r="K10" s="22" t="n">
        <v>9</v>
      </c>
      <c r="L10" s="22" t="s">
        <v>156</v>
      </c>
    </row>
    <row r="11" customFormat="false" ht="15" hidden="false" customHeight="true" outlineLevel="0" collapsed="false">
      <c r="A11" s="22" t="s">
        <v>172</v>
      </c>
      <c r="B11" s="22" t="s">
        <v>173</v>
      </c>
      <c r="C11" s="22" t="n">
        <v>505</v>
      </c>
      <c r="D11" s="22" t="n">
        <v>288</v>
      </c>
      <c r="E11" s="23" t="n">
        <v>0.57029702970297</v>
      </c>
      <c r="F11" s="24" t="n">
        <v>21.53125</v>
      </c>
      <c r="G11" s="24" t="n">
        <v>31.0887493251782</v>
      </c>
      <c r="H11" s="22" t="n">
        <v>30</v>
      </c>
      <c r="I11" s="23" t="n">
        <v>0.692573695222994</v>
      </c>
      <c r="J11" s="23" t="n">
        <v>0.394972721236084</v>
      </c>
      <c r="K11" s="22" t="n">
        <v>9</v>
      </c>
      <c r="L11" s="22" t="s">
        <v>156</v>
      </c>
    </row>
    <row r="12" customFormat="false" ht="15" hidden="false" customHeight="true" outlineLevel="0" collapsed="false">
      <c r="A12" s="22" t="s">
        <v>175</v>
      </c>
      <c r="B12" s="22" t="s">
        <v>176</v>
      </c>
      <c r="C12" s="22" t="n">
        <v>256</v>
      </c>
      <c r="D12" s="22" t="n">
        <v>208</v>
      </c>
      <c r="E12" s="23" t="n">
        <v>0.8125</v>
      </c>
      <c r="F12" s="24" t="n">
        <v>19.5</v>
      </c>
      <c r="G12" s="24" t="n">
        <v>19.6543215948587</v>
      </c>
      <c r="H12" s="22" t="n">
        <v>33</v>
      </c>
      <c r="I12" s="23" t="n">
        <v>0.992148210554413</v>
      </c>
      <c r="J12" s="23" t="n">
        <v>0.806120421075461</v>
      </c>
      <c r="K12" s="22" t="n">
        <v>6</v>
      </c>
      <c r="L12" s="22" t="s">
        <v>156</v>
      </c>
    </row>
    <row r="13" customFormat="false" ht="15" hidden="false" customHeight="true" outlineLevel="0" collapsed="false">
      <c r="A13" s="22" t="s">
        <v>179</v>
      </c>
      <c r="B13" s="22" t="s">
        <v>180</v>
      </c>
      <c r="C13" s="22" t="n">
        <v>240</v>
      </c>
      <c r="D13" s="22" t="n">
        <v>189</v>
      </c>
      <c r="E13" s="23" t="n">
        <v>0.7875</v>
      </c>
      <c r="F13" s="24" t="n">
        <v>39.2433862433862</v>
      </c>
      <c r="G13" s="24" t="n">
        <v>43.13814065777</v>
      </c>
      <c r="H13" s="22" t="n">
        <v>60</v>
      </c>
      <c r="I13" s="23" t="n">
        <v>0.909714365176696</v>
      </c>
      <c r="J13" s="23" t="n">
        <v>0.716400062576648</v>
      </c>
      <c r="K13" s="22" t="n">
        <v>9</v>
      </c>
      <c r="L13" s="22" t="s">
        <v>156</v>
      </c>
    </row>
    <row r="14" customFormat="false" ht="15" hidden="false" customHeight="true" outlineLevel="0" collapsed="false">
      <c r="A14" s="22" t="s">
        <v>181</v>
      </c>
      <c r="B14" s="22" t="s">
        <v>182</v>
      </c>
      <c r="C14" s="22" t="n">
        <v>115</v>
      </c>
      <c r="D14" s="22" t="n">
        <v>100</v>
      </c>
      <c r="E14" s="23" t="n">
        <v>0.869565217391304</v>
      </c>
      <c r="F14" s="24" t="n">
        <v>16.14</v>
      </c>
      <c r="G14" s="24" t="n">
        <v>23.5756618819777</v>
      </c>
      <c r="H14" s="22" t="n">
        <v>32</v>
      </c>
      <c r="I14" s="23" t="n">
        <v>0.684604321219001</v>
      </c>
      <c r="J14" s="23" t="n">
        <v>0.595308105407827</v>
      </c>
      <c r="K14" s="22" t="n">
        <v>7</v>
      </c>
      <c r="L14" s="22" t="s">
        <v>156</v>
      </c>
    </row>
    <row r="15" customFormat="false" ht="15" hidden="false" customHeight="true" outlineLevel="0" collapsed="false">
      <c r="A15" s="19" t="s">
        <v>183</v>
      </c>
      <c r="B15" s="19" t="s">
        <v>184</v>
      </c>
      <c r="C15" s="19"/>
      <c r="D15" s="19"/>
      <c r="E15" s="20"/>
      <c r="F15" s="21" t="n">
        <v>0</v>
      </c>
      <c r="G15" s="21" t="n">
        <v>0</v>
      </c>
      <c r="H15" s="19" t="n">
        <v>30</v>
      </c>
      <c r="I15" s="20"/>
      <c r="J15" s="20"/>
      <c r="K15" s="19" t="n">
        <v>3</v>
      </c>
      <c r="L15" s="19" t="s">
        <v>147</v>
      </c>
    </row>
    <row r="16" customFormat="false" ht="15" hidden="false" customHeight="true" outlineLevel="0" collapsed="false">
      <c r="A16" s="19" t="s">
        <v>185</v>
      </c>
      <c r="B16" s="19" t="s">
        <v>186</v>
      </c>
      <c r="C16" s="19"/>
      <c r="D16" s="19"/>
      <c r="E16" s="20"/>
      <c r="F16" s="21" t="n">
        <v>0</v>
      </c>
      <c r="G16" s="21" t="n">
        <v>0</v>
      </c>
      <c r="H16" s="19" t="n">
        <v>30</v>
      </c>
      <c r="I16" s="20"/>
      <c r="J16" s="20"/>
      <c r="K16" s="19" t="n">
        <v>3</v>
      </c>
      <c r="L16" s="19" t="s">
        <v>147</v>
      </c>
    </row>
    <row r="17" customFormat="false" ht="15" hidden="false" customHeight="true" outlineLevel="0" collapsed="false">
      <c r="A17" s="22" t="s">
        <v>187</v>
      </c>
      <c r="B17" s="22" t="s">
        <v>188</v>
      </c>
      <c r="C17" s="22" t="n">
        <v>254</v>
      </c>
      <c r="D17" s="22" t="n">
        <v>184</v>
      </c>
      <c r="E17" s="23" t="n">
        <v>0.724409448818898</v>
      </c>
      <c r="F17" s="24" t="n">
        <v>19.2717391304348</v>
      </c>
      <c r="G17" s="24" t="n">
        <v>25.85581402798</v>
      </c>
      <c r="H17" s="22" t="n">
        <v>30</v>
      </c>
      <c r="I17" s="23" t="n">
        <v>0.745354182605885</v>
      </c>
      <c r="J17" s="23" t="n">
        <v>0.539941612596389</v>
      </c>
      <c r="K17" s="22" t="n">
        <v>8</v>
      </c>
      <c r="L17" s="22" t="s">
        <v>156</v>
      </c>
    </row>
    <row r="18" customFormat="false" ht="15" hidden="false" customHeight="true" outlineLevel="0" collapsed="false">
      <c r="A18" s="22" t="s">
        <v>189</v>
      </c>
      <c r="B18" s="22" t="s">
        <v>190</v>
      </c>
      <c r="C18" s="22" t="n">
        <v>82</v>
      </c>
      <c r="D18" s="22" t="n">
        <v>58</v>
      </c>
      <c r="E18" s="23" t="n">
        <v>0.707317073170732</v>
      </c>
      <c r="F18" s="24" t="n">
        <v>15.1379310344828</v>
      </c>
      <c r="G18" s="24" t="n">
        <v>15.4064039408867</v>
      </c>
      <c r="H18" s="22" t="n">
        <v>32</v>
      </c>
      <c r="I18" s="23" t="n">
        <v>0.982573940847322</v>
      </c>
      <c r="J18" s="23" t="n">
        <v>0.69499132401396</v>
      </c>
      <c r="K18" s="22" t="n">
        <v>5</v>
      </c>
      <c r="L18" s="22" t="s">
        <v>156</v>
      </c>
    </row>
    <row r="19" customFormat="false" ht="15" hidden="false" customHeight="true" outlineLevel="0" collapsed="false">
      <c r="A19" s="19" t="s">
        <v>192</v>
      </c>
      <c r="B19" s="19" t="s">
        <v>193</v>
      </c>
      <c r="C19" s="19"/>
      <c r="D19" s="19"/>
      <c r="E19" s="20"/>
      <c r="F19" s="21" t="n">
        <v>0</v>
      </c>
      <c r="G19" s="21" t="n">
        <v>0</v>
      </c>
      <c r="H19" s="19" t="n">
        <v>32</v>
      </c>
      <c r="I19" s="20"/>
      <c r="J19" s="20"/>
      <c r="K19" s="19" t="n">
        <v>3</v>
      </c>
      <c r="L19" s="19" t="s">
        <v>147</v>
      </c>
    </row>
    <row r="20" customFormat="false" ht="15" hidden="false" customHeight="true" outlineLevel="0" collapsed="false">
      <c r="A20" s="22" t="s">
        <v>194</v>
      </c>
      <c r="B20" s="22" t="s">
        <v>195</v>
      </c>
      <c r="C20" s="22" t="n">
        <v>428</v>
      </c>
      <c r="D20" s="22" t="n">
        <v>314</v>
      </c>
      <c r="E20" s="23" t="n">
        <v>0.733644859813084</v>
      </c>
      <c r="F20" s="24" t="n">
        <v>16.1464968152866</v>
      </c>
      <c r="G20" s="24" t="n">
        <v>20.4055619023772</v>
      </c>
      <c r="H20" s="22" t="n">
        <v>32</v>
      </c>
      <c r="I20" s="23" t="n">
        <v>0.791279205764268</v>
      </c>
      <c r="J20" s="23" t="n">
        <v>0.580517921985935</v>
      </c>
      <c r="K20" s="22" t="n">
        <v>6</v>
      </c>
      <c r="L20" s="22" t="s">
        <v>156</v>
      </c>
    </row>
    <row r="21" customFormat="false" ht="15" hidden="false" customHeight="true" outlineLevel="0" collapsed="false">
      <c r="A21" s="22" t="s">
        <v>197</v>
      </c>
      <c r="B21" s="22" t="s">
        <v>198</v>
      </c>
      <c r="C21" s="22" t="n">
        <v>566</v>
      </c>
      <c r="D21" s="22" t="n">
        <v>384</v>
      </c>
      <c r="E21" s="23" t="n">
        <v>0.678445229681979</v>
      </c>
      <c r="F21" s="24" t="n">
        <v>18.5677083333333</v>
      </c>
      <c r="G21" s="24" t="n">
        <v>23.7304600172749</v>
      </c>
      <c r="H21" s="22" t="n">
        <v>33</v>
      </c>
      <c r="I21" s="23" t="n">
        <v>0.782441988895989</v>
      </c>
      <c r="J21" s="23" t="n">
        <v>0.530844034869364</v>
      </c>
      <c r="K21" s="22" t="n">
        <v>6</v>
      </c>
      <c r="L21" s="22" t="s">
        <v>156</v>
      </c>
    </row>
    <row r="22" customFormat="false" ht="15" hidden="false" customHeight="true" outlineLevel="0" collapsed="false">
      <c r="A22" s="22" t="s">
        <v>200</v>
      </c>
      <c r="B22" s="22" t="s">
        <v>201</v>
      </c>
      <c r="C22" s="22" t="n">
        <v>68</v>
      </c>
      <c r="D22" s="22" t="n">
        <v>48</v>
      </c>
      <c r="E22" s="23" t="n">
        <v>0.705882352941177</v>
      </c>
      <c r="F22" s="24" t="n">
        <v>15.7708333333333</v>
      </c>
      <c r="G22" s="24" t="n">
        <v>18.7140151515152</v>
      </c>
      <c r="H22" s="22" t="n">
        <v>32</v>
      </c>
      <c r="I22" s="23" t="n">
        <v>0.842728468778464</v>
      </c>
      <c r="J22" s="23" t="n">
        <v>0.594867154431857</v>
      </c>
      <c r="K22" s="22" t="n">
        <v>6</v>
      </c>
      <c r="L22" s="22" t="s">
        <v>156</v>
      </c>
    </row>
    <row r="23" customFormat="false" ht="15" hidden="false" customHeight="true" outlineLevel="0" collapsed="false">
      <c r="A23" s="19" t="s">
        <v>203</v>
      </c>
      <c r="B23" s="19" t="s">
        <v>204</v>
      </c>
      <c r="C23" s="19"/>
      <c r="D23" s="19"/>
      <c r="E23" s="20"/>
      <c r="F23" s="21" t="n">
        <v>0</v>
      </c>
      <c r="G23" s="21" t="n">
        <v>0</v>
      </c>
      <c r="H23" s="19" t="n">
        <v>30</v>
      </c>
      <c r="I23" s="20"/>
      <c r="J23" s="20"/>
      <c r="K23" s="19" t="n">
        <v>3</v>
      </c>
      <c r="L23" s="19" t="s">
        <v>147</v>
      </c>
    </row>
    <row r="24" customFormat="false" ht="15" hidden="false" customHeight="true" outlineLevel="0" collapsed="false">
      <c r="A24" s="22" t="s">
        <v>205</v>
      </c>
      <c r="B24" s="22" t="s">
        <v>206</v>
      </c>
      <c r="C24" s="22" t="n">
        <v>49</v>
      </c>
      <c r="D24" s="22" t="n">
        <v>21</v>
      </c>
      <c r="E24" s="23" t="n">
        <v>0.428571428571429</v>
      </c>
      <c r="F24" s="24" t="n">
        <v>16.7142857142857</v>
      </c>
      <c r="G24" s="24" t="n">
        <v>23.2669172932331</v>
      </c>
      <c r="H24" s="22" t="n">
        <v>30</v>
      </c>
      <c r="I24" s="23" t="n">
        <v>0.718371303926321</v>
      </c>
      <c r="J24" s="23" t="n">
        <v>0.307873415968423</v>
      </c>
      <c r="K24" s="22" t="n">
        <v>8</v>
      </c>
      <c r="L24" s="22" t="s">
        <v>156</v>
      </c>
    </row>
    <row r="25" customFormat="false" ht="15" hidden="false" customHeight="true" outlineLevel="0" collapsed="false">
      <c r="A25" s="22" t="s">
        <v>207</v>
      </c>
      <c r="B25" s="22" t="s">
        <v>208</v>
      </c>
      <c r="C25" s="22" t="n">
        <v>77</v>
      </c>
      <c r="D25" s="22" t="n">
        <v>47</v>
      </c>
      <c r="E25" s="23" t="n">
        <v>0.61038961038961</v>
      </c>
      <c r="F25" s="24" t="n">
        <v>16.7659574468085</v>
      </c>
      <c r="G25" s="24" t="n">
        <v>20.5590033067237</v>
      </c>
      <c r="H25" s="22" t="n">
        <v>32</v>
      </c>
      <c r="I25" s="23" t="n">
        <v>0.815504389812775</v>
      </c>
      <c r="J25" s="23" t="n">
        <v>0.497775406768837</v>
      </c>
      <c r="K25" s="22" t="n">
        <v>6</v>
      </c>
      <c r="L25" s="22" t="s">
        <v>156</v>
      </c>
    </row>
    <row r="26" customFormat="false" ht="15" hidden="false" customHeight="true" outlineLevel="0" collapsed="false">
      <c r="A26" s="22" t="s">
        <v>209</v>
      </c>
      <c r="B26" s="22" t="s">
        <v>210</v>
      </c>
      <c r="C26" s="22" t="n">
        <v>145</v>
      </c>
      <c r="D26" s="22" t="n">
        <v>121</v>
      </c>
      <c r="E26" s="23" t="n">
        <v>0.83448275862069</v>
      </c>
      <c r="F26" s="24" t="n">
        <v>16.6446280991736</v>
      </c>
      <c r="G26" s="24" t="n">
        <v>22.4898266852284</v>
      </c>
      <c r="H26" s="22" t="n">
        <v>30</v>
      </c>
      <c r="I26" s="23" t="n">
        <v>0.740095881223752</v>
      </c>
      <c r="J26" s="23" t="n">
        <v>0.617597252607407</v>
      </c>
      <c r="K26" s="22" t="n">
        <v>7</v>
      </c>
      <c r="L26" s="22" t="s">
        <v>156</v>
      </c>
    </row>
    <row r="27" customFormat="false" ht="15" hidden="false" customHeight="true" outlineLevel="0" collapsed="false">
      <c r="A27" s="22" t="s">
        <v>212</v>
      </c>
      <c r="B27" s="22" t="s">
        <v>213</v>
      </c>
      <c r="C27" s="22" t="n">
        <v>218</v>
      </c>
      <c r="D27" s="22" t="n">
        <v>121</v>
      </c>
      <c r="E27" s="23" t="n">
        <v>0.555045871559633</v>
      </c>
      <c r="F27" s="24" t="n">
        <v>21.2231404958678</v>
      </c>
      <c r="G27" s="24" t="n">
        <v>27.408921310165</v>
      </c>
      <c r="H27" s="22" t="n">
        <v>30</v>
      </c>
      <c r="I27" s="23" t="n">
        <v>0.774315058068223</v>
      </c>
      <c r="J27" s="23" t="n">
        <v>0.429780376267225</v>
      </c>
      <c r="K27" s="22" t="n">
        <v>8</v>
      </c>
      <c r="L27" s="22" t="s">
        <v>156</v>
      </c>
    </row>
    <row r="28" customFormat="false" ht="15" hidden="false" customHeight="true" outlineLevel="0" collapsed="false">
      <c r="A28" s="19" t="s">
        <v>215</v>
      </c>
      <c r="B28" s="19" t="s">
        <v>216</v>
      </c>
      <c r="C28" s="19"/>
      <c r="D28" s="19"/>
      <c r="E28" s="20"/>
      <c r="F28" s="21" t="n">
        <v>0</v>
      </c>
      <c r="G28" s="21" t="n">
        <v>0</v>
      </c>
      <c r="H28" s="19" t="n">
        <v>30</v>
      </c>
      <c r="I28" s="20"/>
      <c r="J28" s="20"/>
      <c r="K28" s="19" t="n">
        <v>3</v>
      </c>
      <c r="L28" s="19" t="s">
        <v>147</v>
      </c>
    </row>
    <row r="29" customFormat="false" ht="15" hidden="false" customHeight="true" outlineLevel="0" collapsed="false">
      <c r="A29" s="25" t="s">
        <v>218</v>
      </c>
      <c r="B29" s="25" t="s">
        <v>219</v>
      </c>
      <c r="C29" s="25" t="n">
        <v>24</v>
      </c>
      <c r="D29" s="25" t="n">
        <v>19</v>
      </c>
      <c r="E29" s="26" t="n">
        <v>0.791666666666667</v>
      </c>
      <c r="F29" s="27" t="n">
        <v>16.5789473684211</v>
      </c>
      <c r="G29" s="27" t="n">
        <v>21.0921052631579</v>
      </c>
      <c r="H29" s="25" t="n">
        <v>30</v>
      </c>
      <c r="I29" s="26" t="n">
        <v>0.786026200873363</v>
      </c>
      <c r="J29" s="26" t="n">
        <v>0.622270742358079</v>
      </c>
      <c r="K29" s="25" t="n">
        <v>6</v>
      </c>
      <c r="L29" s="25" t="s">
        <v>220</v>
      </c>
    </row>
    <row r="30" customFormat="false" ht="15" hidden="false" customHeight="true" outlineLevel="0" collapsed="false">
      <c r="A30" s="22" t="s">
        <v>221</v>
      </c>
      <c r="B30" s="22" t="s">
        <v>222</v>
      </c>
      <c r="C30" s="22" t="n">
        <v>262</v>
      </c>
      <c r="D30" s="22" t="n">
        <v>195</v>
      </c>
      <c r="E30" s="23" t="n">
        <v>0.744274809160305</v>
      </c>
      <c r="F30" s="24" t="n">
        <v>15.374358974359</v>
      </c>
      <c r="G30" s="24" t="n">
        <v>20.275</v>
      </c>
      <c r="H30" s="22" t="n">
        <v>32</v>
      </c>
      <c r="I30" s="23" t="n">
        <v>0.758291441398716</v>
      </c>
      <c r="J30" s="23" t="n">
        <v>0.564377217834923</v>
      </c>
      <c r="K30" s="22" t="n">
        <v>6</v>
      </c>
      <c r="L30" s="22" t="s">
        <v>156</v>
      </c>
    </row>
    <row r="31" customFormat="false" ht="15" hidden="false" customHeight="true" outlineLevel="0" collapsed="false">
      <c r="A31" s="22" t="s">
        <v>224</v>
      </c>
      <c r="B31" s="22" t="s">
        <v>225</v>
      </c>
      <c r="C31" s="22" t="n">
        <v>103</v>
      </c>
      <c r="D31" s="22" t="n">
        <v>72</v>
      </c>
      <c r="E31" s="23" t="n">
        <v>0.699029126213592</v>
      </c>
      <c r="F31" s="24" t="n">
        <v>20.4583333333333</v>
      </c>
      <c r="G31" s="24" t="n">
        <v>24.3428571428572</v>
      </c>
      <c r="H31" s="22" t="n">
        <v>33</v>
      </c>
      <c r="I31" s="23" t="n">
        <v>0.840424491392801</v>
      </c>
      <c r="J31" s="23" t="n">
        <v>0.587481197866813</v>
      </c>
      <c r="K31" s="22" t="n">
        <v>7</v>
      </c>
      <c r="L31" s="22" t="s">
        <v>156</v>
      </c>
    </row>
    <row r="32" customFormat="false" ht="15" hidden="false" customHeight="true" outlineLevel="0" collapsed="false">
      <c r="A32" s="22" t="s">
        <v>226</v>
      </c>
      <c r="B32" s="22" t="s">
        <v>227</v>
      </c>
      <c r="C32" s="22" t="n">
        <v>91</v>
      </c>
      <c r="D32" s="22" t="n">
        <v>54</v>
      </c>
      <c r="E32" s="23" t="n">
        <v>0.593406593406593</v>
      </c>
      <c r="F32" s="24" t="n">
        <v>18.4444444444444</v>
      </c>
      <c r="G32" s="24" t="n">
        <v>24.6212745098039</v>
      </c>
      <c r="H32" s="22" t="n">
        <v>30</v>
      </c>
      <c r="I32" s="23" t="n">
        <v>0.7491263068896</v>
      </c>
      <c r="J32" s="23" t="n">
        <v>0.44453648980262</v>
      </c>
      <c r="K32" s="22" t="n">
        <v>8</v>
      </c>
      <c r="L32" s="22" t="s">
        <v>156</v>
      </c>
    </row>
    <row r="33" customFormat="false" ht="15" hidden="false" customHeight="true" outlineLevel="0" collapsed="false">
      <c r="A33" s="22" t="s">
        <v>228</v>
      </c>
      <c r="B33" s="22" t="s">
        <v>229</v>
      </c>
      <c r="C33" s="22" t="n">
        <v>82</v>
      </c>
      <c r="D33" s="22" t="n">
        <v>54</v>
      </c>
      <c r="E33" s="23" t="n">
        <v>0.658536585365854</v>
      </c>
      <c r="F33" s="24" t="n">
        <v>19.4074074074074</v>
      </c>
      <c r="G33" s="24" t="n">
        <v>24.1296175575837</v>
      </c>
      <c r="H33" s="22" t="n">
        <v>30</v>
      </c>
      <c r="I33" s="23" t="n">
        <v>0.804298176756966</v>
      </c>
      <c r="J33" s="23" t="n">
        <v>0.529659774937514</v>
      </c>
      <c r="K33" s="22" t="n">
        <v>8</v>
      </c>
      <c r="L33" s="22" t="s">
        <v>156</v>
      </c>
    </row>
    <row r="34" customFormat="false" ht="15" hidden="false" customHeight="true" outlineLevel="0" collapsed="false">
      <c r="A34" s="22" t="s">
        <v>230</v>
      </c>
      <c r="B34" s="22" t="s">
        <v>231</v>
      </c>
      <c r="C34" s="22" t="n">
        <v>88</v>
      </c>
      <c r="D34" s="22" t="n">
        <v>72</v>
      </c>
      <c r="E34" s="23" t="n">
        <v>0.818181818181818</v>
      </c>
      <c r="F34" s="24" t="n">
        <v>15</v>
      </c>
      <c r="G34" s="24" t="n">
        <v>15.1048513302034</v>
      </c>
      <c r="H34" s="22" t="n">
        <v>32</v>
      </c>
      <c r="I34" s="23" t="n">
        <v>0.993058433485288</v>
      </c>
      <c r="J34" s="23" t="n">
        <v>0.812502354669781</v>
      </c>
      <c r="K34" s="22" t="n">
        <v>5</v>
      </c>
      <c r="L34" s="22" t="s">
        <v>156</v>
      </c>
    </row>
    <row r="35" customFormat="false" ht="15" hidden="false" customHeight="true" outlineLevel="0" collapsed="false">
      <c r="A35" s="25" t="s">
        <v>233</v>
      </c>
      <c r="B35" s="25" t="s">
        <v>234</v>
      </c>
      <c r="C35" s="25" t="n">
        <v>26</v>
      </c>
      <c r="D35" s="25" t="n">
        <v>16</v>
      </c>
      <c r="E35" s="26" t="n">
        <v>0.615384615384615</v>
      </c>
      <c r="F35" s="27" t="n">
        <v>15.5625</v>
      </c>
      <c r="G35" s="27" t="n">
        <v>17.0089285714286</v>
      </c>
      <c r="H35" s="25" t="n">
        <v>30</v>
      </c>
      <c r="I35" s="26" t="n">
        <v>0.91496062992126</v>
      </c>
      <c r="J35" s="26" t="n">
        <v>0.56305269533616</v>
      </c>
      <c r="K35" s="25" t="n">
        <v>6</v>
      </c>
      <c r="L35" s="25" t="s">
        <v>220</v>
      </c>
    </row>
    <row r="36" customFormat="false" ht="15" hidden="false" customHeight="true" outlineLevel="0" collapsed="false">
      <c r="A36" s="25" t="s">
        <v>235</v>
      </c>
      <c r="B36" s="25" t="s">
        <v>236</v>
      </c>
      <c r="C36" s="25" t="n">
        <v>20</v>
      </c>
      <c r="D36" s="25" t="n">
        <v>15</v>
      </c>
      <c r="E36" s="26" t="n">
        <v>0.75</v>
      </c>
      <c r="F36" s="27" t="n">
        <v>13.7333333333333</v>
      </c>
      <c r="G36" s="27" t="n">
        <v>14.1428571428571</v>
      </c>
      <c r="H36" s="25" t="n">
        <v>30</v>
      </c>
      <c r="I36" s="26" t="n">
        <v>0.971043771043771</v>
      </c>
      <c r="J36" s="26" t="n">
        <v>0.728282828282828</v>
      </c>
      <c r="K36" s="25" t="n">
        <v>5</v>
      </c>
      <c r="L36" s="25" t="s">
        <v>220</v>
      </c>
    </row>
    <row r="37" customFormat="false" ht="15" hidden="false" customHeight="true" outlineLevel="0" collapsed="false">
      <c r="A37" s="22" t="s">
        <v>237</v>
      </c>
      <c r="B37" s="22" t="s">
        <v>238</v>
      </c>
      <c r="C37" s="22" t="n">
        <v>771</v>
      </c>
      <c r="D37" s="22" t="n">
        <v>595</v>
      </c>
      <c r="E37" s="23" t="n">
        <v>0.771725032425422</v>
      </c>
      <c r="F37" s="24" t="n">
        <v>40.8117647058824</v>
      </c>
      <c r="G37" s="24" t="n">
        <v>51.0079836961313</v>
      </c>
      <c r="H37" s="22" t="n">
        <v>60</v>
      </c>
      <c r="I37" s="23" t="n">
        <v>0.800105429554114</v>
      </c>
      <c r="J37" s="23" t="n">
        <v>0.617461388566404</v>
      </c>
      <c r="K37" s="22" t="n">
        <v>10</v>
      </c>
      <c r="L37" s="22" t="s">
        <v>156</v>
      </c>
    </row>
    <row r="38" customFormat="false" ht="15" hidden="false" customHeight="true" outlineLevel="0" collapsed="false">
      <c r="A38" s="19" t="s">
        <v>239</v>
      </c>
      <c r="B38" s="19" t="s">
        <v>240</v>
      </c>
      <c r="C38" s="19"/>
      <c r="D38" s="19"/>
      <c r="E38" s="20"/>
      <c r="F38" s="21" t="n">
        <v>0</v>
      </c>
      <c r="G38" s="21" t="n">
        <v>0</v>
      </c>
      <c r="H38" s="19" t="n">
        <v>42</v>
      </c>
      <c r="I38" s="20"/>
      <c r="J38" s="20"/>
      <c r="K38" s="19" t="s">
        <v>262</v>
      </c>
      <c r="L38" s="19" t="s">
        <v>147</v>
      </c>
    </row>
    <row r="39" customFormat="false" ht="15" hidden="false" customHeight="true" outlineLevel="0" collapsed="false">
      <c r="A39" s="25" t="s">
        <v>241</v>
      </c>
      <c r="B39" s="25" t="s">
        <v>242</v>
      </c>
      <c r="C39" s="25" t="n">
        <v>9</v>
      </c>
      <c r="D39" s="25" t="n">
        <v>4</v>
      </c>
      <c r="E39" s="26" t="n">
        <v>0.444444444444444</v>
      </c>
      <c r="F39" s="27" t="n">
        <v>12.5</v>
      </c>
      <c r="G39" s="27" t="n">
        <v>12.5</v>
      </c>
      <c r="H39" s="25" t="n">
        <v>24</v>
      </c>
      <c r="I39" s="26" t="n">
        <v>1</v>
      </c>
      <c r="J39" s="26" t="n">
        <v>0.444444444444444</v>
      </c>
      <c r="K39" s="25" t="s">
        <v>262</v>
      </c>
      <c r="L39" s="25" t="s">
        <v>220</v>
      </c>
    </row>
    <row r="40" customFormat="false" ht="15" hidden="false" customHeight="true" outlineLevel="0" collapsed="false">
      <c r="A40" s="25" t="s">
        <v>244</v>
      </c>
      <c r="B40" s="25" t="s">
        <v>245</v>
      </c>
      <c r="C40" s="25" t="n">
        <v>9</v>
      </c>
      <c r="D40" s="25" t="n">
        <v>3</v>
      </c>
      <c r="E40" s="26" t="n">
        <v>0.333333333333333</v>
      </c>
      <c r="F40" s="27" t="n">
        <v>11.3333333333333</v>
      </c>
      <c r="G40" s="27" t="n">
        <v>11.3333333333333</v>
      </c>
      <c r="H40" s="25" t="n">
        <v>24</v>
      </c>
      <c r="I40" s="26" t="n">
        <v>1</v>
      </c>
      <c r="J40" s="26" t="n">
        <v>0.333333333333333</v>
      </c>
      <c r="K40" s="25" t="s">
        <v>262</v>
      </c>
      <c r="L40" s="25" t="s">
        <v>220</v>
      </c>
    </row>
    <row r="41" customFormat="false" ht="15" hidden="false" customHeight="true" outlineLevel="0" collapsed="false">
      <c r="A41" s="25" t="s">
        <v>247</v>
      </c>
      <c r="B41" s="25" t="s">
        <v>248</v>
      </c>
      <c r="C41" s="25" t="n">
        <v>19</v>
      </c>
      <c r="D41" s="25" t="n">
        <v>7</v>
      </c>
      <c r="E41" s="26" t="n">
        <v>0.368421052631579</v>
      </c>
      <c r="F41" s="27" t="n">
        <v>15</v>
      </c>
      <c r="G41" s="27" t="n">
        <v>17</v>
      </c>
      <c r="H41" s="25" t="n">
        <v>25</v>
      </c>
      <c r="I41" s="26" t="n">
        <v>0.882352941176471</v>
      </c>
      <c r="J41" s="26" t="n">
        <v>0.325077399380805</v>
      </c>
      <c r="K41" s="25" t="n">
        <v>6</v>
      </c>
      <c r="L41" s="25" t="s">
        <v>220</v>
      </c>
    </row>
    <row r="42" customFormat="false" ht="15" hidden="false" customHeight="true" outlineLevel="0" collapsed="false">
      <c r="A42" s="25" t="s">
        <v>250</v>
      </c>
      <c r="B42" s="25" t="s">
        <v>251</v>
      </c>
      <c r="C42" s="25" t="n">
        <v>2</v>
      </c>
      <c r="D42" s="25" t="n">
        <v>1</v>
      </c>
      <c r="E42" s="26" t="n">
        <v>0.5</v>
      </c>
      <c r="F42" s="27" t="n">
        <v>5</v>
      </c>
      <c r="G42" s="27" t="n">
        <v>5</v>
      </c>
      <c r="H42" s="25" t="n">
        <v>24</v>
      </c>
      <c r="I42" s="26" t="n">
        <v>1</v>
      </c>
      <c r="J42" s="26" t="n">
        <v>0.5</v>
      </c>
      <c r="K42" s="25" t="n">
        <v>4</v>
      </c>
      <c r="L42" s="25" t="s">
        <v>220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0"/>
    <col collapsed="false" customWidth="true" hidden="false" outlineLevel="0" max="5" min="4" style="0" width="14"/>
    <col collapsed="false" customWidth="true" hidden="false" outlineLevel="0" max="7" min="6" style="0" width="16"/>
    <col collapsed="false" customWidth="true" hidden="false" outlineLevel="0" max="9" min="8" style="0" width="18"/>
  </cols>
  <sheetData>
    <row r="1" customFormat="false" ht="15" hidden="false" customHeight="true" outlineLevel="0" collapsed="false">
      <c r="A1" s="12" t="s">
        <v>133</v>
      </c>
      <c r="B1" s="12" t="s">
        <v>134</v>
      </c>
      <c r="C1" s="12" t="s">
        <v>263</v>
      </c>
      <c r="D1" s="12" t="s">
        <v>264</v>
      </c>
      <c r="E1" s="12" t="s">
        <v>265</v>
      </c>
      <c r="F1" s="12" t="s">
        <v>266</v>
      </c>
      <c r="G1" s="12" t="s">
        <v>267</v>
      </c>
      <c r="H1" s="12" t="s">
        <v>268</v>
      </c>
      <c r="I1" s="12" t="s">
        <v>142</v>
      </c>
    </row>
    <row r="2" customFormat="false" ht="15" hidden="false" customHeight="true" outlineLevel="0" collapsed="false">
      <c r="A2" s="19" t="s">
        <v>143</v>
      </c>
      <c r="B2" s="19" t="s">
        <v>144</v>
      </c>
      <c r="C2" s="19" t="n">
        <v>0</v>
      </c>
      <c r="D2" s="19" t="n">
        <v>0</v>
      </c>
      <c r="E2" s="20"/>
      <c r="F2" s="20"/>
      <c r="G2" s="20"/>
      <c r="H2" s="19" t="s">
        <v>269</v>
      </c>
      <c r="I2" s="19" t="s">
        <v>147</v>
      </c>
    </row>
    <row r="3" customFormat="false" ht="15" hidden="false" customHeight="true" outlineLevel="0" collapsed="false">
      <c r="A3" s="19" t="s">
        <v>148</v>
      </c>
      <c r="B3" s="19" t="s">
        <v>149</v>
      </c>
      <c r="C3" s="19" t="n">
        <v>4</v>
      </c>
      <c r="D3" s="19" t="n">
        <v>0</v>
      </c>
      <c r="E3" s="20"/>
      <c r="F3" s="20"/>
      <c r="G3" s="20"/>
      <c r="H3" s="19" t="s">
        <v>269</v>
      </c>
      <c r="I3" s="19" t="s">
        <v>147</v>
      </c>
    </row>
    <row r="4" customFormat="false" ht="15" hidden="false" customHeight="true" outlineLevel="0" collapsed="false">
      <c r="A4" s="22" t="s">
        <v>152</v>
      </c>
      <c r="B4" s="22" t="s">
        <v>153</v>
      </c>
      <c r="C4" s="22" t="n">
        <v>14</v>
      </c>
      <c r="D4" s="22" t="n">
        <v>8</v>
      </c>
      <c r="E4" s="23" t="n">
        <v>0.973214285714286</v>
      </c>
      <c r="F4" s="23" t="n">
        <v>0.96780303030303</v>
      </c>
      <c r="G4" s="23" t="n">
        <v>0.00541125541125542</v>
      </c>
      <c r="H4" s="22" t="s">
        <v>270</v>
      </c>
      <c r="I4" s="22" t="s">
        <v>156</v>
      </c>
    </row>
    <row r="5" customFormat="false" ht="15" hidden="false" customHeight="true" outlineLevel="0" collapsed="false">
      <c r="A5" s="19" t="s">
        <v>157</v>
      </c>
      <c r="B5" s="19" t="s">
        <v>158</v>
      </c>
      <c r="C5" s="19" t="n">
        <v>0</v>
      </c>
      <c r="D5" s="19" t="n">
        <v>0</v>
      </c>
      <c r="E5" s="20"/>
      <c r="F5" s="20"/>
      <c r="G5" s="20"/>
      <c r="H5" s="19" t="s">
        <v>269</v>
      </c>
      <c r="I5" s="19" t="s">
        <v>147</v>
      </c>
    </row>
    <row r="6" customFormat="false" ht="15" hidden="false" customHeight="true" outlineLevel="0" collapsed="false">
      <c r="A6" s="22" t="s">
        <v>159</v>
      </c>
      <c r="B6" s="22" t="s">
        <v>160</v>
      </c>
      <c r="C6" s="22" t="n">
        <v>20</v>
      </c>
      <c r="D6" s="22" t="n">
        <v>12</v>
      </c>
      <c r="E6" s="23" t="n">
        <v>0.691176470588235</v>
      </c>
      <c r="F6" s="23" t="n">
        <v>0.696442807851502</v>
      </c>
      <c r="G6" s="23" t="n">
        <v>-0.00526633726326653</v>
      </c>
      <c r="H6" s="22" t="s">
        <v>270</v>
      </c>
      <c r="I6" s="22" t="s">
        <v>156</v>
      </c>
    </row>
    <row r="7" customFormat="false" ht="15" hidden="false" customHeight="true" outlineLevel="0" collapsed="false">
      <c r="A7" s="22" t="s">
        <v>163</v>
      </c>
      <c r="B7" s="22" t="s">
        <v>164</v>
      </c>
      <c r="C7" s="22" t="n">
        <v>11</v>
      </c>
      <c r="D7" s="22" t="n">
        <v>6</v>
      </c>
      <c r="E7" s="23" t="n">
        <v>0.691780821917808</v>
      </c>
      <c r="F7" s="23" t="n">
        <v>0.710720909838144</v>
      </c>
      <c r="G7" s="23" t="n">
        <v>-0.0189400879203361</v>
      </c>
      <c r="H7" s="22" t="s">
        <v>270</v>
      </c>
      <c r="I7" s="22" t="s">
        <v>156</v>
      </c>
    </row>
    <row r="8" customFormat="false" ht="15" hidden="false" customHeight="true" outlineLevel="0" collapsed="false">
      <c r="A8" s="22" t="s">
        <v>165</v>
      </c>
      <c r="B8" s="22" t="s">
        <v>166</v>
      </c>
      <c r="C8" s="22" t="n">
        <v>9</v>
      </c>
      <c r="D8" s="22" t="n">
        <v>4</v>
      </c>
      <c r="E8" s="23" t="n">
        <v>0.775</v>
      </c>
      <c r="F8" s="23" t="n">
        <v>0.878072196620584</v>
      </c>
      <c r="G8" s="23" t="n">
        <v>-0.103072196620584</v>
      </c>
      <c r="H8" s="22" t="s">
        <v>270</v>
      </c>
      <c r="I8" s="22" t="s">
        <v>156</v>
      </c>
    </row>
    <row r="9" customFormat="false" ht="15" hidden="false" customHeight="true" outlineLevel="0" collapsed="false">
      <c r="A9" s="22" t="s">
        <v>167</v>
      </c>
      <c r="B9" s="22" t="s">
        <v>168</v>
      </c>
      <c r="C9" s="22" t="n">
        <v>20</v>
      </c>
      <c r="D9" s="22" t="n">
        <v>12</v>
      </c>
      <c r="E9" s="23" t="n">
        <v>0.532258064516129</v>
      </c>
      <c r="F9" s="23" t="n">
        <v>0.545632716049383</v>
      </c>
      <c r="G9" s="23" t="n">
        <v>-0.0133746515332538</v>
      </c>
      <c r="H9" s="22" t="s">
        <v>270</v>
      </c>
      <c r="I9" s="22" t="s">
        <v>156</v>
      </c>
    </row>
    <row r="10" customFormat="false" ht="15" hidden="false" customHeight="true" outlineLevel="0" collapsed="false">
      <c r="A10" s="22" t="s">
        <v>169</v>
      </c>
      <c r="B10" s="22" t="s">
        <v>170</v>
      </c>
      <c r="C10" s="22" t="n">
        <v>20</v>
      </c>
      <c r="D10" s="22" t="n">
        <v>12</v>
      </c>
      <c r="E10" s="23" t="n">
        <v>0.654008438818565</v>
      </c>
      <c r="F10" s="23" t="n">
        <v>0.637718366305446</v>
      </c>
      <c r="G10" s="23" t="n">
        <v>0.0162900725131193</v>
      </c>
      <c r="H10" s="22" t="s">
        <v>270</v>
      </c>
      <c r="I10" s="22" t="s">
        <v>156</v>
      </c>
    </row>
    <row r="11" customFormat="false" ht="15" hidden="false" customHeight="true" outlineLevel="0" collapsed="false">
      <c r="A11" s="22" t="s">
        <v>172</v>
      </c>
      <c r="B11" s="22" t="s">
        <v>173</v>
      </c>
      <c r="C11" s="22" t="n">
        <v>20</v>
      </c>
      <c r="D11" s="22" t="n">
        <v>12</v>
      </c>
      <c r="E11" s="23" t="n">
        <v>0.57029702970297</v>
      </c>
      <c r="F11" s="23" t="n">
        <v>0.577367589278909</v>
      </c>
      <c r="G11" s="23" t="n">
        <v>-0.00707055957593905</v>
      </c>
      <c r="H11" s="22" t="s">
        <v>270</v>
      </c>
      <c r="I11" s="22" t="s">
        <v>156</v>
      </c>
    </row>
    <row r="12" customFormat="false" ht="15" hidden="false" customHeight="true" outlineLevel="0" collapsed="false">
      <c r="A12" s="22" t="s">
        <v>175</v>
      </c>
      <c r="B12" s="22" t="s">
        <v>176</v>
      </c>
      <c r="C12" s="22" t="n">
        <v>18</v>
      </c>
      <c r="D12" s="22" t="n">
        <v>10</v>
      </c>
      <c r="E12" s="23" t="n">
        <v>0.8125</v>
      </c>
      <c r="F12" s="23" t="n">
        <v>0.809750597371565</v>
      </c>
      <c r="G12" s="23" t="n">
        <v>0.00274940262843493</v>
      </c>
      <c r="H12" s="22" t="s">
        <v>270</v>
      </c>
      <c r="I12" s="22" t="s">
        <v>156</v>
      </c>
    </row>
    <row r="13" customFormat="false" ht="15" hidden="false" customHeight="true" outlineLevel="0" collapsed="false">
      <c r="A13" s="22" t="s">
        <v>179</v>
      </c>
      <c r="B13" s="22" t="s">
        <v>180</v>
      </c>
      <c r="C13" s="22" t="n">
        <v>15</v>
      </c>
      <c r="D13" s="22" t="n">
        <v>8</v>
      </c>
      <c r="E13" s="23" t="n">
        <v>0.7875</v>
      </c>
      <c r="F13" s="23" t="n">
        <v>0.797311292270531</v>
      </c>
      <c r="G13" s="23" t="n">
        <v>-0.00981129227053146</v>
      </c>
      <c r="H13" s="22" t="s">
        <v>270</v>
      </c>
      <c r="I13" s="22" t="s">
        <v>156</v>
      </c>
    </row>
    <row r="14" customFormat="false" ht="15" hidden="false" customHeight="true" outlineLevel="0" collapsed="false">
      <c r="A14" s="22" t="s">
        <v>181</v>
      </c>
      <c r="B14" s="22" t="s">
        <v>182</v>
      </c>
      <c r="C14" s="22" t="n">
        <v>11</v>
      </c>
      <c r="D14" s="22" t="n">
        <v>6</v>
      </c>
      <c r="E14" s="23" t="n">
        <v>0.869565217391304</v>
      </c>
      <c r="F14" s="23" t="n">
        <v>0.874346053979921</v>
      </c>
      <c r="G14" s="23" t="n">
        <v>-0.00478083658861683</v>
      </c>
      <c r="H14" s="22" t="s">
        <v>270</v>
      </c>
      <c r="I14" s="22" t="s">
        <v>156</v>
      </c>
    </row>
    <row r="15" customFormat="false" ht="15" hidden="false" customHeight="true" outlineLevel="0" collapsed="false">
      <c r="A15" s="19" t="s">
        <v>183</v>
      </c>
      <c r="B15" s="19" t="s">
        <v>184</v>
      </c>
      <c r="C15" s="19" t="n">
        <v>4</v>
      </c>
      <c r="D15" s="19" t="n">
        <v>0</v>
      </c>
      <c r="E15" s="20"/>
      <c r="F15" s="20"/>
      <c r="G15" s="20"/>
      <c r="H15" s="19" t="s">
        <v>269</v>
      </c>
      <c r="I15" s="19" t="s">
        <v>147</v>
      </c>
    </row>
    <row r="16" customFormat="false" ht="15" hidden="false" customHeight="true" outlineLevel="0" collapsed="false">
      <c r="A16" s="19" t="s">
        <v>185</v>
      </c>
      <c r="B16" s="19" t="s">
        <v>186</v>
      </c>
      <c r="C16" s="19" t="n">
        <v>5</v>
      </c>
      <c r="D16" s="19" t="n">
        <v>0</v>
      </c>
      <c r="E16" s="20"/>
      <c r="F16" s="20"/>
      <c r="G16" s="20"/>
      <c r="H16" s="19" t="s">
        <v>269</v>
      </c>
      <c r="I16" s="19" t="s">
        <v>147</v>
      </c>
    </row>
    <row r="17" customFormat="false" ht="15" hidden="false" customHeight="true" outlineLevel="0" collapsed="false">
      <c r="A17" s="22" t="s">
        <v>187</v>
      </c>
      <c r="B17" s="22" t="s">
        <v>188</v>
      </c>
      <c r="C17" s="22" t="n">
        <v>16</v>
      </c>
      <c r="D17" s="22" t="n">
        <v>11</v>
      </c>
      <c r="E17" s="23" t="n">
        <v>0.724409448818898</v>
      </c>
      <c r="F17" s="23" t="n">
        <v>0.70742494392851</v>
      </c>
      <c r="G17" s="23" t="n">
        <v>0.0169845048903878</v>
      </c>
      <c r="H17" s="22" t="s">
        <v>270</v>
      </c>
      <c r="I17" s="22" t="s">
        <v>156</v>
      </c>
    </row>
    <row r="18" customFormat="false" ht="15" hidden="false" customHeight="true" outlineLevel="0" collapsed="false">
      <c r="A18" s="22" t="s">
        <v>189</v>
      </c>
      <c r="B18" s="22" t="s">
        <v>190</v>
      </c>
      <c r="C18" s="22" t="n">
        <v>12</v>
      </c>
      <c r="D18" s="22" t="n">
        <v>7</v>
      </c>
      <c r="E18" s="23" t="n">
        <v>0.707317073170732</v>
      </c>
      <c r="F18" s="23" t="n">
        <v>0.723673058967177</v>
      </c>
      <c r="G18" s="23" t="n">
        <v>-0.016355985796445</v>
      </c>
      <c r="H18" s="22" t="s">
        <v>270</v>
      </c>
      <c r="I18" s="22" t="s">
        <v>156</v>
      </c>
    </row>
    <row r="19" customFormat="false" ht="15" hidden="false" customHeight="true" outlineLevel="0" collapsed="false">
      <c r="A19" s="19" t="s">
        <v>192</v>
      </c>
      <c r="B19" s="19" t="s">
        <v>193</v>
      </c>
      <c r="C19" s="19" t="n">
        <v>3</v>
      </c>
      <c r="D19" s="19" t="n">
        <v>0</v>
      </c>
      <c r="E19" s="20"/>
      <c r="F19" s="20"/>
      <c r="G19" s="20"/>
      <c r="H19" s="19" t="s">
        <v>269</v>
      </c>
      <c r="I19" s="19" t="s">
        <v>147</v>
      </c>
    </row>
    <row r="20" customFormat="false" ht="15" hidden="false" customHeight="true" outlineLevel="0" collapsed="false">
      <c r="A20" s="22" t="s">
        <v>194</v>
      </c>
      <c r="B20" s="22" t="s">
        <v>195</v>
      </c>
      <c r="C20" s="22" t="n">
        <v>20</v>
      </c>
      <c r="D20" s="22" t="n">
        <v>12</v>
      </c>
      <c r="E20" s="23" t="n">
        <v>0.733644859813084</v>
      </c>
      <c r="F20" s="23" t="n">
        <v>0.741871558097882</v>
      </c>
      <c r="G20" s="23" t="n">
        <v>-0.00822669828479827</v>
      </c>
      <c r="H20" s="22" t="s">
        <v>270</v>
      </c>
      <c r="I20" s="22" t="s">
        <v>156</v>
      </c>
    </row>
    <row r="21" customFormat="false" ht="15" hidden="false" customHeight="true" outlineLevel="0" collapsed="false">
      <c r="A21" s="22" t="s">
        <v>197</v>
      </c>
      <c r="B21" s="22" t="s">
        <v>198</v>
      </c>
      <c r="C21" s="22" t="n">
        <v>20</v>
      </c>
      <c r="D21" s="22" t="n">
        <v>12</v>
      </c>
      <c r="E21" s="23" t="n">
        <v>0.678445229681979</v>
      </c>
      <c r="F21" s="23" t="n">
        <v>0.678787774581515</v>
      </c>
      <c r="G21" s="23" t="n">
        <v>-0.000342544899536224</v>
      </c>
      <c r="H21" s="22" t="s">
        <v>270</v>
      </c>
      <c r="I21" s="22" t="s">
        <v>156</v>
      </c>
    </row>
    <row r="22" customFormat="false" ht="15" hidden="false" customHeight="true" outlineLevel="0" collapsed="false">
      <c r="A22" s="22" t="s">
        <v>200</v>
      </c>
      <c r="B22" s="22" t="s">
        <v>201</v>
      </c>
      <c r="C22" s="22" t="n">
        <v>11</v>
      </c>
      <c r="D22" s="22" t="n">
        <v>8</v>
      </c>
      <c r="E22" s="23" t="n">
        <v>0.705882352941177</v>
      </c>
      <c r="F22" s="23" t="n">
        <v>0.707575757575758</v>
      </c>
      <c r="G22" s="23" t="n">
        <v>-0.00169340463458112</v>
      </c>
      <c r="H22" s="22" t="s">
        <v>270</v>
      </c>
      <c r="I22" s="22" t="s">
        <v>156</v>
      </c>
    </row>
    <row r="23" customFormat="false" ht="15" hidden="false" customHeight="true" outlineLevel="0" collapsed="false">
      <c r="A23" s="19" t="s">
        <v>203</v>
      </c>
      <c r="B23" s="19" t="s">
        <v>204</v>
      </c>
      <c r="C23" s="19" t="n">
        <v>6</v>
      </c>
      <c r="D23" s="19" t="n">
        <v>0</v>
      </c>
      <c r="E23" s="20"/>
      <c r="F23" s="20"/>
      <c r="G23" s="20"/>
      <c r="H23" s="19" t="s">
        <v>269</v>
      </c>
      <c r="I23" s="19" t="s">
        <v>147</v>
      </c>
    </row>
    <row r="24" customFormat="false" ht="15" hidden="false" customHeight="true" outlineLevel="0" collapsed="false">
      <c r="A24" s="22" t="s">
        <v>205</v>
      </c>
      <c r="B24" s="22" t="s">
        <v>206</v>
      </c>
      <c r="C24" s="22" t="n">
        <v>9</v>
      </c>
      <c r="D24" s="22" t="n">
        <v>2</v>
      </c>
      <c r="E24" s="23" t="n">
        <v>0.428571428571429</v>
      </c>
      <c r="F24" s="23" t="n">
        <v>0.426767676767677</v>
      </c>
      <c r="G24" s="23" t="n">
        <v>0.00180375180375175</v>
      </c>
      <c r="H24" s="22" t="s">
        <v>270</v>
      </c>
      <c r="I24" s="22" t="s">
        <v>156</v>
      </c>
    </row>
    <row r="25" customFormat="false" ht="15" hidden="false" customHeight="true" outlineLevel="0" collapsed="false">
      <c r="A25" s="22" t="s">
        <v>207</v>
      </c>
      <c r="B25" s="22" t="s">
        <v>208</v>
      </c>
      <c r="C25" s="22" t="n">
        <v>10</v>
      </c>
      <c r="D25" s="22" t="n">
        <v>5</v>
      </c>
      <c r="E25" s="23" t="n">
        <v>0.61038961038961</v>
      </c>
      <c r="F25" s="23" t="n">
        <v>0.681356209150327</v>
      </c>
      <c r="G25" s="23" t="n">
        <v>-0.0709665987607164</v>
      </c>
      <c r="H25" s="22" t="s">
        <v>270</v>
      </c>
      <c r="I25" s="22" t="s">
        <v>156</v>
      </c>
    </row>
    <row r="26" customFormat="false" ht="15" hidden="false" customHeight="true" outlineLevel="0" collapsed="false">
      <c r="A26" s="22" t="s">
        <v>209</v>
      </c>
      <c r="B26" s="22" t="s">
        <v>210</v>
      </c>
      <c r="C26" s="22" t="n">
        <v>14</v>
      </c>
      <c r="D26" s="22" t="n">
        <v>9</v>
      </c>
      <c r="E26" s="23" t="n">
        <v>0.83448275862069</v>
      </c>
      <c r="F26" s="23" t="n">
        <v>0.851613636907755</v>
      </c>
      <c r="G26" s="23" t="n">
        <v>-0.0171308782870649</v>
      </c>
      <c r="H26" s="22" t="s">
        <v>270</v>
      </c>
      <c r="I26" s="22" t="s">
        <v>156</v>
      </c>
    </row>
    <row r="27" customFormat="false" ht="15" hidden="false" customHeight="true" outlineLevel="0" collapsed="false">
      <c r="A27" s="22" t="s">
        <v>212</v>
      </c>
      <c r="B27" s="22" t="s">
        <v>213</v>
      </c>
      <c r="C27" s="22" t="n">
        <v>20</v>
      </c>
      <c r="D27" s="22" t="n">
        <v>12</v>
      </c>
      <c r="E27" s="23" t="n">
        <v>0.555045871559633</v>
      </c>
      <c r="F27" s="23" t="n">
        <v>0.609664477531325</v>
      </c>
      <c r="G27" s="23" t="n">
        <v>-0.0546186059716923</v>
      </c>
      <c r="H27" s="22" t="s">
        <v>270</v>
      </c>
      <c r="I27" s="22" t="s">
        <v>156</v>
      </c>
    </row>
    <row r="28" customFormat="false" ht="15" hidden="false" customHeight="true" outlineLevel="0" collapsed="false">
      <c r="A28" s="19" t="s">
        <v>215</v>
      </c>
      <c r="B28" s="19" t="s">
        <v>216</v>
      </c>
      <c r="C28" s="19" t="n">
        <v>2</v>
      </c>
      <c r="D28" s="19" t="n">
        <v>0</v>
      </c>
      <c r="E28" s="20"/>
      <c r="F28" s="20"/>
      <c r="G28" s="20"/>
      <c r="H28" s="19" t="s">
        <v>269</v>
      </c>
      <c r="I28" s="19" t="s">
        <v>147</v>
      </c>
    </row>
    <row r="29" customFormat="false" ht="15" hidden="false" customHeight="true" outlineLevel="0" collapsed="false">
      <c r="A29" s="25" t="s">
        <v>218</v>
      </c>
      <c r="B29" s="25" t="s">
        <v>219</v>
      </c>
      <c r="C29" s="25" t="n">
        <v>6</v>
      </c>
      <c r="D29" s="25" t="n">
        <v>1</v>
      </c>
      <c r="E29" s="26" t="n">
        <v>0.791666666666667</v>
      </c>
      <c r="F29" s="26" t="n">
        <v>0.791666666666667</v>
      </c>
      <c r="G29" s="26" t="n">
        <v>0</v>
      </c>
      <c r="H29" s="25" t="s">
        <v>270</v>
      </c>
      <c r="I29" s="25" t="s">
        <v>220</v>
      </c>
    </row>
    <row r="30" customFormat="false" ht="15" hidden="false" customHeight="true" outlineLevel="0" collapsed="false">
      <c r="A30" s="22" t="s">
        <v>221</v>
      </c>
      <c r="B30" s="22" t="s">
        <v>222</v>
      </c>
      <c r="C30" s="22" t="n">
        <v>20</v>
      </c>
      <c r="D30" s="22" t="n">
        <v>12</v>
      </c>
      <c r="E30" s="23" t="n">
        <v>0.744274809160305</v>
      </c>
      <c r="F30" s="23" t="n">
        <v>0.765227515098958</v>
      </c>
      <c r="G30" s="23" t="n">
        <v>-0.0209527059386523</v>
      </c>
      <c r="H30" s="22" t="s">
        <v>270</v>
      </c>
      <c r="I30" s="22" t="s">
        <v>156</v>
      </c>
    </row>
    <row r="31" customFormat="false" ht="15" hidden="false" customHeight="true" outlineLevel="0" collapsed="false">
      <c r="A31" s="22" t="s">
        <v>224</v>
      </c>
      <c r="B31" s="22" t="s">
        <v>225</v>
      </c>
      <c r="C31" s="22" t="n">
        <v>13</v>
      </c>
      <c r="D31" s="22" t="n">
        <v>8</v>
      </c>
      <c r="E31" s="23" t="n">
        <v>0.699029126213592</v>
      </c>
      <c r="F31" s="23" t="n">
        <v>0.676616479925304</v>
      </c>
      <c r="G31" s="23" t="n">
        <v>0.0224126462882888</v>
      </c>
      <c r="H31" s="22" t="s">
        <v>270</v>
      </c>
      <c r="I31" s="22" t="s">
        <v>156</v>
      </c>
    </row>
    <row r="32" customFormat="false" ht="15" hidden="false" customHeight="true" outlineLevel="0" collapsed="false">
      <c r="A32" s="22" t="s">
        <v>226</v>
      </c>
      <c r="B32" s="22" t="s">
        <v>227</v>
      </c>
      <c r="C32" s="22" t="n">
        <v>11</v>
      </c>
      <c r="D32" s="22" t="n">
        <v>6</v>
      </c>
      <c r="E32" s="23" t="n">
        <v>0.593406593406593</v>
      </c>
      <c r="F32" s="23" t="n">
        <v>0.579545454545455</v>
      </c>
      <c r="G32" s="23" t="n">
        <v>0.0138611388611389</v>
      </c>
      <c r="H32" s="22" t="s">
        <v>270</v>
      </c>
      <c r="I32" s="22" t="s">
        <v>156</v>
      </c>
    </row>
    <row r="33" customFormat="false" ht="15" hidden="false" customHeight="true" outlineLevel="0" collapsed="false">
      <c r="A33" s="22" t="s">
        <v>228</v>
      </c>
      <c r="B33" s="22" t="s">
        <v>229</v>
      </c>
      <c r="C33" s="22" t="n">
        <v>15</v>
      </c>
      <c r="D33" s="22" t="n">
        <v>9</v>
      </c>
      <c r="E33" s="23" t="n">
        <v>0.658536585365854</v>
      </c>
      <c r="F33" s="23" t="n">
        <v>0.694237860904528</v>
      </c>
      <c r="G33" s="23" t="n">
        <v>-0.035701275538674</v>
      </c>
      <c r="H33" s="22" t="s">
        <v>270</v>
      </c>
      <c r="I33" s="22" t="s">
        <v>156</v>
      </c>
    </row>
    <row r="34" customFormat="false" ht="15" hidden="false" customHeight="true" outlineLevel="0" collapsed="false">
      <c r="A34" s="22" t="s">
        <v>230</v>
      </c>
      <c r="B34" s="22" t="s">
        <v>231</v>
      </c>
      <c r="C34" s="22" t="n">
        <v>13</v>
      </c>
      <c r="D34" s="22" t="n">
        <v>5</v>
      </c>
      <c r="E34" s="23" t="n">
        <v>0.818181818181818</v>
      </c>
      <c r="F34" s="23" t="n">
        <v>0.844</v>
      </c>
      <c r="G34" s="23" t="n">
        <v>-0.0258181818181817</v>
      </c>
      <c r="H34" s="22" t="s">
        <v>270</v>
      </c>
      <c r="I34" s="22" t="s">
        <v>156</v>
      </c>
    </row>
    <row r="35" customFormat="false" ht="15" hidden="false" customHeight="true" outlineLevel="0" collapsed="false">
      <c r="A35" s="25" t="s">
        <v>233</v>
      </c>
      <c r="B35" s="25" t="s">
        <v>234</v>
      </c>
      <c r="C35" s="25" t="n">
        <v>7</v>
      </c>
      <c r="D35" s="25" t="n">
        <v>2</v>
      </c>
      <c r="E35" s="26" t="n">
        <v>0.615384615384615</v>
      </c>
      <c r="F35" s="26" t="n">
        <v>0.607142857142857</v>
      </c>
      <c r="G35" s="26" t="n">
        <v>0.00824175824175821</v>
      </c>
      <c r="H35" s="25" t="s">
        <v>270</v>
      </c>
      <c r="I35" s="25" t="s">
        <v>220</v>
      </c>
    </row>
    <row r="36" customFormat="false" ht="15" hidden="false" customHeight="true" outlineLevel="0" collapsed="false">
      <c r="A36" s="25" t="s">
        <v>235</v>
      </c>
      <c r="B36" s="25" t="s">
        <v>236</v>
      </c>
      <c r="C36" s="25" t="n">
        <v>6</v>
      </c>
      <c r="D36" s="25" t="n">
        <v>1</v>
      </c>
      <c r="E36" s="26" t="n">
        <v>0.75</v>
      </c>
      <c r="F36" s="26" t="n">
        <v>0.75</v>
      </c>
      <c r="G36" s="26" t="n">
        <v>0</v>
      </c>
      <c r="H36" s="25" t="s">
        <v>270</v>
      </c>
      <c r="I36" s="25" t="s">
        <v>220</v>
      </c>
    </row>
    <row r="37" customFormat="false" ht="15" hidden="false" customHeight="true" outlineLevel="0" collapsed="false">
      <c r="A37" s="22" t="s">
        <v>237</v>
      </c>
      <c r="B37" s="22" t="s">
        <v>238</v>
      </c>
      <c r="C37" s="22" t="n">
        <v>17</v>
      </c>
      <c r="D37" s="22" t="n">
        <v>11</v>
      </c>
      <c r="E37" s="23" t="n">
        <v>0.771725032425422</v>
      </c>
      <c r="F37" s="23" t="n">
        <v>0.746148453847942</v>
      </c>
      <c r="G37" s="23" t="n">
        <v>0.0255765785774794</v>
      </c>
      <c r="H37" s="22" t="s">
        <v>270</v>
      </c>
      <c r="I37" s="22" t="s">
        <v>156</v>
      </c>
    </row>
    <row r="38" customFormat="false" ht="15" hidden="false" customHeight="true" outlineLevel="0" collapsed="false">
      <c r="A38" s="19" t="s">
        <v>239</v>
      </c>
      <c r="B38" s="19" t="s">
        <v>240</v>
      </c>
      <c r="C38" s="19" t="n">
        <v>0</v>
      </c>
      <c r="D38" s="19" t="n">
        <v>0</v>
      </c>
      <c r="E38" s="20"/>
      <c r="F38" s="20"/>
      <c r="G38" s="20"/>
      <c r="H38" s="19" t="s">
        <v>269</v>
      </c>
      <c r="I38" s="19" t="s">
        <v>147</v>
      </c>
    </row>
    <row r="39" customFormat="false" ht="15" hidden="false" customHeight="true" outlineLevel="0" collapsed="false">
      <c r="A39" s="25" t="s">
        <v>241</v>
      </c>
      <c r="B39" s="25" t="s">
        <v>242</v>
      </c>
      <c r="C39" s="25" t="n">
        <v>9</v>
      </c>
      <c r="D39" s="25" t="n">
        <v>5</v>
      </c>
      <c r="E39" s="26" t="n">
        <v>0.444444444444444</v>
      </c>
      <c r="F39" s="26" t="n">
        <v>0.433333333333333</v>
      </c>
      <c r="G39" s="26" t="n">
        <v>0.0111111111111111</v>
      </c>
      <c r="H39" s="25" t="s">
        <v>270</v>
      </c>
      <c r="I39" s="25" t="s">
        <v>220</v>
      </c>
    </row>
    <row r="40" customFormat="false" ht="15" hidden="false" customHeight="true" outlineLevel="0" collapsed="false">
      <c r="A40" s="25" t="s">
        <v>244</v>
      </c>
      <c r="B40" s="25" t="s">
        <v>245</v>
      </c>
      <c r="C40" s="25" t="n">
        <v>12</v>
      </c>
      <c r="D40" s="25" t="n">
        <v>7</v>
      </c>
      <c r="E40" s="26" t="n">
        <v>0.333333333333333</v>
      </c>
      <c r="F40" s="26" t="n">
        <v>0.357142857142857</v>
      </c>
      <c r="G40" s="26" t="n">
        <v>-0.0238095238095238</v>
      </c>
      <c r="H40" s="25" t="s">
        <v>270</v>
      </c>
      <c r="I40" s="25" t="s">
        <v>220</v>
      </c>
    </row>
    <row r="41" customFormat="false" ht="15" hidden="false" customHeight="true" outlineLevel="0" collapsed="false">
      <c r="A41" s="25" t="s">
        <v>247</v>
      </c>
      <c r="B41" s="25" t="s">
        <v>248</v>
      </c>
      <c r="C41" s="25" t="n">
        <v>12</v>
      </c>
      <c r="D41" s="25" t="n">
        <v>7</v>
      </c>
      <c r="E41" s="26" t="n">
        <v>0.368421052631579</v>
      </c>
      <c r="F41" s="26" t="n">
        <v>0.457142857142857</v>
      </c>
      <c r="G41" s="26" t="n">
        <v>-0.0887218045112783</v>
      </c>
      <c r="H41" s="25" t="s">
        <v>270</v>
      </c>
      <c r="I41" s="25" t="s">
        <v>220</v>
      </c>
    </row>
    <row r="42" customFormat="false" ht="15" hidden="false" customHeight="true" outlineLevel="0" collapsed="false">
      <c r="A42" s="25" t="s">
        <v>250</v>
      </c>
      <c r="B42" s="25" t="s">
        <v>251</v>
      </c>
      <c r="C42" s="25" t="n">
        <v>4</v>
      </c>
      <c r="D42" s="25" t="n">
        <v>2</v>
      </c>
      <c r="E42" s="26" t="n">
        <v>0.5</v>
      </c>
      <c r="F42" s="26" t="n">
        <v>0.5</v>
      </c>
      <c r="G42" s="26" t="n">
        <v>0</v>
      </c>
      <c r="H42" s="25" t="s">
        <v>270</v>
      </c>
      <c r="I42" s="25" t="s">
        <v>220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2"/>
    <col collapsed="false" customWidth="true" hidden="false" outlineLevel="0" max="7" min="2" style="0" width="17"/>
  </cols>
  <sheetData>
    <row r="1" customFormat="false" ht="15" hidden="false" customHeight="true" outlineLevel="0" collapsed="false">
      <c r="A1" s="28" t="s">
        <v>271</v>
      </c>
      <c r="B1" s="28"/>
      <c r="C1" s="28"/>
      <c r="D1" s="28"/>
      <c r="E1" s="28"/>
      <c r="F1" s="28"/>
      <c r="G1" s="28"/>
    </row>
    <row r="2" customFormat="false" ht="15" hidden="false" customHeight="true" outlineLevel="0" collapsed="false">
      <c r="A2" s="29" t="s">
        <v>272</v>
      </c>
      <c r="B2" s="29"/>
      <c r="C2" s="29"/>
      <c r="D2" s="29"/>
      <c r="E2" s="29"/>
      <c r="F2" s="29"/>
      <c r="G2" s="29"/>
    </row>
    <row r="4" customFormat="false" ht="15" hidden="false" customHeight="true" outlineLevel="0" collapsed="false">
      <c r="A4" s="28" t="s">
        <v>273</v>
      </c>
      <c r="B4" s="28"/>
      <c r="C4" s="28"/>
      <c r="D4" s="28"/>
      <c r="E4" s="28"/>
      <c r="F4" s="28"/>
      <c r="G4" s="28"/>
    </row>
    <row r="5" customFormat="false" ht="15" hidden="false" customHeight="true" outlineLevel="0" collapsed="false">
      <c r="A5" s="29" t="s">
        <v>272</v>
      </c>
      <c r="B5" s="29"/>
      <c r="C5" s="29"/>
      <c r="D5" s="29"/>
      <c r="E5" s="29"/>
      <c r="F5" s="29"/>
      <c r="G5" s="29"/>
    </row>
    <row r="7" customFormat="false" ht="15" hidden="false" customHeight="true" outlineLevel="0" collapsed="false">
      <c r="A7" s="28" t="s">
        <v>274</v>
      </c>
      <c r="B7" s="28"/>
      <c r="C7" s="28"/>
      <c r="D7" s="28"/>
      <c r="E7" s="28"/>
      <c r="F7" s="28"/>
      <c r="G7" s="28"/>
    </row>
    <row r="8" customFormat="false" ht="15" hidden="false" customHeight="true" outlineLevel="0" collapsed="false">
      <c r="A8" s="12" t="s">
        <v>275</v>
      </c>
      <c r="B8" s="12" t="s">
        <v>276</v>
      </c>
      <c r="C8" s="12" t="s">
        <v>277</v>
      </c>
      <c r="D8" s="12" t="s">
        <v>278</v>
      </c>
      <c r="E8" s="12" t="s">
        <v>279</v>
      </c>
      <c r="F8" s="12" t="s">
        <v>280</v>
      </c>
      <c r="G8" s="12" t="s">
        <v>281</v>
      </c>
    </row>
    <row r="9" customFormat="false" ht="15" hidden="false" customHeight="true" outlineLevel="0" collapsed="false">
      <c r="A9" s="30" t="n">
        <v>1</v>
      </c>
      <c r="B9" s="31" t="n">
        <v>112</v>
      </c>
      <c r="C9" s="31" t="n">
        <v>6.93</v>
      </c>
      <c r="D9" s="32" t="s">
        <v>282</v>
      </c>
      <c r="E9" s="33" t="n">
        <v>1.02752293577982</v>
      </c>
      <c r="F9" s="32" t="s">
        <v>282</v>
      </c>
      <c r="G9" s="32" t="n">
        <v>0</v>
      </c>
    </row>
    <row r="10" customFormat="false" ht="15" hidden="false" customHeight="true" outlineLevel="0" collapsed="false">
      <c r="A10" s="30" t="n">
        <v>2</v>
      </c>
      <c r="B10" s="31" t="n">
        <v>112</v>
      </c>
      <c r="C10" s="31" t="n">
        <v>7.81</v>
      </c>
      <c r="D10" s="33" t="n">
        <v>1</v>
      </c>
      <c r="E10" s="33" t="n">
        <v>1.02752293577982</v>
      </c>
      <c r="F10" s="32" t="s">
        <v>282</v>
      </c>
      <c r="G10" s="32" t="n">
        <v>0</v>
      </c>
    </row>
    <row r="11" customFormat="false" ht="15" hidden="false" customHeight="true" outlineLevel="0" collapsed="false">
      <c r="A11" s="30" t="n">
        <v>3</v>
      </c>
      <c r="B11" s="31" t="n">
        <v>109</v>
      </c>
      <c r="C11" s="31" t="n">
        <v>7.31</v>
      </c>
      <c r="D11" s="33" t="n">
        <v>0.973214285714286</v>
      </c>
      <c r="E11" s="33" t="n">
        <v>1</v>
      </c>
      <c r="F11" s="32" t="s">
        <v>283</v>
      </c>
      <c r="G11" s="32" t="n">
        <v>7.312</v>
      </c>
    </row>
    <row r="12" customFormat="false" ht="15" hidden="false" customHeight="true" outlineLevel="0" collapsed="false">
      <c r="A12" s="30" t="n">
        <v>4</v>
      </c>
      <c r="B12" s="31" t="n">
        <v>108</v>
      </c>
      <c r="C12" s="31" t="n">
        <v>7.98</v>
      </c>
      <c r="D12" s="33" t="n">
        <v>0.990825688073395</v>
      </c>
      <c r="E12" s="33" t="n">
        <v>0.990825688073395</v>
      </c>
      <c r="F12" s="32" t="s">
        <v>283</v>
      </c>
      <c r="G12" s="32" t="n">
        <v>7.908</v>
      </c>
    </row>
    <row r="13" customFormat="false" ht="15" hidden="false" customHeight="true" outlineLevel="0" collapsed="false">
      <c r="A13" s="30" t="n">
        <v>5</v>
      </c>
      <c r="B13" s="31" t="n">
        <v>80</v>
      </c>
      <c r="C13" s="31" t="n">
        <v>7.47</v>
      </c>
      <c r="D13" s="33" t="n">
        <v>0.740740740740741</v>
      </c>
      <c r="E13" s="33" t="n">
        <v>0.73394495412844</v>
      </c>
      <c r="F13" s="32" t="s">
        <v>283</v>
      </c>
      <c r="G13" s="32" t="n">
        <v>5.486</v>
      </c>
    </row>
    <row r="14" customFormat="false" ht="15" hidden="false" customHeight="true" outlineLevel="0" collapsed="false">
      <c r="A14" s="30" t="n">
        <v>6</v>
      </c>
      <c r="B14" s="31" t="n">
        <v>5</v>
      </c>
      <c r="C14" s="31" t="n">
        <v>4.2</v>
      </c>
      <c r="D14" s="33" t="n">
        <v>0.0625</v>
      </c>
      <c r="E14" s="33" t="n">
        <v>0.0458715596330275</v>
      </c>
      <c r="F14" s="32" t="s">
        <v>284</v>
      </c>
      <c r="G14" s="32" t="n">
        <v>0</v>
      </c>
    </row>
    <row r="15" customFormat="false" ht="15" hidden="false" customHeight="true" outlineLevel="0" collapsed="false">
      <c r="A15" s="30" t="n">
        <v>7</v>
      </c>
      <c r="B15" s="31" t="n">
        <v>2</v>
      </c>
      <c r="C15" s="31" t="n">
        <v>3</v>
      </c>
      <c r="D15" s="33" t="n">
        <v>0.4</v>
      </c>
      <c r="E15" s="33" t="n">
        <v>0.018348623853211</v>
      </c>
      <c r="F15" s="32" t="s">
        <v>284</v>
      </c>
      <c r="G15" s="32" t="n">
        <v>0</v>
      </c>
    </row>
    <row r="16" customFormat="false" ht="15" hidden="false" customHeight="true" outlineLevel="0" collapsed="false">
      <c r="A16" s="30" t="n">
        <v>8</v>
      </c>
      <c r="B16" s="31" t="n">
        <v>0</v>
      </c>
      <c r="C16" s="31" t="n">
        <v>0</v>
      </c>
      <c r="D16" s="33" t="n">
        <v>0</v>
      </c>
      <c r="E16" s="33" t="n">
        <v>0</v>
      </c>
      <c r="F16" s="32" t="s">
        <v>284</v>
      </c>
      <c r="G16" s="32" t="n">
        <v>0</v>
      </c>
    </row>
    <row r="17" customFormat="false" ht="15" hidden="false" customHeight="true" outlineLevel="0" collapsed="false">
      <c r="A17" s="30" t="n">
        <v>9</v>
      </c>
      <c r="B17" s="31" t="n">
        <v>1</v>
      </c>
      <c r="C17" s="31" t="n">
        <v>2</v>
      </c>
      <c r="D17" s="32" t="s">
        <v>282</v>
      </c>
      <c r="E17" s="33" t="n">
        <v>0.00917431192660551</v>
      </c>
      <c r="F17" s="32" t="s">
        <v>284</v>
      </c>
      <c r="G17" s="32" t="n">
        <v>0</v>
      </c>
    </row>
    <row r="18" customFormat="false" ht="15" hidden="false" customHeight="true" outlineLevel="0" collapsed="false">
      <c r="A18" s="30" t="n">
        <v>10</v>
      </c>
      <c r="B18" s="31" t="n">
        <v>1</v>
      </c>
      <c r="C18" s="31" t="n">
        <v>8</v>
      </c>
      <c r="D18" s="33" t="n">
        <v>1</v>
      </c>
      <c r="E18" s="33" t="n">
        <v>0.00917431192660551</v>
      </c>
      <c r="F18" s="32" t="s">
        <v>284</v>
      </c>
      <c r="G18" s="32" t="n">
        <v>0</v>
      </c>
    </row>
    <row r="19" customFormat="false" ht="15" hidden="false" customHeight="true" outlineLevel="0" collapsed="false">
      <c r="A19" s="30" t="n">
        <v>11</v>
      </c>
      <c r="B19" s="31" t="n">
        <v>1</v>
      </c>
      <c r="C19" s="31" t="n">
        <v>7</v>
      </c>
      <c r="D19" s="33" t="n">
        <v>1</v>
      </c>
      <c r="E19" s="33" t="n">
        <v>0.00917431192660551</v>
      </c>
      <c r="F19" s="32" t="s">
        <v>284</v>
      </c>
      <c r="G19" s="32" t="n">
        <v>0</v>
      </c>
    </row>
    <row r="20" customFormat="false" ht="15" hidden="false" customHeight="true" outlineLevel="0" collapsed="false">
      <c r="A20" s="34" t="s">
        <v>285</v>
      </c>
      <c r="B20" s="35" t="n">
        <v>0.973214285714286</v>
      </c>
    </row>
    <row r="21" customFormat="false" ht="15" hidden="false" customHeight="true" outlineLevel="0" collapsed="false">
      <c r="A21" s="34" t="s">
        <v>286</v>
      </c>
      <c r="B21" s="36" t="n">
        <v>20.706</v>
      </c>
    </row>
    <row r="22" customFormat="false" ht="15" hidden="false" customHeight="true" outlineLevel="0" collapsed="false">
      <c r="A22" s="34" t="s">
        <v>287</v>
      </c>
      <c r="B22" s="36" t="n">
        <v>22.768</v>
      </c>
    </row>
    <row r="23" customFormat="false" ht="15" hidden="false" customHeight="true" outlineLevel="0" collapsed="false">
      <c r="A23" s="34" t="s">
        <v>288</v>
      </c>
      <c r="B23" s="36" t="n">
        <v>36</v>
      </c>
    </row>
    <row r="24" customFormat="false" ht="15" hidden="false" customHeight="true" outlineLevel="0" collapsed="false">
      <c r="A24" s="34" t="s">
        <v>289</v>
      </c>
      <c r="B24" s="35" t="n">
        <v>0.909436528862287</v>
      </c>
    </row>
    <row r="25" customFormat="false" ht="15" hidden="false" customHeight="true" outlineLevel="0" collapsed="false">
      <c r="A25" s="34" t="s">
        <v>260</v>
      </c>
      <c r="B25" s="35" t="n">
        <v>0.88507662183919</v>
      </c>
    </row>
    <row r="26" customFormat="false" ht="15" hidden="false" customHeight="true" outlineLevel="0" collapsed="false">
      <c r="A26" s="34" t="s">
        <v>290</v>
      </c>
      <c r="B26" s="36" t="n">
        <v>6</v>
      </c>
    </row>
    <row r="28" customFormat="false" ht="15" hidden="false" customHeight="true" outlineLevel="0" collapsed="false">
      <c r="A28" s="28" t="s">
        <v>291</v>
      </c>
      <c r="B28" s="28"/>
      <c r="C28" s="28"/>
      <c r="D28" s="28"/>
      <c r="E28" s="28"/>
      <c r="F28" s="28"/>
      <c r="G28" s="28"/>
    </row>
    <row r="29" customFormat="false" ht="15" hidden="false" customHeight="true" outlineLevel="0" collapsed="false">
      <c r="A29" s="29" t="s">
        <v>272</v>
      </c>
      <c r="B29" s="29"/>
      <c r="C29" s="29"/>
      <c r="D29" s="29"/>
      <c r="E29" s="29"/>
      <c r="F29" s="29"/>
      <c r="G29" s="29"/>
    </row>
    <row r="31" customFormat="false" ht="15" hidden="false" customHeight="true" outlineLevel="0" collapsed="false">
      <c r="A31" s="28" t="s">
        <v>292</v>
      </c>
      <c r="B31" s="28"/>
      <c r="C31" s="28"/>
      <c r="D31" s="28"/>
      <c r="E31" s="28"/>
      <c r="F31" s="28"/>
      <c r="G31" s="28"/>
    </row>
    <row r="32" customFormat="false" ht="15" hidden="false" customHeight="true" outlineLevel="0" collapsed="false">
      <c r="A32" s="12" t="s">
        <v>275</v>
      </c>
      <c r="B32" s="12" t="s">
        <v>276</v>
      </c>
      <c r="C32" s="12" t="s">
        <v>277</v>
      </c>
      <c r="D32" s="12" t="s">
        <v>278</v>
      </c>
      <c r="E32" s="12" t="s">
        <v>279</v>
      </c>
      <c r="F32" s="12" t="s">
        <v>280</v>
      </c>
      <c r="G32" s="12" t="s">
        <v>281</v>
      </c>
    </row>
    <row r="33" customFormat="false" ht="15" hidden="false" customHeight="true" outlineLevel="0" collapsed="false">
      <c r="A33" s="30" t="n">
        <v>1</v>
      </c>
      <c r="B33" s="31" t="n">
        <v>272</v>
      </c>
      <c r="C33" s="31" t="n">
        <v>6.13</v>
      </c>
      <c r="D33" s="32" t="s">
        <v>282</v>
      </c>
      <c r="E33" s="33" t="n">
        <v>1.4468085106383</v>
      </c>
      <c r="F33" s="32" t="s">
        <v>282</v>
      </c>
      <c r="G33" s="32" t="n">
        <v>0</v>
      </c>
    </row>
    <row r="34" customFormat="false" ht="15" hidden="false" customHeight="true" outlineLevel="0" collapsed="false">
      <c r="A34" s="30" t="n">
        <v>2</v>
      </c>
      <c r="B34" s="31" t="n">
        <v>215</v>
      </c>
      <c r="C34" s="31" t="n">
        <v>6.18</v>
      </c>
      <c r="D34" s="33" t="n">
        <v>0.790441176470588</v>
      </c>
      <c r="E34" s="33" t="n">
        <v>1.1436170212766</v>
      </c>
      <c r="F34" s="32" t="s">
        <v>282</v>
      </c>
      <c r="G34" s="32" t="n">
        <v>0</v>
      </c>
    </row>
    <row r="35" customFormat="false" ht="15" hidden="false" customHeight="true" outlineLevel="0" collapsed="false">
      <c r="A35" s="30" t="n">
        <v>3</v>
      </c>
      <c r="B35" s="31" t="n">
        <v>188</v>
      </c>
      <c r="C35" s="31" t="n">
        <v>6.24</v>
      </c>
      <c r="D35" s="33" t="n">
        <v>0.874418604651163</v>
      </c>
      <c r="E35" s="33" t="n">
        <v>1</v>
      </c>
      <c r="F35" s="32" t="s">
        <v>283</v>
      </c>
      <c r="G35" s="32" t="n">
        <v>6.245</v>
      </c>
    </row>
    <row r="36" customFormat="false" ht="15" hidden="false" customHeight="true" outlineLevel="0" collapsed="false">
      <c r="A36" s="30" t="n">
        <v>4</v>
      </c>
      <c r="B36" s="31" t="n">
        <v>160</v>
      </c>
      <c r="C36" s="31" t="n">
        <v>5.91</v>
      </c>
      <c r="D36" s="33" t="n">
        <v>0.851063829787234</v>
      </c>
      <c r="E36" s="33" t="n">
        <v>0.851063829787234</v>
      </c>
      <c r="F36" s="32" t="s">
        <v>283</v>
      </c>
      <c r="G36" s="32" t="n">
        <v>5.032</v>
      </c>
    </row>
    <row r="37" customFormat="false" ht="15" hidden="false" customHeight="true" outlineLevel="0" collapsed="false">
      <c r="A37" s="30" t="n">
        <v>5</v>
      </c>
      <c r="B37" s="31" t="n">
        <v>120</v>
      </c>
      <c r="C37" s="31" t="n">
        <v>5.6</v>
      </c>
      <c r="D37" s="33" t="n">
        <v>0.75</v>
      </c>
      <c r="E37" s="33" t="n">
        <v>0.638297872340426</v>
      </c>
      <c r="F37" s="32" t="s">
        <v>283</v>
      </c>
      <c r="G37" s="32" t="n">
        <v>3.574</v>
      </c>
    </row>
    <row r="38" customFormat="false" ht="15" hidden="false" customHeight="true" outlineLevel="0" collapsed="false">
      <c r="A38" s="30" t="n">
        <v>6</v>
      </c>
      <c r="B38" s="31" t="n">
        <v>95</v>
      </c>
      <c r="C38" s="31" t="n">
        <v>5.06</v>
      </c>
      <c r="D38" s="33" t="n">
        <v>0.791666666666667</v>
      </c>
      <c r="E38" s="33" t="n">
        <v>0.50531914893617</v>
      </c>
      <c r="F38" s="32" t="s">
        <v>283</v>
      </c>
      <c r="G38" s="32" t="n">
        <v>2.559</v>
      </c>
    </row>
    <row r="39" customFormat="false" ht="15" hidden="false" customHeight="true" outlineLevel="0" collapsed="false">
      <c r="A39" s="30" t="n">
        <v>7</v>
      </c>
      <c r="B39" s="31" t="n">
        <v>65</v>
      </c>
      <c r="C39" s="31" t="n">
        <v>5.2</v>
      </c>
      <c r="D39" s="33" t="n">
        <v>0.68421052631579</v>
      </c>
      <c r="E39" s="33" t="n">
        <v>0.345744680851064</v>
      </c>
      <c r="F39" s="32" t="s">
        <v>283</v>
      </c>
      <c r="G39" s="32" t="n">
        <v>1.798</v>
      </c>
    </row>
    <row r="40" customFormat="false" ht="15" hidden="false" customHeight="true" outlineLevel="0" collapsed="false">
      <c r="A40" s="30" t="n">
        <v>8</v>
      </c>
      <c r="B40" s="31" t="n">
        <v>46</v>
      </c>
      <c r="C40" s="31" t="n">
        <v>4.54</v>
      </c>
      <c r="D40" s="33" t="n">
        <v>0.707692307692308</v>
      </c>
      <c r="E40" s="33" t="n">
        <v>0.24468085106383</v>
      </c>
      <c r="F40" s="32" t="s">
        <v>283</v>
      </c>
      <c r="G40" s="32" t="n">
        <v>1.112</v>
      </c>
    </row>
    <row r="41" customFormat="false" ht="15" hidden="false" customHeight="true" outlineLevel="0" collapsed="false">
      <c r="A41" s="30" t="n">
        <v>9</v>
      </c>
      <c r="B41" s="31" t="n">
        <v>27</v>
      </c>
      <c r="C41" s="31" t="n">
        <v>4.15</v>
      </c>
      <c r="D41" s="33" t="n">
        <v>0.586956521739131</v>
      </c>
      <c r="E41" s="33" t="n">
        <v>0.143617021276596</v>
      </c>
      <c r="F41" s="32" t="s">
        <v>284</v>
      </c>
      <c r="G41" s="32" t="n">
        <v>0</v>
      </c>
    </row>
    <row r="42" customFormat="false" ht="15" hidden="false" customHeight="true" outlineLevel="0" collapsed="false">
      <c r="A42" s="30" t="n">
        <v>10</v>
      </c>
      <c r="B42" s="31" t="n">
        <v>24</v>
      </c>
      <c r="C42" s="31" t="n">
        <v>4.29</v>
      </c>
      <c r="D42" s="33" t="n">
        <v>0.888888888888889</v>
      </c>
      <c r="E42" s="33" t="n">
        <v>0.127659574468085</v>
      </c>
      <c r="F42" s="32" t="s">
        <v>284</v>
      </c>
      <c r="G42" s="32" t="n">
        <v>0</v>
      </c>
    </row>
    <row r="43" customFormat="false" ht="15" hidden="false" customHeight="true" outlineLevel="0" collapsed="false">
      <c r="A43" s="30" t="n">
        <v>11</v>
      </c>
      <c r="B43" s="31" t="n">
        <v>11</v>
      </c>
      <c r="C43" s="31" t="n">
        <v>4.18</v>
      </c>
      <c r="D43" s="33" t="n">
        <v>0.458333333333333</v>
      </c>
      <c r="E43" s="33" t="n">
        <v>0.0585106382978723</v>
      </c>
      <c r="F43" s="32" t="s">
        <v>284</v>
      </c>
      <c r="G43" s="32" t="n">
        <v>0</v>
      </c>
    </row>
    <row r="44" customFormat="false" ht="15" hidden="false" customHeight="true" outlineLevel="0" collapsed="false">
      <c r="A44" s="30" t="n">
        <v>12</v>
      </c>
      <c r="B44" s="31" t="n">
        <v>6</v>
      </c>
      <c r="C44" s="31" t="n">
        <v>4</v>
      </c>
      <c r="D44" s="33" t="n">
        <v>0.545454545454545</v>
      </c>
      <c r="E44" s="33" t="n">
        <v>0.0319148936170213</v>
      </c>
      <c r="F44" s="32" t="s">
        <v>284</v>
      </c>
      <c r="G44" s="32" t="n">
        <v>0</v>
      </c>
    </row>
    <row r="45" customFormat="false" ht="15" hidden="false" customHeight="true" outlineLevel="0" collapsed="false">
      <c r="A45" s="30" t="n">
        <v>13</v>
      </c>
      <c r="B45" s="31" t="n">
        <v>6</v>
      </c>
      <c r="C45" s="31" t="n">
        <v>3.67</v>
      </c>
      <c r="D45" s="33" t="n">
        <v>1</v>
      </c>
      <c r="E45" s="33" t="n">
        <v>0.0319148936170213</v>
      </c>
      <c r="F45" s="32" t="s">
        <v>284</v>
      </c>
      <c r="G45" s="32" t="n">
        <v>0</v>
      </c>
    </row>
    <row r="46" customFormat="false" ht="15" hidden="false" customHeight="true" outlineLevel="0" collapsed="false">
      <c r="A46" s="30" t="n">
        <v>14</v>
      </c>
      <c r="B46" s="31" t="n">
        <v>2</v>
      </c>
      <c r="C46" s="31" t="n">
        <v>3.5</v>
      </c>
      <c r="D46" s="33" t="n">
        <v>0.333333333333333</v>
      </c>
      <c r="E46" s="33" t="n">
        <v>0.0106382978723404</v>
      </c>
      <c r="F46" s="32" t="s">
        <v>284</v>
      </c>
      <c r="G46" s="32" t="n">
        <v>0</v>
      </c>
    </row>
    <row r="47" customFormat="false" ht="15" hidden="false" customHeight="true" outlineLevel="0" collapsed="false">
      <c r="A47" s="30" t="n">
        <v>15</v>
      </c>
      <c r="B47" s="31" t="n">
        <v>0</v>
      </c>
      <c r="C47" s="31" t="n">
        <v>0</v>
      </c>
      <c r="D47" s="33" t="n">
        <v>0</v>
      </c>
      <c r="E47" s="33" t="n">
        <v>0</v>
      </c>
      <c r="F47" s="32" t="s">
        <v>284</v>
      </c>
      <c r="G47" s="32" t="n">
        <v>0</v>
      </c>
    </row>
    <row r="48" customFormat="false" ht="15" hidden="false" customHeight="true" outlineLevel="0" collapsed="false">
      <c r="A48" s="30" t="n">
        <v>16</v>
      </c>
      <c r="B48" s="31" t="n">
        <v>1</v>
      </c>
      <c r="C48" s="31" t="n">
        <v>3</v>
      </c>
      <c r="D48" s="32" t="s">
        <v>282</v>
      </c>
      <c r="E48" s="33" t="n">
        <v>0.00531914893617021</v>
      </c>
      <c r="F48" s="32" t="s">
        <v>284</v>
      </c>
      <c r="G48" s="32" t="n">
        <v>0</v>
      </c>
    </row>
    <row r="49" customFormat="false" ht="15" hidden="false" customHeight="true" outlineLevel="0" collapsed="false">
      <c r="A49" s="34" t="s">
        <v>285</v>
      </c>
      <c r="B49" s="35" t="n">
        <v>0.691176470588235</v>
      </c>
    </row>
    <row r="50" customFormat="false" ht="15" hidden="false" customHeight="true" outlineLevel="0" collapsed="false">
      <c r="A50" s="34" t="s">
        <v>286</v>
      </c>
      <c r="B50" s="36" t="n">
        <v>20.319</v>
      </c>
    </row>
    <row r="51" customFormat="false" ht="15" hidden="false" customHeight="true" outlineLevel="0" collapsed="false">
      <c r="A51" s="34" t="s">
        <v>287</v>
      </c>
      <c r="B51" s="36" t="n">
        <v>32.564</v>
      </c>
    </row>
    <row r="52" customFormat="false" ht="15" hidden="false" customHeight="true" outlineLevel="0" collapsed="false">
      <c r="A52" s="34" t="s">
        <v>288</v>
      </c>
      <c r="B52" s="36" t="n">
        <v>40</v>
      </c>
    </row>
    <row r="53" customFormat="false" ht="15" hidden="false" customHeight="true" outlineLevel="0" collapsed="false">
      <c r="A53" s="34" t="s">
        <v>289</v>
      </c>
      <c r="B53" s="35" t="n">
        <v>0.623979336697787</v>
      </c>
    </row>
    <row r="54" customFormat="false" ht="15" hidden="false" customHeight="true" outlineLevel="0" collapsed="false">
      <c r="A54" s="34" t="s">
        <v>260</v>
      </c>
      <c r="B54" s="35" t="n">
        <v>0.431279835658765</v>
      </c>
    </row>
    <row r="55" customFormat="false" ht="15" hidden="false" customHeight="true" outlineLevel="0" collapsed="false">
      <c r="A55" s="34" t="s">
        <v>290</v>
      </c>
      <c r="B55" s="36" t="n">
        <v>9</v>
      </c>
    </row>
    <row r="57" customFormat="false" ht="15" hidden="false" customHeight="true" outlineLevel="0" collapsed="false">
      <c r="A57" s="28" t="s">
        <v>293</v>
      </c>
      <c r="B57" s="28"/>
      <c r="C57" s="28"/>
      <c r="D57" s="28"/>
      <c r="E57" s="28"/>
      <c r="F57" s="28"/>
      <c r="G57" s="28"/>
    </row>
    <row r="58" customFormat="false" ht="15" hidden="false" customHeight="true" outlineLevel="0" collapsed="false">
      <c r="A58" s="12" t="s">
        <v>275</v>
      </c>
      <c r="B58" s="12" t="s">
        <v>276</v>
      </c>
      <c r="C58" s="12" t="s">
        <v>277</v>
      </c>
      <c r="D58" s="12" t="s">
        <v>278</v>
      </c>
      <c r="E58" s="12" t="s">
        <v>279</v>
      </c>
      <c r="F58" s="12" t="s">
        <v>280</v>
      </c>
      <c r="G58" s="12" t="s">
        <v>281</v>
      </c>
    </row>
    <row r="59" customFormat="false" ht="15" hidden="false" customHeight="true" outlineLevel="0" collapsed="false">
      <c r="A59" s="30" t="n">
        <v>1</v>
      </c>
      <c r="B59" s="31" t="n">
        <v>146</v>
      </c>
      <c r="C59" s="31" t="n">
        <v>5.51</v>
      </c>
      <c r="D59" s="32" t="s">
        <v>282</v>
      </c>
      <c r="E59" s="33" t="n">
        <v>1.44554455445545</v>
      </c>
      <c r="F59" s="32" t="s">
        <v>282</v>
      </c>
      <c r="G59" s="32" t="n">
        <v>0</v>
      </c>
    </row>
    <row r="60" customFormat="false" ht="15" hidden="false" customHeight="true" outlineLevel="0" collapsed="false">
      <c r="A60" s="30" t="n">
        <v>2</v>
      </c>
      <c r="B60" s="31" t="n">
        <v>118</v>
      </c>
      <c r="C60" s="31" t="n">
        <v>6.81</v>
      </c>
      <c r="D60" s="33" t="n">
        <v>0.808219178082192</v>
      </c>
      <c r="E60" s="33" t="n">
        <v>1.16831683168317</v>
      </c>
      <c r="F60" s="32" t="s">
        <v>282</v>
      </c>
      <c r="G60" s="32" t="n">
        <v>0</v>
      </c>
    </row>
    <row r="61" customFormat="false" ht="15" hidden="false" customHeight="true" outlineLevel="0" collapsed="false">
      <c r="A61" s="30" t="n">
        <v>3</v>
      </c>
      <c r="B61" s="31" t="n">
        <v>101</v>
      </c>
      <c r="C61" s="31" t="n">
        <v>7.54</v>
      </c>
      <c r="D61" s="33" t="n">
        <v>0.855932203389831</v>
      </c>
      <c r="E61" s="33" t="n">
        <v>1</v>
      </c>
      <c r="F61" s="32" t="s">
        <v>283</v>
      </c>
      <c r="G61" s="32" t="n">
        <v>7.545</v>
      </c>
    </row>
    <row r="62" customFormat="false" ht="15" hidden="false" customHeight="true" outlineLevel="0" collapsed="false">
      <c r="A62" s="30" t="n">
        <v>4</v>
      </c>
      <c r="B62" s="31" t="n">
        <v>97</v>
      </c>
      <c r="C62" s="31" t="n">
        <v>5.63</v>
      </c>
      <c r="D62" s="33" t="n">
        <v>0.96039603960396</v>
      </c>
      <c r="E62" s="33" t="n">
        <v>0.96039603960396</v>
      </c>
      <c r="F62" s="32" t="s">
        <v>283</v>
      </c>
      <c r="G62" s="32" t="n">
        <v>5.406</v>
      </c>
    </row>
    <row r="63" customFormat="false" ht="15" hidden="false" customHeight="true" outlineLevel="0" collapsed="false">
      <c r="A63" s="30" t="n">
        <v>5</v>
      </c>
      <c r="B63" s="31" t="n">
        <v>87</v>
      </c>
      <c r="C63" s="31" t="n">
        <v>5.93</v>
      </c>
      <c r="D63" s="33" t="n">
        <v>0.896907216494845</v>
      </c>
      <c r="E63" s="33" t="n">
        <v>0.861386138613861</v>
      </c>
      <c r="F63" s="32" t="s">
        <v>283</v>
      </c>
      <c r="G63" s="32" t="n">
        <v>5.109</v>
      </c>
    </row>
    <row r="64" customFormat="false" ht="15" hidden="false" customHeight="true" outlineLevel="0" collapsed="false">
      <c r="A64" s="30" t="n">
        <v>6</v>
      </c>
      <c r="B64" s="31" t="n">
        <v>9</v>
      </c>
      <c r="C64" s="31" t="n">
        <v>5.67</v>
      </c>
      <c r="D64" s="33" t="n">
        <v>0.103448275862069</v>
      </c>
      <c r="E64" s="33" t="n">
        <v>0.0891089108910891</v>
      </c>
      <c r="F64" s="32" t="s">
        <v>284</v>
      </c>
      <c r="G64" s="32" t="n">
        <v>0</v>
      </c>
    </row>
    <row r="65" customFormat="false" ht="15" hidden="false" customHeight="true" outlineLevel="0" collapsed="false">
      <c r="A65" s="30" t="n">
        <v>7</v>
      </c>
      <c r="B65" s="31" t="n">
        <v>7</v>
      </c>
      <c r="C65" s="31" t="n">
        <v>5.57</v>
      </c>
      <c r="D65" s="33" t="n">
        <v>0.777777777777778</v>
      </c>
      <c r="E65" s="33" t="n">
        <v>0.0693069306930693</v>
      </c>
      <c r="F65" s="32" t="s">
        <v>284</v>
      </c>
      <c r="G65" s="32" t="n">
        <v>0</v>
      </c>
    </row>
    <row r="66" customFormat="false" ht="15" hidden="false" customHeight="true" outlineLevel="0" collapsed="false">
      <c r="A66" s="30" t="n">
        <v>8</v>
      </c>
      <c r="B66" s="31" t="n">
        <v>2</v>
      </c>
      <c r="C66" s="31" t="n">
        <v>6</v>
      </c>
      <c r="D66" s="33" t="n">
        <v>0.285714285714286</v>
      </c>
      <c r="E66" s="33" t="n">
        <v>0.0198019801980198</v>
      </c>
      <c r="F66" s="32" t="s">
        <v>284</v>
      </c>
      <c r="G66" s="32" t="n">
        <v>0</v>
      </c>
    </row>
    <row r="67" customFormat="false" ht="15" hidden="false" customHeight="true" outlineLevel="0" collapsed="false">
      <c r="A67" s="30" t="n">
        <v>9</v>
      </c>
      <c r="B67" s="31" t="n">
        <v>4</v>
      </c>
      <c r="C67" s="31" t="n">
        <v>6</v>
      </c>
      <c r="D67" s="33" t="n">
        <v>2</v>
      </c>
      <c r="E67" s="33" t="n">
        <v>0.0396039603960396</v>
      </c>
      <c r="F67" s="32" t="s">
        <v>284</v>
      </c>
      <c r="G67" s="32" t="n">
        <v>0</v>
      </c>
    </row>
    <row r="68" customFormat="false" ht="15" hidden="false" customHeight="true" outlineLevel="0" collapsed="false">
      <c r="A68" s="30" t="n">
        <v>10</v>
      </c>
      <c r="B68" s="31" t="n">
        <v>3</v>
      </c>
      <c r="C68" s="31" t="n">
        <v>5</v>
      </c>
      <c r="D68" s="33" t="n">
        <v>0.75</v>
      </c>
      <c r="E68" s="33" t="n">
        <v>0.0297029702970297</v>
      </c>
      <c r="F68" s="32" t="s">
        <v>284</v>
      </c>
      <c r="G68" s="32" t="n">
        <v>0</v>
      </c>
    </row>
    <row r="69" customFormat="false" ht="15" hidden="false" customHeight="true" outlineLevel="0" collapsed="false">
      <c r="A69" s="30" t="n">
        <v>11</v>
      </c>
      <c r="B69" s="31" t="n">
        <v>2</v>
      </c>
      <c r="C69" s="31" t="n">
        <v>6</v>
      </c>
      <c r="D69" s="33" t="n">
        <v>0.666666666666667</v>
      </c>
      <c r="E69" s="33" t="n">
        <v>0.0198019801980198</v>
      </c>
      <c r="F69" s="32" t="s">
        <v>284</v>
      </c>
      <c r="G69" s="32" t="n">
        <v>0</v>
      </c>
    </row>
    <row r="70" customFormat="false" ht="15" hidden="false" customHeight="true" outlineLevel="0" collapsed="false">
      <c r="A70" s="30" t="n">
        <v>12</v>
      </c>
      <c r="B70" s="31" t="n">
        <v>1</v>
      </c>
      <c r="C70" s="31" t="n">
        <v>6</v>
      </c>
      <c r="D70" s="33" t="n">
        <v>0.5</v>
      </c>
      <c r="E70" s="33" t="n">
        <v>0.0099009900990099</v>
      </c>
      <c r="F70" s="32" t="s">
        <v>284</v>
      </c>
      <c r="G70" s="32" t="n">
        <v>0</v>
      </c>
    </row>
    <row r="71" customFormat="false" ht="15" hidden="false" customHeight="true" outlineLevel="0" collapsed="false">
      <c r="A71" s="30" t="n">
        <v>13</v>
      </c>
      <c r="B71" s="31" t="n">
        <v>1</v>
      </c>
      <c r="C71" s="31" t="n">
        <v>6</v>
      </c>
      <c r="D71" s="33" t="n">
        <v>1</v>
      </c>
      <c r="E71" s="33" t="n">
        <v>0.0099009900990099</v>
      </c>
      <c r="F71" s="32" t="s">
        <v>284</v>
      </c>
      <c r="G71" s="32" t="n">
        <v>0</v>
      </c>
    </row>
    <row r="72" customFormat="false" ht="15" hidden="false" customHeight="true" outlineLevel="0" collapsed="false">
      <c r="A72" s="34" t="s">
        <v>285</v>
      </c>
      <c r="B72" s="35" t="n">
        <v>0.691780821917808</v>
      </c>
    </row>
    <row r="73" customFormat="false" ht="15" hidden="false" customHeight="true" outlineLevel="0" collapsed="false">
      <c r="A73" s="34" t="s">
        <v>286</v>
      </c>
      <c r="B73" s="36" t="n">
        <v>18.059</v>
      </c>
    </row>
    <row r="74" customFormat="false" ht="15" hidden="false" customHeight="true" outlineLevel="0" collapsed="false">
      <c r="A74" s="34" t="s">
        <v>287</v>
      </c>
      <c r="B74" s="36" t="n">
        <v>19.104</v>
      </c>
    </row>
    <row r="75" customFormat="false" ht="15" hidden="false" customHeight="true" outlineLevel="0" collapsed="false">
      <c r="A75" s="34" t="s">
        <v>288</v>
      </c>
      <c r="B75" s="36" t="n">
        <v>33</v>
      </c>
    </row>
    <row r="76" customFormat="false" ht="15" hidden="false" customHeight="true" outlineLevel="0" collapsed="false">
      <c r="A76" s="34" t="s">
        <v>289</v>
      </c>
      <c r="B76" s="35" t="n">
        <v>0.945298152629857</v>
      </c>
    </row>
    <row r="77" customFormat="false" ht="15" hidden="false" customHeight="true" outlineLevel="0" collapsed="false">
      <c r="A77" s="34" t="s">
        <v>260</v>
      </c>
      <c r="B77" s="35" t="n">
        <v>0.653939132983668</v>
      </c>
    </row>
    <row r="78" customFormat="false" ht="15" hidden="false" customHeight="true" outlineLevel="0" collapsed="false">
      <c r="A78" s="34" t="s">
        <v>290</v>
      </c>
      <c r="B78" s="36" t="n">
        <v>6</v>
      </c>
    </row>
    <row r="80" customFormat="false" ht="15" hidden="false" customHeight="true" outlineLevel="0" collapsed="false">
      <c r="A80" s="28" t="s">
        <v>294</v>
      </c>
      <c r="B80" s="28"/>
      <c r="C80" s="28"/>
      <c r="D80" s="28"/>
      <c r="E80" s="28"/>
      <c r="F80" s="28"/>
      <c r="G80" s="28"/>
    </row>
    <row r="81" customFormat="false" ht="15" hidden="false" customHeight="true" outlineLevel="0" collapsed="false">
      <c r="A81" s="12" t="s">
        <v>275</v>
      </c>
      <c r="B81" s="12" t="s">
        <v>276</v>
      </c>
      <c r="C81" s="12" t="s">
        <v>277</v>
      </c>
      <c r="D81" s="12" t="s">
        <v>278</v>
      </c>
      <c r="E81" s="12" t="s">
        <v>279</v>
      </c>
      <c r="F81" s="12" t="s">
        <v>280</v>
      </c>
      <c r="G81" s="12" t="s">
        <v>281</v>
      </c>
    </row>
    <row r="82" customFormat="false" ht="15" hidden="false" customHeight="true" outlineLevel="0" collapsed="false">
      <c r="A82" s="30" t="n">
        <v>1</v>
      </c>
      <c r="B82" s="31" t="n">
        <v>80</v>
      </c>
      <c r="C82" s="31" t="n">
        <v>8.51</v>
      </c>
      <c r="D82" s="32" t="s">
        <v>282</v>
      </c>
      <c r="E82" s="33" t="n">
        <v>1.29032258064516</v>
      </c>
      <c r="F82" s="32" t="s">
        <v>282</v>
      </c>
      <c r="G82" s="32" t="n">
        <v>0</v>
      </c>
    </row>
    <row r="83" customFormat="false" ht="15" hidden="false" customHeight="true" outlineLevel="0" collapsed="false">
      <c r="A83" s="30" t="n">
        <v>2</v>
      </c>
      <c r="B83" s="31" t="n">
        <v>68</v>
      </c>
      <c r="C83" s="31" t="n">
        <v>6.53</v>
      </c>
      <c r="D83" s="33" t="n">
        <v>0.85</v>
      </c>
      <c r="E83" s="33" t="n">
        <v>1.09677419354839</v>
      </c>
      <c r="F83" s="32" t="s">
        <v>282</v>
      </c>
      <c r="G83" s="32" t="n">
        <v>0</v>
      </c>
    </row>
    <row r="84" customFormat="false" ht="15" hidden="false" customHeight="true" outlineLevel="0" collapsed="false">
      <c r="A84" s="30" t="n">
        <v>3</v>
      </c>
      <c r="B84" s="31" t="n">
        <v>62</v>
      </c>
      <c r="C84" s="31" t="n">
        <v>7.35</v>
      </c>
      <c r="D84" s="33" t="n">
        <v>0.911764705882353</v>
      </c>
      <c r="E84" s="33" t="n">
        <v>1</v>
      </c>
      <c r="F84" s="32" t="s">
        <v>283</v>
      </c>
      <c r="G84" s="32" t="n">
        <v>7.355</v>
      </c>
    </row>
    <row r="85" customFormat="false" ht="15" hidden="false" customHeight="true" outlineLevel="0" collapsed="false">
      <c r="A85" s="30" t="n">
        <v>4</v>
      </c>
      <c r="B85" s="31" t="n">
        <v>61</v>
      </c>
      <c r="C85" s="31" t="n">
        <v>5.85</v>
      </c>
      <c r="D85" s="33" t="n">
        <v>0.983870967741936</v>
      </c>
      <c r="E85" s="33" t="n">
        <v>0.983870967741936</v>
      </c>
      <c r="F85" s="32" t="s">
        <v>283</v>
      </c>
      <c r="G85" s="32" t="n">
        <v>5.758</v>
      </c>
    </row>
    <row r="86" customFormat="false" ht="15" hidden="false" customHeight="true" outlineLevel="0" collapsed="false">
      <c r="A86" s="30" t="n">
        <v>5</v>
      </c>
      <c r="B86" s="31" t="n">
        <v>12</v>
      </c>
      <c r="C86" s="31" t="n">
        <v>4.25</v>
      </c>
      <c r="D86" s="33" t="n">
        <v>0.19672131147541</v>
      </c>
      <c r="E86" s="33" t="n">
        <v>0.193548387096774</v>
      </c>
      <c r="F86" s="32" t="s">
        <v>284</v>
      </c>
      <c r="G86" s="32" t="n">
        <v>0</v>
      </c>
    </row>
    <row r="87" customFormat="false" ht="15" hidden="false" customHeight="true" outlineLevel="0" collapsed="false">
      <c r="A87" s="30" t="n">
        <v>6</v>
      </c>
      <c r="B87" s="31" t="n">
        <v>7</v>
      </c>
      <c r="C87" s="31" t="n">
        <v>4.71</v>
      </c>
      <c r="D87" s="33" t="n">
        <v>0.583333333333333</v>
      </c>
      <c r="E87" s="33" t="n">
        <v>0.112903225806452</v>
      </c>
      <c r="F87" s="32" t="s">
        <v>284</v>
      </c>
      <c r="G87" s="32" t="n">
        <v>0</v>
      </c>
    </row>
    <row r="88" customFormat="false" ht="15" hidden="false" customHeight="true" outlineLevel="0" collapsed="false">
      <c r="A88" s="30" t="n">
        <v>7</v>
      </c>
      <c r="B88" s="31" t="n">
        <v>7</v>
      </c>
      <c r="C88" s="31" t="n">
        <v>4.29</v>
      </c>
      <c r="D88" s="33" t="n">
        <v>1</v>
      </c>
      <c r="E88" s="33" t="n">
        <v>0.112903225806452</v>
      </c>
      <c r="F88" s="32" t="s">
        <v>284</v>
      </c>
      <c r="G88" s="32" t="n">
        <v>0</v>
      </c>
    </row>
    <row r="89" customFormat="false" ht="15" hidden="false" customHeight="true" outlineLevel="0" collapsed="false">
      <c r="A89" s="30" t="n">
        <v>8</v>
      </c>
      <c r="B89" s="31" t="n">
        <v>0</v>
      </c>
      <c r="C89" s="31" t="n">
        <v>0</v>
      </c>
      <c r="D89" s="33" t="n">
        <v>0</v>
      </c>
      <c r="E89" s="33" t="n">
        <v>0</v>
      </c>
      <c r="F89" s="32" t="s">
        <v>284</v>
      </c>
      <c r="G89" s="32" t="n">
        <v>0</v>
      </c>
    </row>
    <row r="90" customFormat="false" ht="15" hidden="false" customHeight="true" outlineLevel="0" collapsed="false">
      <c r="A90" s="30" t="n">
        <v>9</v>
      </c>
      <c r="B90" s="31" t="n">
        <v>2</v>
      </c>
      <c r="C90" s="31" t="n">
        <v>3</v>
      </c>
      <c r="D90" s="32" t="s">
        <v>282</v>
      </c>
      <c r="E90" s="33" t="n">
        <v>0.032258064516129</v>
      </c>
      <c r="F90" s="32" t="s">
        <v>284</v>
      </c>
      <c r="G90" s="32" t="n">
        <v>0</v>
      </c>
    </row>
    <row r="91" customFormat="false" ht="15" hidden="false" customHeight="true" outlineLevel="0" collapsed="false">
      <c r="A91" s="34" t="s">
        <v>285</v>
      </c>
      <c r="B91" s="35" t="n">
        <v>0.775</v>
      </c>
    </row>
    <row r="92" customFormat="false" ht="15" hidden="false" customHeight="true" outlineLevel="0" collapsed="false">
      <c r="A92" s="34" t="s">
        <v>286</v>
      </c>
      <c r="B92" s="36" t="n">
        <v>13.113</v>
      </c>
    </row>
    <row r="93" customFormat="false" ht="15" hidden="false" customHeight="true" outlineLevel="0" collapsed="false">
      <c r="A93" s="34" t="s">
        <v>287</v>
      </c>
      <c r="B93" s="36" t="n">
        <v>13.207</v>
      </c>
    </row>
    <row r="94" customFormat="false" ht="15" hidden="false" customHeight="true" outlineLevel="0" collapsed="false">
      <c r="A94" s="34" t="s">
        <v>288</v>
      </c>
      <c r="B94" s="36" t="n">
        <v>30</v>
      </c>
    </row>
    <row r="95" customFormat="false" ht="15" hidden="false" customHeight="true" outlineLevel="0" collapsed="false">
      <c r="A95" s="34" t="s">
        <v>289</v>
      </c>
      <c r="B95" s="35" t="n">
        <v>0.992852852852853</v>
      </c>
    </row>
    <row r="96" customFormat="false" ht="15" hidden="false" customHeight="true" outlineLevel="0" collapsed="false">
      <c r="A96" s="34" t="s">
        <v>260</v>
      </c>
      <c r="B96" s="35" t="n">
        <v>0.769460960960961</v>
      </c>
    </row>
    <row r="97" customFormat="false" ht="15" hidden="false" customHeight="true" outlineLevel="0" collapsed="false">
      <c r="A97" s="34" t="s">
        <v>290</v>
      </c>
      <c r="B97" s="36" t="n">
        <v>5</v>
      </c>
    </row>
    <row r="99" customFormat="false" ht="15" hidden="false" customHeight="true" outlineLevel="0" collapsed="false">
      <c r="A99" s="28" t="s">
        <v>295</v>
      </c>
      <c r="B99" s="28"/>
      <c r="C99" s="28"/>
      <c r="D99" s="28"/>
      <c r="E99" s="28"/>
      <c r="F99" s="28"/>
      <c r="G99" s="28"/>
    </row>
    <row r="100" customFormat="false" ht="15" hidden="false" customHeight="true" outlineLevel="0" collapsed="false">
      <c r="A100" s="12" t="s">
        <v>275</v>
      </c>
      <c r="B100" s="12" t="s">
        <v>276</v>
      </c>
      <c r="C100" s="12" t="s">
        <v>277</v>
      </c>
      <c r="D100" s="12" t="s">
        <v>278</v>
      </c>
      <c r="E100" s="12" t="s">
        <v>279</v>
      </c>
      <c r="F100" s="12" t="s">
        <v>280</v>
      </c>
      <c r="G100" s="12" t="s">
        <v>281</v>
      </c>
    </row>
    <row r="101" customFormat="false" ht="15" hidden="false" customHeight="true" outlineLevel="0" collapsed="false">
      <c r="A101" s="30" t="n">
        <v>1</v>
      </c>
      <c r="B101" s="31" t="n">
        <v>248</v>
      </c>
      <c r="C101" s="31" t="n">
        <v>5.58</v>
      </c>
      <c r="D101" s="32" t="s">
        <v>282</v>
      </c>
      <c r="E101" s="33" t="n">
        <v>1.87878787878788</v>
      </c>
      <c r="F101" s="32" t="s">
        <v>282</v>
      </c>
      <c r="G101" s="32" t="n">
        <v>0</v>
      </c>
    </row>
    <row r="102" customFormat="false" ht="15" hidden="false" customHeight="true" outlineLevel="0" collapsed="false">
      <c r="A102" s="30" t="n">
        <v>2</v>
      </c>
      <c r="B102" s="31" t="n">
        <v>167</v>
      </c>
      <c r="C102" s="31" t="n">
        <v>5.37</v>
      </c>
      <c r="D102" s="33" t="n">
        <v>0.673387096774194</v>
      </c>
      <c r="E102" s="33" t="n">
        <v>1.26515151515152</v>
      </c>
      <c r="F102" s="32" t="s">
        <v>282</v>
      </c>
      <c r="G102" s="32" t="n">
        <v>0</v>
      </c>
    </row>
    <row r="103" customFormat="false" ht="15" hidden="false" customHeight="true" outlineLevel="0" collapsed="false">
      <c r="A103" s="30" t="n">
        <v>3</v>
      </c>
      <c r="B103" s="31" t="n">
        <v>132</v>
      </c>
      <c r="C103" s="31" t="n">
        <v>5.5</v>
      </c>
      <c r="D103" s="33" t="n">
        <v>0.790419161676647</v>
      </c>
      <c r="E103" s="33" t="n">
        <v>1</v>
      </c>
      <c r="F103" s="32" t="s">
        <v>283</v>
      </c>
      <c r="G103" s="32" t="n">
        <v>5.5</v>
      </c>
    </row>
    <row r="104" customFormat="false" ht="15" hidden="false" customHeight="true" outlineLevel="0" collapsed="false">
      <c r="A104" s="30" t="n">
        <v>4</v>
      </c>
      <c r="B104" s="31" t="n">
        <v>154</v>
      </c>
      <c r="C104" s="31" t="n">
        <v>5.68</v>
      </c>
      <c r="D104" s="33" t="n">
        <v>1.16666666666667</v>
      </c>
      <c r="E104" s="33" t="n">
        <v>1.16666666666667</v>
      </c>
      <c r="F104" s="32" t="s">
        <v>283</v>
      </c>
      <c r="G104" s="32" t="n">
        <v>6.621</v>
      </c>
    </row>
    <row r="105" customFormat="false" ht="15" hidden="false" customHeight="true" outlineLevel="0" collapsed="false">
      <c r="A105" s="30" t="n">
        <v>5</v>
      </c>
      <c r="B105" s="31" t="n">
        <v>133</v>
      </c>
      <c r="C105" s="31" t="n">
        <v>5.15</v>
      </c>
      <c r="D105" s="33" t="n">
        <v>0.863636363636364</v>
      </c>
      <c r="E105" s="33" t="n">
        <v>1.00757575757576</v>
      </c>
      <c r="F105" s="32" t="s">
        <v>283</v>
      </c>
      <c r="G105" s="32" t="n">
        <v>5.189</v>
      </c>
    </row>
    <row r="106" customFormat="false" ht="15" hidden="false" customHeight="true" outlineLevel="0" collapsed="false">
      <c r="A106" s="30" t="n">
        <v>6</v>
      </c>
      <c r="B106" s="31" t="n">
        <v>111</v>
      </c>
      <c r="C106" s="31" t="n">
        <v>4.95</v>
      </c>
      <c r="D106" s="33" t="n">
        <v>0.834586466165414</v>
      </c>
      <c r="E106" s="33" t="n">
        <v>0.840909090909091</v>
      </c>
      <c r="F106" s="32" t="s">
        <v>283</v>
      </c>
      <c r="G106" s="32" t="n">
        <v>4.167</v>
      </c>
    </row>
    <row r="107" customFormat="false" ht="15" hidden="false" customHeight="true" outlineLevel="0" collapsed="false">
      <c r="A107" s="30" t="n">
        <v>7</v>
      </c>
      <c r="B107" s="31" t="n">
        <v>74</v>
      </c>
      <c r="C107" s="31" t="n">
        <v>5.04</v>
      </c>
      <c r="D107" s="33" t="n">
        <v>0.666666666666667</v>
      </c>
      <c r="E107" s="33" t="n">
        <v>0.560606060606061</v>
      </c>
      <c r="F107" s="32" t="s">
        <v>283</v>
      </c>
      <c r="G107" s="32" t="n">
        <v>2.826</v>
      </c>
    </row>
    <row r="108" customFormat="false" ht="15" hidden="false" customHeight="true" outlineLevel="0" collapsed="false">
      <c r="A108" s="30" t="n">
        <v>8</v>
      </c>
      <c r="B108" s="31" t="n">
        <v>43</v>
      </c>
      <c r="C108" s="31" t="n">
        <v>4.49</v>
      </c>
      <c r="D108" s="33" t="n">
        <v>0.581081081081081</v>
      </c>
      <c r="E108" s="33" t="n">
        <v>0.325757575757576</v>
      </c>
      <c r="F108" s="32" t="s">
        <v>283</v>
      </c>
      <c r="G108" s="32" t="n">
        <v>1.462</v>
      </c>
    </row>
    <row r="109" customFormat="false" ht="15" hidden="false" customHeight="true" outlineLevel="0" collapsed="false">
      <c r="A109" s="30" t="n">
        <v>9</v>
      </c>
      <c r="B109" s="31" t="n">
        <v>24</v>
      </c>
      <c r="C109" s="31" t="n">
        <v>3.42</v>
      </c>
      <c r="D109" s="33" t="n">
        <v>0.558139534883721</v>
      </c>
      <c r="E109" s="33" t="n">
        <v>0.181818181818182</v>
      </c>
      <c r="F109" s="32" t="s">
        <v>284</v>
      </c>
      <c r="G109" s="32" t="n">
        <v>0</v>
      </c>
    </row>
    <row r="110" customFormat="false" ht="15" hidden="false" customHeight="true" outlineLevel="0" collapsed="false">
      <c r="A110" s="30" t="n">
        <v>10</v>
      </c>
      <c r="B110" s="31" t="n">
        <v>11</v>
      </c>
      <c r="C110" s="31" t="n">
        <v>4.18</v>
      </c>
      <c r="D110" s="33" t="n">
        <v>0.458333333333333</v>
      </c>
      <c r="E110" s="33" t="n">
        <v>0.0833333333333333</v>
      </c>
      <c r="F110" s="32" t="s">
        <v>284</v>
      </c>
      <c r="G110" s="32" t="n">
        <v>0</v>
      </c>
    </row>
    <row r="111" customFormat="false" ht="15" hidden="false" customHeight="true" outlineLevel="0" collapsed="false">
      <c r="A111" s="30" t="n">
        <v>11</v>
      </c>
      <c r="B111" s="31" t="n">
        <v>5</v>
      </c>
      <c r="C111" s="31" t="n">
        <v>4.2</v>
      </c>
      <c r="D111" s="33" t="n">
        <v>0.454545454545455</v>
      </c>
      <c r="E111" s="33" t="n">
        <v>0.0378787878787879</v>
      </c>
      <c r="F111" s="32" t="s">
        <v>284</v>
      </c>
      <c r="G111" s="32" t="n">
        <v>0</v>
      </c>
    </row>
    <row r="112" customFormat="false" ht="15" hidden="false" customHeight="true" outlineLevel="0" collapsed="false">
      <c r="A112" s="30" t="n">
        <v>12</v>
      </c>
      <c r="B112" s="31" t="n">
        <v>7</v>
      </c>
      <c r="C112" s="31" t="n">
        <v>6.71</v>
      </c>
      <c r="D112" s="33" t="n">
        <v>1.4</v>
      </c>
      <c r="E112" s="33" t="n">
        <v>0.053030303030303</v>
      </c>
      <c r="F112" s="32" t="s">
        <v>284</v>
      </c>
      <c r="G112" s="32" t="n">
        <v>0</v>
      </c>
    </row>
    <row r="113" customFormat="false" ht="15" hidden="false" customHeight="true" outlineLevel="0" collapsed="false">
      <c r="A113" s="30" t="n">
        <v>13</v>
      </c>
      <c r="B113" s="31" t="n">
        <v>4</v>
      </c>
      <c r="C113" s="31" t="n">
        <v>6.5</v>
      </c>
      <c r="D113" s="33" t="n">
        <v>0.571428571428571</v>
      </c>
      <c r="E113" s="33" t="n">
        <v>0.0303030303030303</v>
      </c>
      <c r="F113" s="32" t="s">
        <v>284</v>
      </c>
      <c r="G113" s="32" t="n">
        <v>0</v>
      </c>
    </row>
    <row r="114" customFormat="false" ht="15" hidden="false" customHeight="true" outlineLevel="0" collapsed="false">
      <c r="A114" s="30" t="n">
        <v>14</v>
      </c>
      <c r="B114" s="31" t="n">
        <v>3</v>
      </c>
      <c r="C114" s="31" t="n">
        <v>5.67</v>
      </c>
      <c r="D114" s="33" t="n">
        <v>0.75</v>
      </c>
      <c r="E114" s="33" t="n">
        <v>0.0227272727272727</v>
      </c>
      <c r="F114" s="32" t="s">
        <v>284</v>
      </c>
      <c r="G114" s="32" t="n">
        <v>0</v>
      </c>
    </row>
    <row r="115" customFormat="false" ht="15" hidden="false" customHeight="true" outlineLevel="0" collapsed="false">
      <c r="A115" s="30" t="n">
        <v>15</v>
      </c>
      <c r="B115" s="31" t="n">
        <v>2</v>
      </c>
      <c r="C115" s="31" t="n">
        <v>5</v>
      </c>
      <c r="D115" s="33" t="n">
        <v>0.666666666666667</v>
      </c>
      <c r="E115" s="33" t="n">
        <v>0.0151515151515152</v>
      </c>
      <c r="F115" s="32" t="s">
        <v>284</v>
      </c>
      <c r="G115" s="32" t="n">
        <v>0</v>
      </c>
    </row>
    <row r="116" customFormat="false" ht="15" hidden="false" customHeight="true" outlineLevel="0" collapsed="false">
      <c r="A116" s="30" t="n">
        <v>16</v>
      </c>
      <c r="B116" s="31" t="n">
        <v>1</v>
      </c>
      <c r="C116" s="31" t="n">
        <v>6</v>
      </c>
      <c r="D116" s="33" t="n">
        <v>0.5</v>
      </c>
      <c r="E116" s="33" t="n">
        <v>0.00757575757575758</v>
      </c>
      <c r="F116" s="32" t="s">
        <v>284</v>
      </c>
      <c r="G116" s="32" t="n">
        <v>0</v>
      </c>
    </row>
    <row r="117" customFormat="false" ht="15" hidden="false" customHeight="true" outlineLevel="0" collapsed="false">
      <c r="A117" s="30" t="n">
        <v>17</v>
      </c>
      <c r="B117" s="31" t="n">
        <v>1</v>
      </c>
      <c r="C117" s="31" t="n">
        <v>5</v>
      </c>
      <c r="D117" s="33" t="n">
        <v>1</v>
      </c>
      <c r="E117" s="33" t="n">
        <v>0.00757575757575758</v>
      </c>
      <c r="F117" s="32" t="s">
        <v>284</v>
      </c>
      <c r="G117" s="32" t="n">
        <v>0</v>
      </c>
    </row>
    <row r="118" customFormat="false" ht="15" hidden="false" customHeight="true" outlineLevel="0" collapsed="false">
      <c r="A118" s="34" t="s">
        <v>285</v>
      </c>
      <c r="B118" s="35" t="n">
        <v>0.532258064516129</v>
      </c>
    </row>
    <row r="119" customFormat="false" ht="15" hidden="false" customHeight="true" outlineLevel="0" collapsed="false">
      <c r="A119" s="34" t="s">
        <v>286</v>
      </c>
      <c r="B119" s="36" t="n">
        <v>25.765</v>
      </c>
    </row>
    <row r="120" customFormat="false" ht="15" hidden="false" customHeight="true" outlineLevel="0" collapsed="false">
      <c r="A120" s="34" t="s">
        <v>287</v>
      </c>
      <c r="B120" s="36" t="n">
        <v>30.81</v>
      </c>
    </row>
    <row r="121" customFormat="false" ht="15" hidden="false" customHeight="true" outlineLevel="0" collapsed="false">
      <c r="A121" s="34" t="s">
        <v>288</v>
      </c>
      <c r="B121" s="36" t="n">
        <v>33</v>
      </c>
    </row>
    <row r="122" customFormat="false" ht="15" hidden="false" customHeight="true" outlineLevel="0" collapsed="false">
      <c r="A122" s="34" t="s">
        <v>289</v>
      </c>
      <c r="B122" s="35" t="n">
        <v>0.836271100744058</v>
      </c>
    </row>
    <row r="123" customFormat="false" ht="15" hidden="false" customHeight="true" outlineLevel="0" collapsed="false">
      <c r="A123" s="34" t="s">
        <v>260</v>
      </c>
      <c r="B123" s="35" t="n">
        <v>0.445112037492805</v>
      </c>
    </row>
    <row r="124" customFormat="false" ht="15" hidden="false" customHeight="true" outlineLevel="0" collapsed="false">
      <c r="A124" s="34" t="s">
        <v>290</v>
      </c>
      <c r="B124" s="36" t="n">
        <v>9</v>
      </c>
    </row>
    <row r="126" customFormat="false" ht="15" hidden="false" customHeight="true" outlineLevel="0" collapsed="false">
      <c r="A126" s="28" t="s">
        <v>296</v>
      </c>
      <c r="B126" s="28"/>
      <c r="C126" s="28"/>
      <c r="D126" s="28"/>
      <c r="E126" s="28"/>
      <c r="F126" s="28"/>
      <c r="G126" s="28"/>
    </row>
    <row r="127" customFormat="false" ht="15" hidden="false" customHeight="true" outlineLevel="0" collapsed="false">
      <c r="A127" s="12" t="s">
        <v>275</v>
      </c>
      <c r="B127" s="12" t="s">
        <v>276</v>
      </c>
      <c r="C127" s="12" t="s">
        <v>277</v>
      </c>
      <c r="D127" s="12" t="s">
        <v>278</v>
      </c>
      <c r="E127" s="12" t="s">
        <v>279</v>
      </c>
      <c r="F127" s="12" t="s">
        <v>280</v>
      </c>
      <c r="G127" s="12" t="s">
        <v>281</v>
      </c>
    </row>
    <row r="128" customFormat="false" ht="15" hidden="false" customHeight="true" outlineLevel="0" collapsed="false">
      <c r="A128" s="30" t="n">
        <v>1</v>
      </c>
      <c r="B128" s="31" t="n">
        <v>474</v>
      </c>
      <c r="C128" s="31" t="n">
        <v>5.25</v>
      </c>
      <c r="D128" s="32" t="s">
        <v>282</v>
      </c>
      <c r="E128" s="33" t="n">
        <v>1.52903225806452</v>
      </c>
      <c r="F128" s="32" t="s">
        <v>282</v>
      </c>
      <c r="G128" s="32" t="n">
        <v>0</v>
      </c>
    </row>
    <row r="129" customFormat="false" ht="15" hidden="false" customHeight="true" outlineLevel="0" collapsed="false">
      <c r="A129" s="30" t="n">
        <v>2</v>
      </c>
      <c r="B129" s="31" t="n">
        <v>366</v>
      </c>
      <c r="C129" s="31" t="n">
        <v>5.55</v>
      </c>
      <c r="D129" s="33" t="n">
        <v>0.772151898734177</v>
      </c>
      <c r="E129" s="33" t="n">
        <v>1.18064516129032</v>
      </c>
      <c r="F129" s="32" t="s">
        <v>282</v>
      </c>
      <c r="G129" s="32" t="n">
        <v>0</v>
      </c>
    </row>
    <row r="130" customFormat="false" ht="15" hidden="false" customHeight="true" outlineLevel="0" collapsed="false">
      <c r="A130" s="30" t="n">
        <v>3</v>
      </c>
      <c r="B130" s="31" t="n">
        <v>310</v>
      </c>
      <c r="C130" s="31" t="n">
        <v>5.55</v>
      </c>
      <c r="D130" s="33" t="n">
        <v>0.846994535519126</v>
      </c>
      <c r="E130" s="33" t="n">
        <v>1</v>
      </c>
      <c r="F130" s="32" t="s">
        <v>283</v>
      </c>
      <c r="G130" s="32" t="n">
        <v>5.545</v>
      </c>
    </row>
    <row r="131" customFormat="false" ht="15" hidden="false" customHeight="true" outlineLevel="0" collapsed="false">
      <c r="A131" s="30" t="n">
        <v>4</v>
      </c>
      <c r="B131" s="31" t="n">
        <v>311</v>
      </c>
      <c r="C131" s="31" t="n">
        <v>5.66</v>
      </c>
      <c r="D131" s="33" t="n">
        <v>1.00322580645161</v>
      </c>
      <c r="E131" s="33" t="n">
        <v>1.00322580645161</v>
      </c>
      <c r="F131" s="32" t="s">
        <v>283</v>
      </c>
      <c r="G131" s="32" t="n">
        <v>5.681</v>
      </c>
    </row>
    <row r="132" customFormat="false" ht="15" hidden="false" customHeight="true" outlineLevel="0" collapsed="false">
      <c r="A132" s="30" t="n">
        <v>5</v>
      </c>
      <c r="B132" s="31" t="n">
        <v>276</v>
      </c>
      <c r="C132" s="31" t="n">
        <v>5.44</v>
      </c>
      <c r="D132" s="33" t="n">
        <v>0.887459807073955</v>
      </c>
      <c r="E132" s="33" t="n">
        <v>0.890322580645161</v>
      </c>
      <c r="F132" s="32" t="s">
        <v>283</v>
      </c>
      <c r="G132" s="32" t="n">
        <v>4.845</v>
      </c>
    </row>
    <row r="133" customFormat="false" ht="15" hidden="false" customHeight="true" outlineLevel="0" collapsed="false">
      <c r="A133" s="30" t="n">
        <v>6</v>
      </c>
      <c r="B133" s="31" t="n">
        <v>235</v>
      </c>
      <c r="C133" s="31" t="n">
        <v>4.26</v>
      </c>
      <c r="D133" s="33" t="n">
        <v>0.851449275362319</v>
      </c>
      <c r="E133" s="33" t="n">
        <v>0.758064516129032</v>
      </c>
      <c r="F133" s="32" t="s">
        <v>283</v>
      </c>
      <c r="G133" s="32" t="n">
        <v>3.229</v>
      </c>
    </row>
    <row r="134" customFormat="false" ht="15" hidden="false" customHeight="true" outlineLevel="0" collapsed="false">
      <c r="A134" s="30" t="n">
        <v>7</v>
      </c>
      <c r="B134" s="31" t="n">
        <v>105</v>
      </c>
      <c r="C134" s="31" t="n">
        <v>4.5</v>
      </c>
      <c r="D134" s="33" t="n">
        <v>0.446808510638298</v>
      </c>
      <c r="E134" s="33" t="n">
        <v>0.338709677419355</v>
      </c>
      <c r="F134" s="32" t="s">
        <v>283</v>
      </c>
      <c r="G134" s="32" t="n">
        <v>1.526</v>
      </c>
    </row>
    <row r="135" customFormat="false" ht="15" hidden="false" customHeight="true" outlineLevel="0" collapsed="false">
      <c r="A135" s="30" t="n">
        <v>8</v>
      </c>
      <c r="B135" s="31" t="n">
        <v>67</v>
      </c>
      <c r="C135" s="31" t="n">
        <v>3.93</v>
      </c>
      <c r="D135" s="33" t="n">
        <v>0.638095238095238</v>
      </c>
      <c r="E135" s="33" t="n">
        <v>0.216129032258065</v>
      </c>
      <c r="F135" s="32" t="s">
        <v>283</v>
      </c>
      <c r="G135" s="32" t="n">
        <v>0.848</v>
      </c>
    </row>
    <row r="136" customFormat="false" ht="15" hidden="false" customHeight="true" outlineLevel="0" collapsed="false">
      <c r="A136" s="30" t="n">
        <v>9</v>
      </c>
      <c r="B136" s="31" t="n">
        <v>32</v>
      </c>
      <c r="C136" s="31" t="n">
        <v>3.72</v>
      </c>
      <c r="D136" s="33" t="n">
        <v>0.477611940298508</v>
      </c>
      <c r="E136" s="33" t="n">
        <v>0.103225806451613</v>
      </c>
      <c r="F136" s="32" t="s">
        <v>284</v>
      </c>
      <c r="G136" s="32" t="n">
        <v>0</v>
      </c>
    </row>
    <row r="137" customFormat="false" ht="15" hidden="false" customHeight="true" outlineLevel="0" collapsed="false">
      <c r="A137" s="30" t="n">
        <v>10</v>
      </c>
      <c r="B137" s="31" t="n">
        <v>21</v>
      </c>
      <c r="C137" s="31" t="n">
        <v>4.1</v>
      </c>
      <c r="D137" s="33" t="n">
        <v>0.65625</v>
      </c>
      <c r="E137" s="33" t="n">
        <v>0.067741935483871</v>
      </c>
      <c r="F137" s="32" t="s">
        <v>284</v>
      </c>
      <c r="G137" s="32" t="n">
        <v>0</v>
      </c>
    </row>
    <row r="138" customFormat="false" ht="15" hidden="false" customHeight="true" outlineLevel="0" collapsed="false">
      <c r="A138" s="30" t="n">
        <v>11</v>
      </c>
      <c r="B138" s="31" t="n">
        <v>15</v>
      </c>
      <c r="C138" s="31" t="n">
        <v>4.2</v>
      </c>
      <c r="D138" s="33" t="n">
        <v>0.714285714285714</v>
      </c>
      <c r="E138" s="33" t="n">
        <v>0.0483870967741936</v>
      </c>
      <c r="F138" s="32" t="s">
        <v>284</v>
      </c>
      <c r="G138" s="32" t="n">
        <v>0</v>
      </c>
    </row>
    <row r="139" customFormat="false" ht="15" hidden="false" customHeight="true" outlineLevel="0" collapsed="false">
      <c r="A139" s="30" t="n">
        <v>12</v>
      </c>
      <c r="B139" s="31" t="n">
        <v>6</v>
      </c>
      <c r="C139" s="31" t="n">
        <v>3.5</v>
      </c>
      <c r="D139" s="33" t="n">
        <v>0.4</v>
      </c>
      <c r="E139" s="33" t="n">
        <v>0.0193548387096774</v>
      </c>
      <c r="F139" s="32" t="s">
        <v>284</v>
      </c>
      <c r="G139" s="32" t="n">
        <v>0</v>
      </c>
    </row>
    <row r="140" customFormat="false" ht="15" hidden="false" customHeight="true" outlineLevel="0" collapsed="false">
      <c r="A140" s="30" t="n">
        <v>13</v>
      </c>
      <c r="B140" s="31" t="n">
        <v>6</v>
      </c>
      <c r="C140" s="31" t="n">
        <v>4</v>
      </c>
      <c r="D140" s="33" t="n">
        <v>1</v>
      </c>
      <c r="E140" s="33" t="n">
        <v>0.0193548387096774</v>
      </c>
      <c r="F140" s="32" t="s">
        <v>284</v>
      </c>
      <c r="G140" s="32" t="n">
        <v>0</v>
      </c>
    </row>
    <row r="141" customFormat="false" ht="15" hidden="false" customHeight="true" outlineLevel="0" collapsed="false">
      <c r="A141" s="30" t="n">
        <v>14</v>
      </c>
      <c r="B141" s="31" t="n">
        <v>2</v>
      </c>
      <c r="C141" s="31" t="n">
        <v>4.5</v>
      </c>
      <c r="D141" s="33" t="n">
        <v>0.333333333333333</v>
      </c>
      <c r="E141" s="33" t="n">
        <v>0.00645161290322581</v>
      </c>
      <c r="F141" s="32" t="s">
        <v>284</v>
      </c>
      <c r="G141" s="32" t="n">
        <v>0</v>
      </c>
    </row>
    <row r="142" customFormat="false" ht="15" hidden="false" customHeight="true" outlineLevel="0" collapsed="false">
      <c r="A142" s="30" t="n">
        <v>15</v>
      </c>
      <c r="B142" s="31" t="n">
        <v>1</v>
      </c>
      <c r="C142" s="31" t="n">
        <v>3</v>
      </c>
      <c r="D142" s="33" t="n">
        <v>0.5</v>
      </c>
      <c r="E142" s="33" t="n">
        <v>0.0032258064516129</v>
      </c>
      <c r="F142" s="32" t="s">
        <v>284</v>
      </c>
      <c r="G142" s="32" t="n">
        <v>0</v>
      </c>
    </row>
    <row r="143" customFormat="false" ht="15" hidden="false" customHeight="true" outlineLevel="0" collapsed="false">
      <c r="A143" s="34" t="s">
        <v>285</v>
      </c>
      <c r="B143" s="35" t="n">
        <v>0.654008438818565</v>
      </c>
    </row>
    <row r="144" customFormat="false" ht="15" hidden="false" customHeight="true" outlineLevel="0" collapsed="false">
      <c r="A144" s="34" t="s">
        <v>286</v>
      </c>
      <c r="B144" s="36" t="n">
        <v>21.674</v>
      </c>
    </row>
    <row r="145" customFormat="false" ht="15" hidden="false" customHeight="true" outlineLevel="0" collapsed="false">
      <c r="A145" s="34" t="s">
        <v>287</v>
      </c>
      <c r="B145" s="36" t="n">
        <v>29.339</v>
      </c>
    </row>
    <row r="146" customFormat="false" ht="15" hidden="false" customHeight="true" outlineLevel="0" collapsed="false">
      <c r="A146" s="34" t="s">
        <v>288</v>
      </c>
      <c r="B146" s="36" t="n">
        <v>33</v>
      </c>
    </row>
    <row r="147" customFormat="false" ht="15" hidden="false" customHeight="true" outlineLevel="0" collapsed="false">
      <c r="A147" s="34" t="s">
        <v>289</v>
      </c>
      <c r="B147" s="35" t="n">
        <v>0.738743218519983</v>
      </c>
    </row>
    <row r="148" customFormat="false" ht="15" hidden="false" customHeight="true" outlineLevel="0" collapsed="false">
      <c r="A148" s="34" t="s">
        <v>260</v>
      </c>
      <c r="B148" s="35" t="n">
        <v>0.483144299032056</v>
      </c>
    </row>
    <row r="149" customFormat="false" ht="15" hidden="false" customHeight="true" outlineLevel="0" collapsed="false">
      <c r="A149" s="34" t="s">
        <v>290</v>
      </c>
      <c r="B149" s="36" t="n">
        <v>9</v>
      </c>
    </row>
    <row r="151" customFormat="false" ht="15" hidden="false" customHeight="true" outlineLevel="0" collapsed="false">
      <c r="A151" s="28" t="s">
        <v>297</v>
      </c>
      <c r="B151" s="28"/>
      <c r="C151" s="28"/>
      <c r="D151" s="28"/>
      <c r="E151" s="28"/>
      <c r="F151" s="28"/>
      <c r="G151" s="28"/>
    </row>
    <row r="152" customFormat="false" ht="15" hidden="false" customHeight="true" outlineLevel="0" collapsed="false">
      <c r="A152" s="12" t="s">
        <v>275</v>
      </c>
      <c r="B152" s="12" t="s">
        <v>276</v>
      </c>
      <c r="C152" s="12" t="s">
        <v>277</v>
      </c>
      <c r="D152" s="12" t="s">
        <v>278</v>
      </c>
      <c r="E152" s="12" t="s">
        <v>279</v>
      </c>
      <c r="F152" s="12" t="s">
        <v>280</v>
      </c>
      <c r="G152" s="12" t="s">
        <v>281</v>
      </c>
    </row>
    <row r="153" customFormat="false" ht="15" hidden="false" customHeight="true" outlineLevel="0" collapsed="false">
      <c r="A153" s="30" t="n">
        <v>1</v>
      </c>
      <c r="B153" s="31" t="n">
        <v>505</v>
      </c>
      <c r="C153" s="31" t="n">
        <v>5.03</v>
      </c>
      <c r="D153" s="32" t="s">
        <v>282</v>
      </c>
      <c r="E153" s="33" t="n">
        <v>1.75347222222222</v>
      </c>
      <c r="F153" s="32" t="s">
        <v>282</v>
      </c>
      <c r="G153" s="32" t="n">
        <v>0</v>
      </c>
    </row>
    <row r="154" customFormat="false" ht="15" hidden="false" customHeight="true" outlineLevel="0" collapsed="false">
      <c r="A154" s="30" t="n">
        <v>2</v>
      </c>
      <c r="B154" s="31" t="n">
        <v>346</v>
      </c>
      <c r="C154" s="31" t="n">
        <v>5.23</v>
      </c>
      <c r="D154" s="33" t="n">
        <v>0.685148514851485</v>
      </c>
      <c r="E154" s="33" t="n">
        <v>1.20138888888889</v>
      </c>
      <c r="F154" s="32" t="s">
        <v>282</v>
      </c>
      <c r="G154" s="32" t="n">
        <v>0</v>
      </c>
    </row>
    <row r="155" customFormat="false" ht="15" hidden="false" customHeight="true" outlineLevel="0" collapsed="false">
      <c r="A155" s="30" t="n">
        <v>3</v>
      </c>
      <c r="B155" s="31" t="n">
        <v>288</v>
      </c>
      <c r="C155" s="31" t="n">
        <v>5.26</v>
      </c>
      <c r="D155" s="33" t="n">
        <v>0.832369942196532</v>
      </c>
      <c r="E155" s="33" t="n">
        <v>1</v>
      </c>
      <c r="F155" s="32" t="s">
        <v>283</v>
      </c>
      <c r="G155" s="32" t="n">
        <v>5.257</v>
      </c>
    </row>
    <row r="156" customFormat="false" ht="15" hidden="false" customHeight="true" outlineLevel="0" collapsed="false">
      <c r="A156" s="30" t="n">
        <v>4</v>
      </c>
      <c r="B156" s="31" t="n">
        <v>277</v>
      </c>
      <c r="C156" s="31" t="n">
        <v>5.58</v>
      </c>
      <c r="D156" s="33" t="n">
        <v>0.961805555555556</v>
      </c>
      <c r="E156" s="33" t="n">
        <v>0.961805555555556</v>
      </c>
      <c r="F156" s="32" t="s">
        <v>283</v>
      </c>
      <c r="G156" s="32" t="n">
        <v>5.365</v>
      </c>
    </row>
    <row r="157" customFormat="false" ht="15" hidden="false" customHeight="true" outlineLevel="0" collapsed="false">
      <c r="A157" s="30" t="n">
        <v>5</v>
      </c>
      <c r="B157" s="31" t="n">
        <v>245</v>
      </c>
      <c r="C157" s="31" t="n">
        <v>5.74</v>
      </c>
      <c r="D157" s="33" t="n">
        <v>0.884476534296029</v>
      </c>
      <c r="E157" s="33" t="n">
        <v>0.850694444444444</v>
      </c>
      <c r="F157" s="32" t="s">
        <v>283</v>
      </c>
      <c r="G157" s="32" t="n">
        <v>4.885</v>
      </c>
    </row>
    <row r="158" customFormat="false" ht="15" hidden="false" customHeight="true" outlineLevel="0" collapsed="false">
      <c r="A158" s="30" t="n">
        <v>6</v>
      </c>
      <c r="B158" s="31" t="n">
        <v>171</v>
      </c>
      <c r="C158" s="31" t="n">
        <v>5.2</v>
      </c>
      <c r="D158" s="33" t="n">
        <v>0.697959183673469</v>
      </c>
      <c r="E158" s="33" t="n">
        <v>0.59375</v>
      </c>
      <c r="F158" s="32" t="s">
        <v>283</v>
      </c>
      <c r="G158" s="32" t="n">
        <v>3.087</v>
      </c>
    </row>
    <row r="159" customFormat="false" ht="15" hidden="false" customHeight="true" outlineLevel="0" collapsed="false">
      <c r="A159" s="30" t="n">
        <v>7</v>
      </c>
      <c r="B159" s="31" t="n">
        <v>114</v>
      </c>
      <c r="C159" s="31" t="n">
        <v>5</v>
      </c>
      <c r="D159" s="33" t="n">
        <v>0.666666666666667</v>
      </c>
      <c r="E159" s="33" t="n">
        <v>0.395833333333333</v>
      </c>
      <c r="F159" s="32" t="s">
        <v>283</v>
      </c>
      <c r="G159" s="32" t="n">
        <v>1.979</v>
      </c>
    </row>
    <row r="160" customFormat="false" ht="15" hidden="false" customHeight="true" outlineLevel="0" collapsed="false">
      <c r="A160" s="30" t="n">
        <v>8</v>
      </c>
      <c r="B160" s="31" t="n">
        <v>64</v>
      </c>
      <c r="C160" s="31" t="n">
        <v>4.31</v>
      </c>
      <c r="D160" s="33" t="n">
        <v>0.56140350877193</v>
      </c>
      <c r="E160" s="33" t="n">
        <v>0.222222222222222</v>
      </c>
      <c r="F160" s="32" t="s">
        <v>283</v>
      </c>
      <c r="G160" s="32" t="n">
        <v>0.958</v>
      </c>
    </row>
    <row r="161" customFormat="false" ht="15" hidden="false" customHeight="true" outlineLevel="0" collapsed="false">
      <c r="A161" s="30" t="n">
        <v>9</v>
      </c>
      <c r="B161" s="31" t="n">
        <v>48</v>
      </c>
      <c r="C161" s="31" t="n">
        <v>3.75</v>
      </c>
      <c r="D161" s="33" t="n">
        <v>0.75</v>
      </c>
      <c r="E161" s="33" t="n">
        <v>0.166666666666667</v>
      </c>
      <c r="F161" s="32" t="s">
        <v>284</v>
      </c>
      <c r="G161" s="32" t="n">
        <v>0</v>
      </c>
    </row>
    <row r="162" customFormat="false" ht="15" hidden="false" customHeight="true" outlineLevel="0" collapsed="false">
      <c r="A162" s="30" t="n">
        <v>10</v>
      </c>
      <c r="B162" s="31" t="n">
        <v>33</v>
      </c>
      <c r="C162" s="31" t="n">
        <v>4.24</v>
      </c>
      <c r="D162" s="33" t="n">
        <v>0.6875</v>
      </c>
      <c r="E162" s="33" t="n">
        <v>0.114583333333333</v>
      </c>
      <c r="F162" s="32" t="s">
        <v>284</v>
      </c>
      <c r="G162" s="32" t="n">
        <v>0</v>
      </c>
    </row>
    <row r="163" customFormat="false" ht="15" hidden="false" customHeight="true" outlineLevel="0" collapsed="false">
      <c r="A163" s="30" t="n">
        <v>11</v>
      </c>
      <c r="B163" s="31" t="n">
        <v>18</v>
      </c>
      <c r="C163" s="31" t="n">
        <v>5</v>
      </c>
      <c r="D163" s="33" t="n">
        <v>0.545454545454545</v>
      </c>
      <c r="E163" s="33" t="n">
        <v>0.0625</v>
      </c>
      <c r="F163" s="32" t="s">
        <v>284</v>
      </c>
      <c r="G163" s="32" t="n">
        <v>0</v>
      </c>
    </row>
    <row r="164" customFormat="false" ht="15" hidden="false" customHeight="true" outlineLevel="0" collapsed="false">
      <c r="A164" s="30" t="n">
        <v>12</v>
      </c>
      <c r="B164" s="31" t="n">
        <v>11</v>
      </c>
      <c r="C164" s="31" t="n">
        <v>5.45</v>
      </c>
      <c r="D164" s="33" t="n">
        <v>0.611111111111111</v>
      </c>
      <c r="E164" s="33" t="n">
        <v>0.0381944444444445</v>
      </c>
      <c r="F164" s="32" t="s">
        <v>284</v>
      </c>
      <c r="G164" s="32" t="n">
        <v>0</v>
      </c>
    </row>
    <row r="165" customFormat="false" ht="15" hidden="false" customHeight="true" outlineLevel="0" collapsed="false">
      <c r="A165" s="30" t="n">
        <v>13</v>
      </c>
      <c r="B165" s="31" t="n">
        <v>8</v>
      </c>
      <c r="C165" s="31" t="n">
        <v>4.5</v>
      </c>
      <c r="D165" s="33" t="n">
        <v>0.727272727272727</v>
      </c>
      <c r="E165" s="33" t="n">
        <v>0.0277777777777778</v>
      </c>
      <c r="F165" s="32" t="s">
        <v>284</v>
      </c>
      <c r="G165" s="32" t="n">
        <v>0</v>
      </c>
    </row>
    <row r="166" customFormat="false" ht="15" hidden="false" customHeight="true" outlineLevel="0" collapsed="false">
      <c r="A166" s="30" t="n">
        <v>14</v>
      </c>
      <c r="B166" s="31" t="n">
        <v>5</v>
      </c>
      <c r="C166" s="31" t="n">
        <v>3</v>
      </c>
      <c r="D166" s="33" t="n">
        <v>0.625</v>
      </c>
      <c r="E166" s="33" t="n">
        <v>0.0173611111111111</v>
      </c>
      <c r="F166" s="32" t="s">
        <v>284</v>
      </c>
      <c r="G166" s="32" t="n">
        <v>0</v>
      </c>
    </row>
    <row r="167" customFormat="false" ht="15" hidden="false" customHeight="true" outlineLevel="0" collapsed="false">
      <c r="A167" s="30" t="n">
        <v>15</v>
      </c>
      <c r="B167" s="31" t="n">
        <v>6</v>
      </c>
      <c r="C167" s="31" t="n">
        <v>4.5</v>
      </c>
      <c r="D167" s="33" t="n">
        <v>1.2</v>
      </c>
      <c r="E167" s="33" t="n">
        <v>0.0208333333333333</v>
      </c>
      <c r="F167" s="32" t="s">
        <v>284</v>
      </c>
      <c r="G167" s="32" t="n">
        <v>0</v>
      </c>
    </row>
    <row r="168" customFormat="false" ht="15" hidden="false" customHeight="true" outlineLevel="0" collapsed="false">
      <c r="A168" s="30" t="n">
        <v>16</v>
      </c>
      <c r="B168" s="31" t="n">
        <v>4</v>
      </c>
      <c r="C168" s="31" t="n">
        <v>4.5</v>
      </c>
      <c r="D168" s="33" t="n">
        <v>0.666666666666667</v>
      </c>
      <c r="E168" s="33" t="n">
        <v>0.0138888888888889</v>
      </c>
      <c r="F168" s="32" t="s">
        <v>284</v>
      </c>
      <c r="G168" s="32" t="n">
        <v>0</v>
      </c>
    </row>
    <row r="169" customFormat="false" ht="15" hidden="false" customHeight="true" outlineLevel="0" collapsed="false">
      <c r="A169" s="30" t="n">
        <v>17</v>
      </c>
      <c r="B169" s="31" t="n">
        <v>1</v>
      </c>
      <c r="C169" s="31" t="n">
        <v>6</v>
      </c>
      <c r="D169" s="33" t="n">
        <v>0.25</v>
      </c>
      <c r="E169" s="33" t="n">
        <v>0.00347222222222222</v>
      </c>
      <c r="F169" s="32" t="s">
        <v>284</v>
      </c>
      <c r="G169" s="32" t="n">
        <v>0</v>
      </c>
    </row>
    <row r="170" customFormat="false" ht="15" hidden="false" customHeight="true" outlineLevel="0" collapsed="false">
      <c r="A170" s="34" t="s">
        <v>285</v>
      </c>
      <c r="B170" s="35" t="n">
        <v>0.57029702970297</v>
      </c>
    </row>
    <row r="171" customFormat="false" ht="15" hidden="false" customHeight="true" outlineLevel="0" collapsed="false">
      <c r="A171" s="34" t="s">
        <v>286</v>
      </c>
      <c r="B171" s="36" t="n">
        <v>21.531</v>
      </c>
    </row>
    <row r="172" customFormat="false" ht="15" hidden="false" customHeight="true" outlineLevel="0" collapsed="false">
      <c r="A172" s="34" t="s">
        <v>287</v>
      </c>
      <c r="B172" s="36" t="n">
        <v>31.089</v>
      </c>
    </row>
    <row r="173" customFormat="false" ht="15" hidden="false" customHeight="true" outlineLevel="0" collapsed="false">
      <c r="A173" s="34" t="s">
        <v>288</v>
      </c>
      <c r="B173" s="36" t="n">
        <v>30</v>
      </c>
    </row>
    <row r="174" customFormat="false" ht="15" hidden="false" customHeight="true" outlineLevel="0" collapsed="false">
      <c r="A174" s="34" t="s">
        <v>289</v>
      </c>
      <c r="B174" s="35" t="n">
        <v>0.692573695222994</v>
      </c>
    </row>
    <row r="175" customFormat="false" ht="15" hidden="false" customHeight="true" outlineLevel="0" collapsed="false">
      <c r="A175" s="34" t="s">
        <v>260</v>
      </c>
      <c r="B175" s="35" t="n">
        <v>0.394972721236084</v>
      </c>
    </row>
    <row r="176" customFormat="false" ht="15" hidden="false" customHeight="true" outlineLevel="0" collapsed="false">
      <c r="A176" s="34" t="s">
        <v>290</v>
      </c>
      <c r="B176" s="36" t="n">
        <v>9</v>
      </c>
    </row>
    <row r="178" customFormat="false" ht="15" hidden="false" customHeight="true" outlineLevel="0" collapsed="false">
      <c r="A178" s="28" t="s">
        <v>298</v>
      </c>
      <c r="B178" s="28"/>
      <c r="C178" s="28"/>
      <c r="D178" s="28"/>
      <c r="E178" s="28"/>
      <c r="F178" s="28"/>
      <c r="G178" s="28"/>
    </row>
    <row r="179" customFormat="false" ht="15" hidden="false" customHeight="true" outlineLevel="0" collapsed="false">
      <c r="A179" s="12" t="s">
        <v>275</v>
      </c>
      <c r="B179" s="12" t="s">
        <v>276</v>
      </c>
      <c r="C179" s="12" t="s">
        <v>277</v>
      </c>
      <c r="D179" s="12" t="s">
        <v>278</v>
      </c>
      <c r="E179" s="12" t="s">
        <v>279</v>
      </c>
      <c r="F179" s="12" t="s">
        <v>280</v>
      </c>
      <c r="G179" s="12" t="s">
        <v>281</v>
      </c>
    </row>
    <row r="180" customFormat="false" ht="15" hidden="false" customHeight="true" outlineLevel="0" collapsed="false">
      <c r="A180" s="30" t="n">
        <v>1</v>
      </c>
      <c r="B180" s="31" t="n">
        <v>256</v>
      </c>
      <c r="C180" s="31" t="n">
        <v>6.01</v>
      </c>
      <c r="D180" s="32" t="s">
        <v>282</v>
      </c>
      <c r="E180" s="33" t="n">
        <v>1.23076923076923</v>
      </c>
      <c r="F180" s="32" t="s">
        <v>282</v>
      </c>
      <c r="G180" s="32" t="n">
        <v>0</v>
      </c>
    </row>
    <row r="181" customFormat="false" ht="15" hidden="false" customHeight="true" outlineLevel="0" collapsed="false">
      <c r="A181" s="30" t="n">
        <v>2</v>
      </c>
      <c r="B181" s="31" t="n">
        <v>218</v>
      </c>
      <c r="C181" s="31" t="n">
        <v>5.74</v>
      </c>
      <c r="D181" s="33" t="n">
        <v>0.8515625</v>
      </c>
      <c r="E181" s="33" t="n">
        <v>1.04807692307692</v>
      </c>
      <c r="F181" s="32" t="s">
        <v>282</v>
      </c>
      <c r="G181" s="32" t="n">
        <v>0</v>
      </c>
    </row>
    <row r="182" customFormat="false" ht="15" hidden="false" customHeight="true" outlineLevel="0" collapsed="false">
      <c r="A182" s="30" t="n">
        <v>3</v>
      </c>
      <c r="B182" s="31" t="n">
        <v>208</v>
      </c>
      <c r="C182" s="31" t="n">
        <v>6.92</v>
      </c>
      <c r="D182" s="33" t="n">
        <v>0.954128440366973</v>
      </c>
      <c r="E182" s="33" t="n">
        <v>1</v>
      </c>
      <c r="F182" s="32" t="s">
        <v>283</v>
      </c>
      <c r="G182" s="32" t="n">
        <v>6.923</v>
      </c>
    </row>
    <row r="183" customFormat="false" ht="15" hidden="false" customHeight="true" outlineLevel="0" collapsed="false">
      <c r="A183" s="30" t="n">
        <v>4</v>
      </c>
      <c r="B183" s="31" t="n">
        <v>207</v>
      </c>
      <c r="C183" s="31" t="n">
        <v>6.28</v>
      </c>
      <c r="D183" s="33" t="n">
        <v>0.995192307692308</v>
      </c>
      <c r="E183" s="33" t="n">
        <v>0.995192307692308</v>
      </c>
      <c r="F183" s="32" t="s">
        <v>283</v>
      </c>
      <c r="G183" s="32" t="n">
        <v>6.245</v>
      </c>
    </row>
    <row r="184" customFormat="false" ht="15" hidden="false" customHeight="true" outlineLevel="0" collapsed="false">
      <c r="A184" s="30" t="n">
        <v>5</v>
      </c>
      <c r="B184" s="31" t="n">
        <v>204</v>
      </c>
      <c r="C184" s="31" t="n">
        <v>6.46</v>
      </c>
      <c r="D184" s="33" t="n">
        <v>0.985507246376812</v>
      </c>
      <c r="E184" s="33" t="n">
        <v>0.980769230769231</v>
      </c>
      <c r="F184" s="32" t="s">
        <v>283</v>
      </c>
      <c r="G184" s="32" t="n">
        <v>6.332</v>
      </c>
    </row>
    <row r="185" customFormat="false" ht="15" hidden="false" customHeight="true" outlineLevel="0" collapsed="false">
      <c r="A185" s="30" t="n">
        <v>6</v>
      </c>
      <c r="B185" s="31" t="n">
        <v>35</v>
      </c>
      <c r="C185" s="31" t="n">
        <v>5.06</v>
      </c>
      <c r="D185" s="33" t="n">
        <v>0.17156862745098</v>
      </c>
      <c r="E185" s="33" t="n">
        <v>0.168269230769231</v>
      </c>
      <c r="F185" s="32" t="s">
        <v>284</v>
      </c>
      <c r="G185" s="32" t="n">
        <v>0</v>
      </c>
    </row>
    <row r="186" customFormat="false" ht="15" hidden="false" customHeight="true" outlineLevel="0" collapsed="false">
      <c r="A186" s="30" t="n">
        <v>7</v>
      </c>
      <c r="B186" s="31" t="n">
        <v>16</v>
      </c>
      <c r="C186" s="31" t="n">
        <v>3.56</v>
      </c>
      <c r="D186" s="33" t="n">
        <v>0.457142857142857</v>
      </c>
      <c r="E186" s="33" t="n">
        <v>0.0769230769230769</v>
      </c>
      <c r="F186" s="32" t="s">
        <v>284</v>
      </c>
      <c r="G186" s="32" t="n">
        <v>0</v>
      </c>
    </row>
    <row r="187" customFormat="false" ht="15" hidden="false" customHeight="true" outlineLevel="0" collapsed="false">
      <c r="A187" s="30" t="n">
        <v>8</v>
      </c>
      <c r="B187" s="31" t="n">
        <v>16</v>
      </c>
      <c r="C187" s="31" t="n">
        <v>4.69</v>
      </c>
      <c r="D187" s="33" t="n">
        <v>1</v>
      </c>
      <c r="E187" s="33" t="n">
        <v>0.0769230769230769</v>
      </c>
      <c r="F187" s="32" t="s">
        <v>284</v>
      </c>
      <c r="G187" s="32" t="n">
        <v>0</v>
      </c>
    </row>
    <row r="188" customFormat="false" ht="15" hidden="false" customHeight="true" outlineLevel="0" collapsed="false">
      <c r="A188" s="30" t="n">
        <v>9</v>
      </c>
      <c r="B188" s="31" t="n">
        <v>11</v>
      </c>
      <c r="C188" s="31" t="n">
        <v>3.82</v>
      </c>
      <c r="D188" s="33" t="n">
        <v>0.6875</v>
      </c>
      <c r="E188" s="33" t="n">
        <v>0.0528846153846154</v>
      </c>
      <c r="F188" s="32" t="s">
        <v>284</v>
      </c>
      <c r="G188" s="32" t="n">
        <v>0</v>
      </c>
    </row>
    <row r="189" customFormat="false" ht="15" hidden="false" customHeight="true" outlineLevel="0" collapsed="false">
      <c r="A189" s="30" t="n">
        <v>10</v>
      </c>
      <c r="B189" s="31" t="n">
        <v>6</v>
      </c>
      <c r="C189" s="31" t="n">
        <v>3</v>
      </c>
      <c r="D189" s="33" t="n">
        <v>0.545454545454545</v>
      </c>
      <c r="E189" s="33" t="n">
        <v>0.0288461538461539</v>
      </c>
      <c r="F189" s="32" t="s">
        <v>284</v>
      </c>
      <c r="G189" s="32" t="n">
        <v>0</v>
      </c>
    </row>
    <row r="190" customFormat="false" ht="15" hidden="false" customHeight="true" outlineLevel="0" collapsed="false">
      <c r="A190" s="30" t="n">
        <v>11</v>
      </c>
      <c r="B190" s="31" t="n">
        <v>3</v>
      </c>
      <c r="C190" s="31" t="n">
        <v>4</v>
      </c>
      <c r="D190" s="33" t="n">
        <v>0.5</v>
      </c>
      <c r="E190" s="33" t="n">
        <v>0.0144230769230769</v>
      </c>
      <c r="F190" s="32" t="s">
        <v>284</v>
      </c>
      <c r="G190" s="32" t="n">
        <v>0</v>
      </c>
    </row>
    <row r="191" customFormat="false" ht="15" hidden="false" customHeight="true" outlineLevel="0" collapsed="false">
      <c r="A191" s="30" t="n">
        <v>12</v>
      </c>
      <c r="B191" s="31" t="n">
        <v>2</v>
      </c>
      <c r="C191" s="31" t="n">
        <v>3</v>
      </c>
      <c r="D191" s="33" t="n">
        <v>0.666666666666667</v>
      </c>
      <c r="E191" s="33" t="n">
        <v>0.00961538461538462</v>
      </c>
      <c r="F191" s="32" t="s">
        <v>284</v>
      </c>
      <c r="G191" s="32" t="n">
        <v>0</v>
      </c>
    </row>
    <row r="192" customFormat="false" ht="15" hidden="false" customHeight="true" outlineLevel="0" collapsed="false">
      <c r="A192" s="30" t="n">
        <v>13</v>
      </c>
      <c r="B192" s="31" t="n">
        <v>3</v>
      </c>
      <c r="C192" s="31" t="n">
        <v>3</v>
      </c>
      <c r="D192" s="33" t="n">
        <v>1.5</v>
      </c>
      <c r="E192" s="33" t="n">
        <v>0.0144230769230769</v>
      </c>
      <c r="F192" s="32" t="s">
        <v>284</v>
      </c>
      <c r="G192" s="32" t="n">
        <v>0</v>
      </c>
    </row>
    <row r="193" customFormat="false" ht="15" hidden="false" customHeight="true" outlineLevel="0" collapsed="false">
      <c r="A193" s="30" t="n">
        <v>14</v>
      </c>
      <c r="B193" s="31" t="n">
        <v>3</v>
      </c>
      <c r="C193" s="31" t="n">
        <v>4</v>
      </c>
      <c r="D193" s="33" t="n">
        <v>1</v>
      </c>
      <c r="E193" s="33" t="n">
        <v>0.0144230769230769</v>
      </c>
      <c r="F193" s="32" t="s">
        <v>284</v>
      </c>
      <c r="G193" s="32" t="n">
        <v>0</v>
      </c>
    </row>
    <row r="194" customFormat="false" ht="15" hidden="false" customHeight="true" outlineLevel="0" collapsed="false">
      <c r="A194" s="30" t="n">
        <v>15</v>
      </c>
      <c r="B194" s="31" t="n">
        <v>1</v>
      </c>
      <c r="C194" s="31" t="n">
        <v>3</v>
      </c>
      <c r="D194" s="33" t="n">
        <v>0.333333333333333</v>
      </c>
      <c r="E194" s="33" t="n">
        <v>0.00480769230769231</v>
      </c>
      <c r="F194" s="32" t="s">
        <v>284</v>
      </c>
      <c r="G194" s="32" t="n">
        <v>0</v>
      </c>
    </row>
    <row r="195" customFormat="false" ht="15" hidden="false" customHeight="true" outlineLevel="0" collapsed="false">
      <c r="A195" s="30" t="n">
        <v>16</v>
      </c>
      <c r="B195" s="31" t="n">
        <v>1</v>
      </c>
      <c r="C195" s="31" t="n">
        <v>9</v>
      </c>
      <c r="D195" s="33" t="n">
        <v>1</v>
      </c>
      <c r="E195" s="33" t="n">
        <v>0.00480769230769231</v>
      </c>
      <c r="F195" s="32" t="s">
        <v>284</v>
      </c>
      <c r="G195" s="32" t="n">
        <v>0</v>
      </c>
    </row>
    <row r="196" customFormat="false" ht="15" hidden="false" customHeight="true" outlineLevel="0" collapsed="false">
      <c r="A196" s="34" t="s">
        <v>285</v>
      </c>
      <c r="B196" s="35" t="n">
        <v>0.8125</v>
      </c>
    </row>
    <row r="197" customFormat="false" ht="15" hidden="false" customHeight="true" outlineLevel="0" collapsed="false">
      <c r="A197" s="34" t="s">
        <v>286</v>
      </c>
      <c r="B197" s="36" t="n">
        <v>19.5</v>
      </c>
    </row>
    <row r="198" customFormat="false" ht="15" hidden="false" customHeight="true" outlineLevel="0" collapsed="false">
      <c r="A198" s="34" t="s">
        <v>287</v>
      </c>
      <c r="B198" s="36" t="n">
        <v>19.654</v>
      </c>
    </row>
    <row r="199" customFormat="false" ht="15" hidden="false" customHeight="true" outlineLevel="0" collapsed="false">
      <c r="A199" s="34" t="s">
        <v>288</v>
      </c>
      <c r="B199" s="36" t="n">
        <v>33</v>
      </c>
    </row>
    <row r="200" customFormat="false" ht="15" hidden="false" customHeight="true" outlineLevel="0" collapsed="false">
      <c r="A200" s="34" t="s">
        <v>289</v>
      </c>
      <c r="B200" s="35" t="n">
        <v>0.992148210554413</v>
      </c>
    </row>
    <row r="201" customFormat="false" ht="15" hidden="false" customHeight="true" outlineLevel="0" collapsed="false">
      <c r="A201" s="34" t="s">
        <v>260</v>
      </c>
      <c r="B201" s="35" t="n">
        <v>0.806120421075461</v>
      </c>
    </row>
    <row r="202" customFormat="false" ht="15" hidden="false" customHeight="true" outlineLevel="0" collapsed="false">
      <c r="A202" s="34" t="s">
        <v>290</v>
      </c>
      <c r="B202" s="36" t="n">
        <v>6</v>
      </c>
    </row>
    <row r="204" customFormat="false" ht="15" hidden="false" customHeight="true" outlineLevel="0" collapsed="false">
      <c r="A204" s="28" t="s">
        <v>299</v>
      </c>
      <c r="B204" s="28"/>
      <c r="C204" s="28"/>
      <c r="D204" s="28"/>
      <c r="E204" s="28"/>
      <c r="F204" s="28"/>
      <c r="G204" s="28"/>
    </row>
    <row r="205" customFormat="false" ht="15" hidden="false" customHeight="true" outlineLevel="0" collapsed="false">
      <c r="A205" s="12" t="s">
        <v>275</v>
      </c>
      <c r="B205" s="12" t="s">
        <v>276</v>
      </c>
      <c r="C205" s="12" t="s">
        <v>277</v>
      </c>
      <c r="D205" s="12" t="s">
        <v>278</v>
      </c>
      <c r="E205" s="12" t="s">
        <v>279</v>
      </c>
      <c r="F205" s="12" t="s">
        <v>280</v>
      </c>
      <c r="G205" s="12" t="s">
        <v>281</v>
      </c>
    </row>
    <row r="206" customFormat="false" ht="15" hidden="false" customHeight="true" outlineLevel="0" collapsed="false">
      <c r="A206" s="30" t="n">
        <v>1</v>
      </c>
      <c r="B206" s="31" t="n">
        <v>240</v>
      </c>
      <c r="C206" s="31" t="n">
        <v>8.05</v>
      </c>
      <c r="D206" s="32" t="s">
        <v>282</v>
      </c>
      <c r="E206" s="33" t="n">
        <v>1.26984126984127</v>
      </c>
      <c r="F206" s="32" t="s">
        <v>282</v>
      </c>
      <c r="G206" s="32" t="n">
        <v>0</v>
      </c>
    </row>
    <row r="207" customFormat="false" ht="15" hidden="false" customHeight="true" outlineLevel="0" collapsed="false">
      <c r="A207" s="30" t="n">
        <v>2</v>
      </c>
      <c r="B207" s="31" t="n">
        <v>201</v>
      </c>
      <c r="C207" s="31" t="n">
        <v>7.76</v>
      </c>
      <c r="D207" s="33" t="n">
        <v>0.8375</v>
      </c>
      <c r="E207" s="33" t="n">
        <v>1.06349206349206</v>
      </c>
      <c r="F207" s="32" t="s">
        <v>282</v>
      </c>
      <c r="G207" s="32" t="n">
        <v>0</v>
      </c>
    </row>
    <row r="208" customFormat="false" ht="15" hidden="false" customHeight="true" outlineLevel="0" collapsed="false">
      <c r="A208" s="30" t="n">
        <v>3</v>
      </c>
      <c r="B208" s="31" t="n">
        <v>189</v>
      </c>
      <c r="C208" s="31" t="n">
        <v>7.46</v>
      </c>
      <c r="D208" s="33" t="n">
        <v>0.940298507462687</v>
      </c>
      <c r="E208" s="33" t="n">
        <v>1</v>
      </c>
      <c r="F208" s="32" t="s">
        <v>283</v>
      </c>
      <c r="G208" s="32" t="n">
        <v>7.46</v>
      </c>
    </row>
    <row r="209" customFormat="false" ht="15" hidden="false" customHeight="true" outlineLevel="0" collapsed="false">
      <c r="A209" s="30" t="n">
        <v>4</v>
      </c>
      <c r="B209" s="31" t="n">
        <v>179</v>
      </c>
      <c r="C209" s="31" t="n">
        <v>8.37</v>
      </c>
      <c r="D209" s="33" t="n">
        <v>0.947089947089947</v>
      </c>
      <c r="E209" s="33" t="n">
        <v>0.947089947089947</v>
      </c>
      <c r="F209" s="32" t="s">
        <v>283</v>
      </c>
      <c r="G209" s="32" t="n">
        <v>7.926</v>
      </c>
    </row>
    <row r="210" customFormat="false" ht="15" hidden="false" customHeight="true" outlineLevel="0" collapsed="false">
      <c r="A210" s="30" t="n">
        <v>5</v>
      </c>
      <c r="B210" s="31" t="n">
        <v>175</v>
      </c>
      <c r="C210" s="31" t="n">
        <v>7.73</v>
      </c>
      <c r="D210" s="33" t="n">
        <v>0.977653631284916</v>
      </c>
      <c r="E210" s="33" t="n">
        <v>0.925925925925926</v>
      </c>
      <c r="F210" s="32" t="s">
        <v>283</v>
      </c>
      <c r="G210" s="32" t="n">
        <v>7.159</v>
      </c>
    </row>
    <row r="211" customFormat="false" ht="15" hidden="false" customHeight="true" outlineLevel="0" collapsed="false">
      <c r="A211" s="30" t="n">
        <v>6</v>
      </c>
      <c r="B211" s="31" t="n">
        <v>164</v>
      </c>
      <c r="C211" s="31" t="n">
        <v>7.45</v>
      </c>
      <c r="D211" s="33" t="n">
        <v>0.937142857142857</v>
      </c>
      <c r="E211" s="33" t="n">
        <v>0.867724867724868</v>
      </c>
      <c r="F211" s="32" t="s">
        <v>283</v>
      </c>
      <c r="G211" s="32" t="n">
        <v>6.46</v>
      </c>
    </row>
    <row r="212" customFormat="false" ht="15" hidden="false" customHeight="true" outlineLevel="0" collapsed="false">
      <c r="A212" s="30" t="n">
        <v>7</v>
      </c>
      <c r="B212" s="31" t="n">
        <v>158</v>
      </c>
      <c r="C212" s="31" t="n">
        <v>6.11</v>
      </c>
      <c r="D212" s="33" t="n">
        <v>0.963414634146341</v>
      </c>
      <c r="E212" s="33" t="n">
        <v>0.835978835978836</v>
      </c>
      <c r="F212" s="32" t="s">
        <v>283</v>
      </c>
      <c r="G212" s="32" t="n">
        <v>5.111</v>
      </c>
    </row>
    <row r="213" customFormat="false" ht="15" hidden="false" customHeight="true" outlineLevel="0" collapsed="false">
      <c r="A213" s="30" t="n">
        <v>8</v>
      </c>
      <c r="B213" s="31" t="n">
        <v>161</v>
      </c>
      <c r="C213" s="31" t="n">
        <v>6.02</v>
      </c>
      <c r="D213" s="33" t="n">
        <v>1.01898734177215</v>
      </c>
      <c r="E213" s="33" t="n">
        <v>0.851851851851852</v>
      </c>
      <c r="F213" s="32" t="s">
        <v>283</v>
      </c>
      <c r="G213" s="32" t="n">
        <v>5.127</v>
      </c>
    </row>
    <row r="214" customFormat="false" ht="15" hidden="false" customHeight="true" outlineLevel="0" collapsed="false">
      <c r="A214" s="30" t="n">
        <v>9</v>
      </c>
      <c r="B214" s="31" t="n">
        <v>35</v>
      </c>
      <c r="C214" s="31" t="n">
        <v>5.57</v>
      </c>
      <c r="D214" s="33" t="n">
        <v>0.217391304347826</v>
      </c>
      <c r="E214" s="33" t="n">
        <v>0.185185185185185</v>
      </c>
      <c r="F214" s="32" t="s">
        <v>284</v>
      </c>
      <c r="G214" s="32" t="n">
        <v>0</v>
      </c>
    </row>
    <row r="215" customFormat="false" ht="15" hidden="false" customHeight="true" outlineLevel="0" collapsed="false">
      <c r="A215" s="30" t="n">
        <v>10</v>
      </c>
      <c r="B215" s="31" t="n">
        <v>19</v>
      </c>
      <c r="C215" s="31" t="n">
        <v>5.21</v>
      </c>
      <c r="D215" s="33" t="n">
        <v>0.542857142857143</v>
      </c>
      <c r="E215" s="33" t="n">
        <v>0.100529100529101</v>
      </c>
      <c r="F215" s="32" t="s">
        <v>284</v>
      </c>
      <c r="G215" s="32" t="n">
        <v>0</v>
      </c>
    </row>
    <row r="216" customFormat="false" ht="15" hidden="false" customHeight="true" outlineLevel="0" collapsed="false">
      <c r="A216" s="30" t="n">
        <v>11</v>
      </c>
      <c r="B216" s="31" t="n">
        <v>7</v>
      </c>
      <c r="C216" s="31" t="n">
        <v>6</v>
      </c>
      <c r="D216" s="33" t="n">
        <v>0.368421052631579</v>
      </c>
      <c r="E216" s="33" t="n">
        <v>0.037037037037037</v>
      </c>
      <c r="F216" s="32" t="s">
        <v>284</v>
      </c>
      <c r="G216" s="32" t="n">
        <v>0</v>
      </c>
    </row>
    <row r="217" customFormat="false" ht="15" hidden="false" customHeight="true" outlineLevel="0" collapsed="false">
      <c r="A217" s="30" t="n">
        <v>12</v>
      </c>
      <c r="B217" s="31" t="n">
        <v>1</v>
      </c>
      <c r="C217" s="31" t="n">
        <v>3</v>
      </c>
      <c r="D217" s="33" t="n">
        <v>0.142857142857143</v>
      </c>
      <c r="E217" s="33" t="n">
        <v>0.00529100529100529</v>
      </c>
      <c r="F217" s="32" t="s">
        <v>284</v>
      </c>
      <c r="G217" s="32" t="n">
        <v>0</v>
      </c>
    </row>
    <row r="218" customFormat="false" ht="15" hidden="false" customHeight="true" outlineLevel="0" collapsed="false">
      <c r="A218" s="34" t="s">
        <v>285</v>
      </c>
      <c r="B218" s="35" t="n">
        <v>0.7875</v>
      </c>
    </row>
    <row r="219" customFormat="false" ht="15" hidden="false" customHeight="true" outlineLevel="0" collapsed="false">
      <c r="A219" s="34" t="s">
        <v>286</v>
      </c>
      <c r="B219" s="36" t="n">
        <v>39.243</v>
      </c>
    </row>
    <row r="220" customFormat="false" ht="15" hidden="false" customHeight="true" outlineLevel="0" collapsed="false">
      <c r="A220" s="34" t="s">
        <v>287</v>
      </c>
      <c r="B220" s="36" t="n">
        <v>43.138</v>
      </c>
    </row>
    <row r="221" customFormat="false" ht="15" hidden="false" customHeight="true" outlineLevel="0" collapsed="false">
      <c r="A221" s="34" t="s">
        <v>288</v>
      </c>
      <c r="B221" s="36" t="n">
        <v>60</v>
      </c>
    </row>
    <row r="222" customFormat="false" ht="15" hidden="false" customHeight="true" outlineLevel="0" collapsed="false">
      <c r="A222" s="34" t="s">
        <v>289</v>
      </c>
      <c r="B222" s="35" t="n">
        <v>0.909714365176696</v>
      </c>
    </row>
    <row r="223" customFormat="false" ht="15" hidden="false" customHeight="true" outlineLevel="0" collapsed="false">
      <c r="A223" s="34" t="s">
        <v>260</v>
      </c>
      <c r="B223" s="35" t="n">
        <v>0.716400062576648</v>
      </c>
    </row>
    <row r="224" customFormat="false" ht="15" hidden="false" customHeight="true" outlineLevel="0" collapsed="false">
      <c r="A224" s="34" t="s">
        <v>290</v>
      </c>
      <c r="B224" s="36" t="n">
        <v>9</v>
      </c>
    </row>
    <row r="226" customFormat="false" ht="15" hidden="false" customHeight="true" outlineLevel="0" collapsed="false">
      <c r="A226" s="28" t="s">
        <v>300</v>
      </c>
      <c r="B226" s="28"/>
      <c r="C226" s="28"/>
      <c r="D226" s="28"/>
      <c r="E226" s="28"/>
      <c r="F226" s="28"/>
      <c r="G226" s="28"/>
    </row>
    <row r="227" customFormat="false" ht="15" hidden="false" customHeight="true" outlineLevel="0" collapsed="false">
      <c r="A227" s="12" t="s">
        <v>275</v>
      </c>
      <c r="B227" s="12" t="s">
        <v>276</v>
      </c>
      <c r="C227" s="12" t="s">
        <v>277</v>
      </c>
      <c r="D227" s="12" t="s">
        <v>278</v>
      </c>
      <c r="E227" s="12" t="s">
        <v>279</v>
      </c>
      <c r="F227" s="12" t="s">
        <v>280</v>
      </c>
      <c r="G227" s="12" t="s">
        <v>281</v>
      </c>
    </row>
    <row r="228" customFormat="false" ht="15" hidden="false" customHeight="true" outlineLevel="0" collapsed="false">
      <c r="A228" s="30" t="n">
        <v>1</v>
      </c>
      <c r="B228" s="31" t="n">
        <v>115</v>
      </c>
      <c r="C228" s="31" t="n">
        <v>7.9</v>
      </c>
      <c r="D228" s="32" t="s">
        <v>282</v>
      </c>
      <c r="E228" s="33" t="n">
        <v>1.15</v>
      </c>
      <c r="F228" s="32" t="s">
        <v>282</v>
      </c>
      <c r="G228" s="32" t="n">
        <v>0</v>
      </c>
    </row>
    <row r="229" customFormat="false" ht="15" hidden="false" customHeight="true" outlineLevel="0" collapsed="false">
      <c r="A229" s="30" t="n">
        <v>2</v>
      </c>
      <c r="B229" s="31" t="n">
        <v>102</v>
      </c>
      <c r="C229" s="31" t="n">
        <v>7.27</v>
      </c>
      <c r="D229" s="33" t="n">
        <v>0.88695652173913</v>
      </c>
      <c r="E229" s="33" t="n">
        <v>1.02</v>
      </c>
      <c r="F229" s="32" t="s">
        <v>282</v>
      </c>
      <c r="G229" s="32" t="n">
        <v>0</v>
      </c>
    </row>
    <row r="230" customFormat="false" ht="15" hidden="false" customHeight="true" outlineLevel="0" collapsed="false">
      <c r="A230" s="30" t="n">
        <v>3</v>
      </c>
      <c r="B230" s="31" t="n">
        <v>100</v>
      </c>
      <c r="C230" s="31" t="n">
        <v>7.12</v>
      </c>
      <c r="D230" s="33" t="n">
        <v>0.980392156862745</v>
      </c>
      <c r="E230" s="33" t="n">
        <v>1</v>
      </c>
      <c r="F230" s="32" t="s">
        <v>283</v>
      </c>
      <c r="G230" s="32" t="n">
        <v>7.12</v>
      </c>
    </row>
    <row r="231" customFormat="false" ht="15" hidden="false" customHeight="true" outlineLevel="0" collapsed="false">
      <c r="A231" s="30" t="n">
        <v>4</v>
      </c>
      <c r="B231" s="31" t="n">
        <v>95</v>
      </c>
      <c r="C231" s="31" t="n">
        <v>6.65</v>
      </c>
      <c r="D231" s="33" t="n">
        <v>0.95</v>
      </c>
      <c r="E231" s="33" t="n">
        <v>0.95</v>
      </c>
      <c r="F231" s="32" t="s">
        <v>283</v>
      </c>
      <c r="G231" s="32" t="n">
        <v>6.32</v>
      </c>
    </row>
    <row r="232" customFormat="false" ht="15" hidden="false" customHeight="true" outlineLevel="0" collapsed="false">
      <c r="A232" s="30" t="n">
        <v>5</v>
      </c>
      <c r="B232" s="31" t="n">
        <v>33</v>
      </c>
      <c r="C232" s="31" t="n">
        <v>4.94</v>
      </c>
      <c r="D232" s="33" t="n">
        <v>0.347368421052632</v>
      </c>
      <c r="E232" s="33" t="n">
        <v>0.33</v>
      </c>
      <c r="F232" s="32" t="s">
        <v>283</v>
      </c>
      <c r="G232" s="32" t="n">
        <v>1.63</v>
      </c>
    </row>
    <row r="233" customFormat="false" ht="15" hidden="false" customHeight="true" outlineLevel="0" collapsed="false">
      <c r="A233" s="30" t="n">
        <v>6</v>
      </c>
      <c r="B233" s="31" t="n">
        <v>22</v>
      </c>
      <c r="C233" s="31" t="n">
        <v>4.86</v>
      </c>
      <c r="D233" s="33" t="n">
        <v>0.666666666666667</v>
      </c>
      <c r="E233" s="33" t="n">
        <v>0.22</v>
      </c>
      <c r="F233" s="32" t="s">
        <v>283</v>
      </c>
      <c r="G233" s="32" t="n">
        <v>1.07</v>
      </c>
    </row>
    <row r="234" customFormat="false" ht="15" hidden="false" customHeight="true" outlineLevel="0" collapsed="false">
      <c r="A234" s="30" t="n">
        <v>7</v>
      </c>
      <c r="B234" s="31" t="n">
        <v>17</v>
      </c>
      <c r="C234" s="31" t="n">
        <v>4.65</v>
      </c>
      <c r="D234" s="33" t="n">
        <v>0.772727272727273</v>
      </c>
      <c r="E234" s="33" t="n">
        <v>0.17</v>
      </c>
      <c r="F234" s="32" t="s">
        <v>284</v>
      </c>
      <c r="G234" s="32" t="n">
        <v>0</v>
      </c>
    </row>
    <row r="235" customFormat="false" ht="15" hidden="false" customHeight="true" outlineLevel="0" collapsed="false">
      <c r="A235" s="30" t="n">
        <v>8</v>
      </c>
      <c r="B235" s="31" t="n">
        <v>2</v>
      </c>
      <c r="C235" s="31" t="n">
        <v>5.5</v>
      </c>
      <c r="D235" s="33" t="n">
        <v>0.117647058823529</v>
      </c>
      <c r="E235" s="33" t="n">
        <v>0.02</v>
      </c>
      <c r="F235" s="32" t="s">
        <v>284</v>
      </c>
      <c r="G235" s="32" t="n">
        <v>0</v>
      </c>
    </row>
    <row r="236" customFormat="false" ht="15" hidden="false" customHeight="true" outlineLevel="0" collapsed="false">
      <c r="A236" s="30" t="n">
        <v>9</v>
      </c>
      <c r="B236" s="31" t="n">
        <v>2</v>
      </c>
      <c r="C236" s="31" t="n">
        <v>2.5</v>
      </c>
      <c r="D236" s="33" t="n">
        <v>1</v>
      </c>
      <c r="E236" s="33" t="n">
        <v>0.02</v>
      </c>
      <c r="F236" s="32" t="s">
        <v>284</v>
      </c>
      <c r="G236" s="32" t="n">
        <v>0</v>
      </c>
    </row>
    <row r="237" customFormat="false" ht="15" hidden="false" customHeight="true" outlineLevel="0" collapsed="false">
      <c r="A237" s="30" t="n">
        <v>10</v>
      </c>
      <c r="B237" s="31" t="n">
        <v>1</v>
      </c>
      <c r="C237" s="31" t="n">
        <v>4</v>
      </c>
      <c r="D237" s="33" t="n">
        <v>0.5</v>
      </c>
      <c r="E237" s="33" t="n">
        <v>0.01</v>
      </c>
      <c r="F237" s="32" t="s">
        <v>284</v>
      </c>
      <c r="G237" s="32" t="n">
        <v>0</v>
      </c>
    </row>
    <row r="238" customFormat="false" ht="15" hidden="false" customHeight="true" outlineLevel="0" collapsed="false">
      <c r="A238" s="30" t="n">
        <v>11</v>
      </c>
      <c r="B238" s="31" t="n">
        <v>0</v>
      </c>
      <c r="C238" s="31" t="n">
        <v>0</v>
      </c>
      <c r="D238" s="33" t="n">
        <v>0</v>
      </c>
      <c r="E238" s="33" t="n">
        <v>0</v>
      </c>
      <c r="F238" s="32" t="s">
        <v>284</v>
      </c>
      <c r="G238" s="32" t="n">
        <v>0</v>
      </c>
    </row>
    <row r="239" customFormat="false" ht="15" hidden="false" customHeight="true" outlineLevel="0" collapsed="false">
      <c r="A239" s="30" t="n">
        <v>12</v>
      </c>
      <c r="B239" s="31" t="n">
        <v>1</v>
      </c>
      <c r="C239" s="31" t="n">
        <v>6</v>
      </c>
      <c r="D239" s="32" t="s">
        <v>282</v>
      </c>
      <c r="E239" s="33" t="n">
        <v>0.01</v>
      </c>
      <c r="F239" s="32" t="s">
        <v>284</v>
      </c>
      <c r="G239" s="32" t="n">
        <v>0</v>
      </c>
    </row>
    <row r="240" customFormat="false" ht="15" hidden="false" customHeight="true" outlineLevel="0" collapsed="false">
      <c r="A240" s="30" t="n">
        <v>13</v>
      </c>
      <c r="B240" s="31" t="n">
        <v>2</v>
      </c>
      <c r="C240" s="31" t="n">
        <v>3.5</v>
      </c>
      <c r="D240" s="33" t="n">
        <v>2</v>
      </c>
      <c r="E240" s="33" t="n">
        <v>0.02</v>
      </c>
      <c r="F240" s="32" t="s">
        <v>284</v>
      </c>
      <c r="G240" s="32" t="n">
        <v>0</v>
      </c>
    </row>
    <row r="241" customFormat="false" ht="15" hidden="false" customHeight="true" outlineLevel="0" collapsed="false">
      <c r="A241" s="30" t="n">
        <v>14</v>
      </c>
      <c r="B241" s="31" t="n">
        <v>1</v>
      </c>
      <c r="C241" s="31" t="n">
        <v>6</v>
      </c>
      <c r="D241" s="33" t="n">
        <v>0.5</v>
      </c>
      <c r="E241" s="33" t="n">
        <v>0.01</v>
      </c>
      <c r="F241" s="32" t="s">
        <v>284</v>
      </c>
      <c r="G241" s="32" t="n">
        <v>0</v>
      </c>
    </row>
    <row r="242" customFormat="false" ht="15" hidden="false" customHeight="true" outlineLevel="0" collapsed="false">
      <c r="A242" s="30" t="n">
        <v>15</v>
      </c>
      <c r="B242" s="31" t="n">
        <v>1</v>
      </c>
      <c r="C242" s="31" t="n">
        <v>7</v>
      </c>
      <c r="D242" s="33" t="n">
        <v>1</v>
      </c>
      <c r="E242" s="33" t="n">
        <v>0.01</v>
      </c>
      <c r="F242" s="32" t="s">
        <v>284</v>
      </c>
      <c r="G242" s="32" t="n">
        <v>0</v>
      </c>
    </row>
    <row r="243" customFormat="false" ht="15" hidden="false" customHeight="true" outlineLevel="0" collapsed="false">
      <c r="A243" s="34" t="s">
        <v>285</v>
      </c>
      <c r="B243" s="35" t="n">
        <v>0.869565217391304</v>
      </c>
    </row>
    <row r="244" customFormat="false" ht="15" hidden="false" customHeight="true" outlineLevel="0" collapsed="false">
      <c r="A244" s="34" t="s">
        <v>286</v>
      </c>
      <c r="B244" s="36" t="n">
        <v>16.14</v>
      </c>
    </row>
    <row r="245" customFormat="false" ht="15" hidden="false" customHeight="true" outlineLevel="0" collapsed="false">
      <c r="A245" s="34" t="s">
        <v>287</v>
      </c>
      <c r="B245" s="36" t="n">
        <v>23.576</v>
      </c>
    </row>
    <row r="246" customFormat="false" ht="15" hidden="false" customHeight="true" outlineLevel="0" collapsed="false">
      <c r="A246" s="34" t="s">
        <v>288</v>
      </c>
      <c r="B246" s="36" t="n">
        <v>32</v>
      </c>
    </row>
    <row r="247" customFormat="false" ht="15" hidden="false" customHeight="true" outlineLevel="0" collapsed="false">
      <c r="A247" s="34" t="s">
        <v>289</v>
      </c>
      <c r="B247" s="35" t="n">
        <v>0.684604321219001</v>
      </c>
    </row>
    <row r="248" customFormat="false" ht="15" hidden="false" customHeight="true" outlineLevel="0" collapsed="false">
      <c r="A248" s="34" t="s">
        <v>260</v>
      </c>
      <c r="B248" s="35" t="n">
        <v>0.595308105407827</v>
      </c>
    </row>
    <row r="249" customFormat="false" ht="15" hidden="false" customHeight="true" outlineLevel="0" collapsed="false">
      <c r="A249" s="34" t="s">
        <v>290</v>
      </c>
      <c r="B249" s="36" t="n">
        <v>7</v>
      </c>
    </row>
    <row r="251" customFormat="false" ht="15" hidden="false" customHeight="true" outlineLevel="0" collapsed="false">
      <c r="A251" s="28" t="s">
        <v>301</v>
      </c>
      <c r="B251" s="28"/>
      <c r="C251" s="28"/>
      <c r="D251" s="28"/>
      <c r="E251" s="28"/>
      <c r="F251" s="28"/>
      <c r="G251" s="28"/>
    </row>
    <row r="252" customFormat="false" ht="15" hidden="false" customHeight="true" outlineLevel="0" collapsed="false">
      <c r="A252" s="29" t="s">
        <v>272</v>
      </c>
      <c r="B252" s="29"/>
      <c r="C252" s="29"/>
      <c r="D252" s="29"/>
      <c r="E252" s="29"/>
      <c r="F252" s="29"/>
      <c r="G252" s="29"/>
    </row>
    <row r="254" customFormat="false" ht="15" hidden="false" customHeight="true" outlineLevel="0" collapsed="false">
      <c r="A254" s="28" t="s">
        <v>302</v>
      </c>
      <c r="B254" s="28"/>
      <c r="C254" s="28"/>
      <c r="D254" s="28"/>
      <c r="E254" s="28"/>
      <c r="F254" s="28"/>
      <c r="G254" s="28"/>
    </row>
    <row r="255" customFormat="false" ht="15" hidden="false" customHeight="true" outlineLevel="0" collapsed="false">
      <c r="A255" s="29" t="s">
        <v>272</v>
      </c>
      <c r="B255" s="29"/>
      <c r="C255" s="29"/>
      <c r="D255" s="29"/>
      <c r="E255" s="29"/>
      <c r="F255" s="29"/>
      <c r="G255" s="29"/>
    </row>
    <row r="257" customFormat="false" ht="15" hidden="false" customHeight="true" outlineLevel="0" collapsed="false">
      <c r="A257" s="28" t="s">
        <v>303</v>
      </c>
      <c r="B257" s="28"/>
      <c r="C257" s="28"/>
      <c r="D257" s="28"/>
      <c r="E257" s="28"/>
      <c r="F257" s="28"/>
      <c r="G257" s="28"/>
    </row>
    <row r="258" customFormat="false" ht="15" hidden="false" customHeight="true" outlineLevel="0" collapsed="false">
      <c r="A258" s="12" t="s">
        <v>275</v>
      </c>
      <c r="B258" s="12" t="s">
        <v>276</v>
      </c>
      <c r="C258" s="12" t="s">
        <v>277</v>
      </c>
      <c r="D258" s="12" t="s">
        <v>278</v>
      </c>
      <c r="E258" s="12" t="s">
        <v>279</v>
      </c>
      <c r="F258" s="12" t="s">
        <v>280</v>
      </c>
      <c r="G258" s="12" t="s">
        <v>281</v>
      </c>
    </row>
    <row r="259" customFormat="false" ht="15" hidden="false" customHeight="true" outlineLevel="0" collapsed="false">
      <c r="A259" s="30" t="n">
        <v>1</v>
      </c>
      <c r="B259" s="31" t="n">
        <v>254</v>
      </c>
      <c r="C259" s="31" t="n">
        <v>5.16</v>
      </c>
      <c r="D259" s="32" t="s">
        <v>282</v>
      </c>
      <c r="E259" s="33" t="n">
        <v>1.3804347826087</v>
      </c>
      <c r="F259" s="32" t="s">
        <v>282</v>
      </c>
      <c r="G259" s="32" t="n">
        <v>0</v>
      </c>
    </row>
    <row r="260" customFormat="false" ht="15" hidden="false" customHeight="true" outlineLevel="0" collapsed="false">
      <c r="A260" s="30" t="n">
        <v>2</v>
      </c>
      <c r="B260" s="31" t="n">
        <v>201</v>
      </c>
      <c r="C260" s="31" t="n">
        <v>5.53</v>
      </c>
      <c r="D260" s="33" t="n">
        <v>0.791338582677165</v>
      </c>
      <c r="E260" s="33" t="n">
        <v>1.09239130434783</v>
      </c>
      <c r="F260" s="32" t="s">
        <v>282</v>
      </c>
      <c r="G260" s="32" t="n">
        <v>0</v>
      </c>
    </row>
    <row r="261" customFormat="false" ht="15" hidden="false" customHeight="true" outlineLevel="0" collapsed="false">
      <c r="A261" s="30" t="n">
        <v>3</v>
      </c>
      <c r="B261" s="31" t="n">
        <v>184</v>
      </c>
      <c r="C261" s="31" t="n">
        <v>5.25</v>
      </c>
      <c r="D261" s="33" t="n">
        <v>0.915422885572139</v>
      </c>
      <c r="E261" s="33" t="n">
        <v>1</v>
      </c>
      <c r="F261" s="32" t="s">
        <v>283</v>
      </c>
      <c r="G261" s="32" t="n">
        <v>5.25</v>
      </c>
    </row>
    <row r="262" customFormat="false" ht="15" hidden="false" customHeight="true" outlineLevel="0" collapsed="false">
      <c r="A262" s="30" t="n">
        <v>4</v>
      </c>
      <c r="B262" s="31" t="n">
        <v>181</v>
      </c>
      <c r="C262" s="31" t="n">
        <v>5.95</v>
      </c>
      <c r="D262" s="33" t="n">
        <v>0.983695652173913</v>
      </c>
      <c r="E262" s="33" t="n">
        <v>0.983695652173913</v>
      </c>
      <c r="F262" s="32" t="s">
        <v>283</v>
      </c>
      <c r="G262" s="32" t="n">
        <v>5.853</v>
      </c>
    </row>
    <row r="263" customFormat="false" ht="15" hidden="false" customHeight="true" outlineLevel="0" collapsed="false">
      <c r="A263" s="30" t="n">
        <v>5</v>
      </c>
      <c r="B263" s="31" t="n">
        <v>183</v>
      </c>
      <c r="C263" s="31" t="n">
        <v>6.13</v>
      </c>
      <c r="D263" s="33" t="n">
        <v>1.01104972375691</v>
      </c>
      <c r="E263" s="33" t="n">
        <v>0.994565217391304</v>
      </c>
      <c r="F263" s="32" t="s">
        <v>283</v>
      </c>
      <c r="G263" s="32" t="n">
        <v>6.098</v>
      </c>
    </row>
    <row r="264" customFormat="false" ht="15" hidden="false" customHeight="true" outlineLevel="0" collapsed="false">
      <c r="A264" s="30" t="n">
        <v>6</v>
      </c>
      <c r="B264" s="31" t="n">
        <v>48</v>
      </c>
      <c r="C264" s="31" t="n">
        <v>4.5</v>
      </c>
      <c r="D264" s="33" t="n">
        <v>0.262295081967213</v>
      </c>
      <c r="E264" s="33" t="n">
        <v>0.260869565217391</v>
      </c>
      <c r="F264" s="32" t="s">
        <v>283</v>
      </c>
      <c r="G264" s="32" t="n">
        <v>1.174</v>
      </c>
    </row>
    <row r="265" customFormat="false" ht="15" hidden="false" customHeight="true" outlineLevel="0" collapsed="false">
      <c r="A265" s="30" t="n">
        <v>7</v>
      </c>
      <c r="B265" s="31" t="n">
        <v>41</v>
      </c>
      <c r="C265" s="31" t="n">
        <v>4.02</v>
      </c>
      <c r="D265" s="33" t="n">
        <v>0.854166666666667</v>
      </c>
      <c r="E265" s="33" t="n">
        <v>0.222826086956522</v>
      </c>
      <c r="F265" s="32" t="s">
        <v>283</v>
      </c>
      <c r="G265" s="32" t="n">
        <v>0.897</v>
      </c>
    </row>
    <row r="266" customFormat="false" ht="15" hidden="false" customHeight="true" outlineLevel="0" collapsed="false">
      <c r="A266" s="30" t="n">
        <v>8</v>
      </c>
      <c r="B266" s="31" t="n">
        <v>31</v>
      </c>
      <c r="C266" s="31" t="n">
        <v>3.84</v>
      </c>
      <c r="D266" s="33" t="n">
        <v>0.75609756097561</v>
      </c>
      <c r="E266" s="33" t="n">
        <v>0.168478260869565</v>
      </c>
      <c r="F266" s="32" t="s">
        <v>284</v>
      </c>
      <c r="G266" s="32" t="n">
        <v>0</v>
      </c>
    </row>
    <row r="267" customFormat="false" ht="15" hidden="false" customHeight="true" outlineLevel="0" collapsed="false">
      <c r="A267" s="30" t="n">
        <v>9</v>
      </c>
      <c r="B267" s="31" t="n">
        <v>12</v>
      </c>
      <c r="C267" s="31" t="n">
        <v>4</v>
      </c>
      <c r="D267" s="33" t="n">
        <v>0.387096774193548</v>
      </c>
      <c r="E267" s="33" t="n">
        <v>0.0652173913043478</v>
      </c>
      <c r="F267" s="32" t="s">
        <v>284</v>
      </c>
      <c r="G267" s="32" t="n">
        <v>0</v>
      </c>
    </row>
    <row r="268" customFormat="false" ht="15" hidden="false" customHeight="true" outlineLevel="0" collapsed="false">
      <c r="A268" s="30" t="n">
        <v>10</v>
      </c>
      <c r="B268" s="31" t="n">
        <v>11</v>
      </c>
      <c r="C268" s="31" t="n">
        <v>3.55</v>
      </c>
      <c r="D268" s="33" t="n">
        <v>0.916666666666667</v>
      </c>
      <c r="E268" s="33" t="n">
        <v>0.0597826086956522</v>
      </c>
      <c r="F268" s="32" t="s">
        <v>284</v>
      </c>
      <c r="G268" s="32" t="n">
        <v>0</v>
      </c>
    </row>
    <row r="269" customFormat="false" ht="15" hidden="false" customHeight="true" outlineLevel="0" collapsed="false">
      <c r="A269" s="30" t="n">
        <v>11</v>
      </c>
      <c r="B269" s="31" t="n">
        <v>9</v>
      </c>
      <c r="C269" s="31" t="n">
        <v>4</v>
      </c>
      <c r="D269" s="33" t="n">
        <v>0.818181818181818</v>
      </c>
      <c r="E269" s="33" t="n">
        <v>0.0489130434782609</v>
      </c>
      <c r="F269" s="32" t="s">
        <v>284</v>
      </c>
      <c r="G269" s="32" t="n">
        <v>0</v>
      </c>
    </row>
    <row r="270" customFormat="false" ht="15" hidden="false" customHeight="true" outlineLevel="0" collapsed="false">
      <c r="A270" s="30" t="n">
        <v>12</v>
      </c>
      <c r="B270" s="31" t="n">
        <v>2</v>
      </c>
      <c r="C270" s="31" t="n">
        <v>4.5</v>
      </c>
      <c r="D270" s="33" t="n">
        <v>0.222222222222222</v>
      </c>
      <c r="E270" s="33" t="n">
        <v>0.0108695652173913</v>
      </c>
      <c r="F270" s="32" t="s">
        <v>284</v>
      </c>
      <c r="G270" s="32" t="n">
        <v>0</v>
      </c>
    </row>
    <row r="271" customFormat="false" ht="15" hidden="false" customHeight="true" outlineLevel="0" collapsed="false">
      <c r="A271" s="30" t="n">
        <v>13</v>
      </c>
      <c r="B271" s="31" t="n">
        <v>1</v>
      </c>
      <c r="C271" s="31" t="n">
        <v>3</v>
      </c>
      <c r="D271" s="33" t="n">
        <v>0.5</v>
      </c>
      <c r="E271" s="33" t="n">
        <v>0.00543478260869565</v>
      </c>
      <c r="F271" s="32" t="s">
        <v>284</v>
      </c>
      <c r="G271" s="32" t="n">
        <v>0</v>
      </c>
    </row>
    <row r="272" customFormat="false" ht="15" hidden="false" customHeight="true" outlineLevel="0" collapsed="false">
      <c r="A272" s="30" t="n">
        <v>14</v>
      </c>
      <c r="B272" s="31" t="n">
        <v>1</v>
      </c>
      <c r="C272" s="31" t="n">
        <v>3</v>
      </c>
      <c r="D272" s="33" t="n">
        <v>1</v>
      </c>
      <c r="E272" s="33" t="n">
        <v>0.00543478260869565</v>
      </c>
      <c r="F272" s="32" t="s">
        <v>284</v>
      </c>
      <c r="G272" s="32" t="n">
        <v>0</v>
      </c>
    </row>
    <row r="273" customFormat="false" ht="15" hidden="false" customHeight="true" outlineLevel="0" collapsed="false">
      <c r="A273" s="30" t="n">
        <v>15</v>
      </c>
      <c r="B273" s="31" t="n">
        <v>0</v>
      </c>
      <c r="C273" s="31" t="n">
        <v>0</v>
      </c>
      <c r="D273" s="33" t="n">
        <v>0</v>
      </c>
      <c r="E273" s="33" t="n">
        <v>0</v>
      </c>
      <c r="F273" s="32" t="s">
        <v>284</v>
      </c>
      <c r="G273" s="32" t="n">
        <v>0</v>
      </c>
    </row>
    <row r="274" customFormat="false" ht="15" hidden="false" customHeight="true" outlineLevel="0" collapsed="false">
      <c r="A274" s="30" t="n">
        <v>16</v>
      </c>
      <c r="B274" s="31" t="n">
        <v>1</v>
      </c>
      <c r="C274" s="31" t="n">
        <v>6</v>
      </c>
      <c r="D274" s="32" t="s">
        <v>282</v>
      </c>
      <c r="E274" s="33" t="n">
        <v>0.00543478260869565</v>
      </c>
      <c r="F274" s="32" t="s">
        <v>284</v>
      </c>
      <c r="G274" s="32" t="n">
        <v>0</v>
      </c>
    </row>
    <row r="275" customFormat="false" ht="15" hidden="false" customHeight="true" outlineLevel="0" collapsed="false">
      <c r="A275" s="34" t="s">
        <v>285</v>
      </c>
      <c r="B275" s="35" t="n">
        <v>0.724409448818898</v>
      </c>
    </row>
    <row r="276" customFormat="false" ht="15" hidden="false" customHeight="true" outlineLevel="0" collapsed="false">
      <c r="A276" s="34" t="s">
        <v>286</v>
      </c>
      <c r="B276" s="36" t="n">
        <v>19.272</v>
      </c>
    </row>
    <row r="277" customFormat="false" ht="15" hidden="false" customHeight="true" outlineLevel="0" collapsed="false">
      <c r="A277" s="34" t="s">
        <v>287</v>
      </c>
      <c r="B277" s="36" t="n">
        <v>25.856</v>
      </c>
    </row>
    <row r="278" customFormat="false" ht="15" hidden="false" customHeight="true" outlineLevel="0" collapsed="false">
      <c r="A278" s="34" t="s">
        <v>288</v>
      </c>
      <c r="B278" s="36" t="n">
        <v>30</v>
      </c>
    </row>
    <row r="279" customFormat="false" ht="15" hidden="false" customHeight="true" outlineLevel="0" collapsed="false">
      <c r="A279" s="34" t="s">
        <v>289</v>
      </c>
      <c r="B279" s="35" t="n">
        <v>0.745354182605885</v>
      </c>
    </row>
    <row r="280" customFormat="false" ht="15" hidden="false" customHeight="true" outlineLevel="0" collapsed="false">
      <c r="A280" s="34" t="s">
        <v>260</v>
      </c>
      <c r="B280" s="35" t="n">
        <v>0.539941612596389</v>
      </c>
    </row>
    <row r="281" customFormat="false" ht="15" hidden="false" customHeight="true" outlineLevel="0" collapsed="false">
      <c r="A281" s="34" t="s">
        <v>290</v>
      </c>
      <c r="B281" s="36" t="n">
        <v>8</v>
      </c>
    </row>
    <row r="283" customFormat="false" ht="15" hidden="false" customHeight="true" outlineLevel="0" collapsed="false">
      <c r="A283" s="28" t="s">
        <v>304</v>
      </c>
      <c r="B283" s="28"/>
      <c r="C283" s="28"/>
      <c r="D283" s="28"/>
      <c r="E283" s="28"/>
      <c r="F283" s="28"/>
      <c r="G283" s="28"/>
    </row>
    <row r="284" customFormat="false" ht="15" hidden="false" customHeight="true" outlineLevel="0" collapsed="false">
      <c r="A284" s="12" t="s">
        <v>275</v>
      </c>
      <c r="B284" s="12" t="s">
        <v>276</v>
      </c>
      <c r="C284" s="12" t="s">
        <v>277</v>
      </c>
      <c r="D284" s="12" t="s">
        <v>278</v>
      </c>
      <c r="E284" s="12" t="s">
        <v>279</v>
      </c>
      <c r="F284" s="12" t="s">
        <v>280</v>
      </c>
      <c r="G284" s="12" t="s">
        <v>281</v>
      </c>
    </row>
    <row r="285" customFormat="false" ht="15" hidden="false" customHeight="true" outlineLevel="0" collapsed="false">
      <c r="A285" s="30" t="n">
        <v>1</v>
      </c>
      <c r="B285" s="31" t="n">
        <v>82</v>
      </c>
      <c r="C285" s="31" t="n">
        <v>6.43</v>
      </c>
      <c r="D285" s="32" t="s">
        <v>282</v>
      </c>
      <c r="E285" s="33" t="n">
        <v>1.41379310344828</v>
      </c>
      <c r="F285" s="32" t="s">
        <v>282</v>
      </c>
      <c r="G285" s="32" t="n">
        <v>0</v>
      </c>
    </row>
    <row r="286" customFormat="false" ht="15" hidden="false" customHeight="true" outlineLevel="0" collapsed="false">
      <c r="A286" s="30" t="n">
        <v>2</v>
      </c>
      <c r="B286" s="31" t="n">
        <v>63</v>
      </c>
      <c r="C286" s="31" t="n">
        <v>7.62</v>
      </c>
      <c r="D286" s="33" t="n">
        <v>0.768292682926829</v>
      </c>
      <c r="E286" s="33" t="n">
        <v>1.08620689655172</v>
      </c>
      <c r="F286" s="32" t="s">
        <v>282</v>
      </c>
      <c r="G286" s="32" t="n">
        <v>0</v>
      </c>
    </row>
    <row r="287" customFormat="false" ht="15" hidden="false" customHeight="true" outlineLevel="0" collapsed="false">
      <c r="A287" s="30" t="n">
        <v>3</v>
      </c>
      <c r="B287" s="31" t="n">
        <v>58</v>
      </c>
      <c r="C287" s="31" t="n">
        <v>7.62</v>
      </c>
      <c r="D287" s="33" t="n">
        <v>0.920634920634921</v>
      </c>
      <c r="E287" s="33" t="n">
        <v>1</v>
      </c>
      <c r="F287" s="32" t="s">
        <v>283</v>
      </c>
      <c r="G287" s="32" t="n">
        <v>7.621</v>
      </c>
    </row>
    <row r="288" customFormat="false" ht="15" hidden="false" customHeight="true" outlineLevel="0" collapsed="false">
      <c r="A288" s="30" t="n">
        <v>4</v>
      </c>
      <c r="B288" s="31" t="n">
        <v>56</v>
      </c>
      <c r="C288" s="31" t="n">
        <v>7.79</v>
      </c>
      <c r="D288" s="33" t="n">
        <v>0.96551724137931</v>
      </c>
      <c r="E288" s="33" t="n">
        <v>0.96551724137931</v>
      </c>
      <c r="F288" s="32" t="s">
        <v>283</v>
      </c>
      <c r="G288" s="32" t="n">
        <v>7.517</v>
      </c>
    </row>
    <row r="289" customFormat="false" ht="15" hidden="false" customHeight="true" outlineLevel="0" collapsed="false">
      <c r="A289" s="30" t="n">
        <v>5</v>
      </c>
      <c r="B289" s="31" t="n">
        <v>4</v>
      </c>
      <c r="C289" s="31" t="n">
        <v>5.25</v>
      </c>
      <c r="D289" s="33" t="n">
        <v>0.0714285714285714</v>
      </c>
      <c r="E289" s="33" t="n">
        <v>0.0689655172413793</v>
      </c>
      <c r="F289" s="32" t="s">
        <v>284</v>
      </c>
      <c r="G289" s="32" t="n">
        <v>0</v>
      </c>
    </row>
    <row r="290" customFormat="false" ht="15" hidden="false" customHeight="true" outlineLevel="0" collapsed="false">
      <c r="A290" s="30" t="n">
        <v>6</v>
      </c>
      <c r="B290" s="31" t="n">
        <v>6</v>
      </c>
      <c r="C290" s="31" t="n">
        <v>5.33</v>
      </c>
      <c r="D290" s="33" t="n">
        <v>1.5</v>
      </c>
      <c r="E290" s="33" t="n">
        <v>0.103448275862069</v>
      </c>
      <c r="F290" s="32" t="s">
        <v>284</v>
      </c>
      <c r="G290" s="32" t="n">
        <v>0</v>
      </c>
    </row>
    <row r="291" customFormat="false" ht="15" hidden="false" customHeight="true" outlineLevel="0" collapsed="false">
      <c r="A291" s="30" t="n">
        <v>7</v>
      </c>
      <c r="B291" s="31" t="n">
        <v>6</v>
      </c>
      <c r="C291" s="31" t="n">
        <v>5.17</v>
      </c>
      <c r="D291" s="33" t="n">
        <v>1</v>
      </c>
      <c r="E291" s="33" t="n">
        <v>0.103448275862069</v>
      </c>
      <c r="F291" s="32" t="s">
        <v>284</v>
      </c>
      <c r="G291" s="32" t="n">
        <v>0</v>
      </c>
    </row>
    <row r="292" customFormat="false" ht="15" hidden="false" customHeight="true" outlineLevel="0" collapsed="false">
      <c r="A292" s="30" t="n">
        <v>8</v>
      </c>
      <c r="B292" s="31" t="n">
        <v>3</v>
      </c>
      <c r="C292" s="31" t="n">
        <v>6</v>
      </c>
      <c r="D292" s="33" t="n">
        <v>0.5</v>
      </c>
      <c r="E292" s="33" t="n">
        <v>0.0517241379310345</v>
      </c>
      <c r="F292" s="32" t="s">
        <v>284</v>
      </c>
      <c r="G292" s="32" t="n">
        <v>0</v>
      </c>
    </row>
    <row r="293" customFormat="false" ht="15" hidden="false" customHeight="true" outlineLevel="0" collapsed="false">
      <c r="A293" s="30" t="n">
        <v>9</v>
      </c>
      <c r="B293" s="31" t="n">
        <v>3</v>
      </c>
      <c r="C293" s="31" t="n">
        <v>5</v>
      </c>
      <c r="D293" s="33" t="n">
        <v>1</v>
      </c>
      <c r="E293" s="33" t="n">
        <v>0.0517241379310345</v>
      </c>
      <c r="F293" s="32" t="s">
        <v>284</v>
      </c>
      <c r="G293" s="32" t="n">
        <v>0</v>
      </c>
    </row>
    <row r="294" customFormat="false" ht="15" hidden="false" customHeight="true" outlineLevel="0" collapsed="false">
      <c r="A294" s="30" t="n">
        <v>10</v>
      </c>
      <c r="B294" s="31" t="n">
        <v>1</v>
      </c>
      <c r="C294" s="31" t="n">
        <v>5</v>
      </c>
      <c r="D294" s="33" t="n">
        <v>0.333333333333333</v>
      </c>
      <c r="E294" s="33" t="n">
        <v>0.0172413793103448</v>
      </c>
      <c r="F294" s="32" t="s">
        <v>284</v>
      </c>
      <c r="G294" s="32" t="n">
        <v>0</v>
      </c>
    </row>
    <row r="295" customFormat="false" ht="15" hidden="false" customHeight="true" outlineLevel="0" collapsed="false">
      <c r="A295" s="30" t="n">
        <v>11</v>
      </c>
      <c r="B295" s="31" t="n">
        <v>2</v>
      </c>
      <c r="C295" s="31" t="n">
        <v>4.5</v>
      </c>
      <c r="D295" s="33" t="n">
        <v>2</v>
      </c>
      <c r="E295" s="33" t="n">
        <v>0.0344827586206897</v>
      </c>
      <c r="F295" s="32" t="s">
        <v>284</v>
      </c>
      <c r="G295" s="32" t="n">
        <v>0</v>
      </c>
    </row>
    <row r="296" customFormat="false" ht="15" hidden="false" customHeight="true" outlineLevel="0" collapsed="false">
      <c r="A296" s="30" t="n">
        <v>12</v>
      </c>
      <c r="B296" s="31" t="n">
        <v>1</v>
      </c>
      <c r="C296" s="31" t="n">
        <v>3</v>
      </c>
      <c r="D296" s="33" t="n">
        <v>0.5</v>
      </c>
      <c r="E296" s="33" t="n">
        <v>0.0172413793103448</v>
      </c>
      <c r="F296" s="32" t="s">
        <v>284</v>
      </c>
      <c r="G296" s="32" t="n">
        <v>0</v>
      </c>
    </row>
    <row r="297" customFormat="false" ht="15" hidden="false" customHeight="true" outlineLevel="0" collapsed="false">
      <c r="A297" s="30" t="n">
        <v>13</v>
      </c>
      <c r="B297" s="31" t="n">
        <v>1</v>
      </c>
      <c r="C297" s="31" t="n">
        <v>3</v>
      </c>
      <c r="D297" s="33" t="n">
        <v>1</v>
      </c>
      <c r="E297" s="33" t="n">
        <v>0.0172413793103448</v>
      </c>
      <c r="F297" s="32" t="s">
        <v>284</v>
      </c>
      <c r="G297" s="32" t="n">
        <v>0</v>
      </c>
    </row>
    <row r="298" customFormat="false" ht="15" hidden="false" customHeight="true" outlineLevel="0" collapsed="false">
      <c r="A298" s="34" t="s">
        <v>285</v>
      </c>
      <c r="B298" s="35" t="n">
        <v>0.707317073170732</v>
      </c>
    </row>
    <row r="299" customFormat="false" ht="15" hidden="false" customHeight="true" outlineLevel="0" collapsed="false">
      <c r="A299" s="34" t="s">
        <v>286</v>
      </c>
      <c r="B299" s="36" t="n">
        <v>15.138</v>
      </c>
    </row>
    <row r="300" customFormat="false" ht="15" hidden="false" customHeight="true" outlineLevel="0" collapsed="false">
      <c r="A300" s="34" t="s">
        <v>287</v>
      </c>
      <c r="B300" s="36" t="n">
        <v>15.406</v>
      </c>
    </row>
    <row r="301" customFormat="false" ht="15" hidden="false" customHeight="true" outlineLevel="0" collapsed="false">
      <c r="A301" s="34" t="s">
        <v>288</v>
      </c>
      <c r="B301" s="36" t="n">
        <v>32</v>
      </c>
    </row>
    <row r="302" customFormat="false" ht="15" hidden="false" customHeight="true" outlineLevel="0" collapsed="false">
      <c r="A302" s="34" t="s">
        <v>289</v>
      </c>
      <c r="B302" s="35" t="n">
        <v>0.982573940847322</v>
      </c>
    </row>
    <row r="303" customFormat="false" ht="15" hidden="false" customHeight="true" outlineLevel="0" collapsed="false">
      <c r="A303" s="34" t="s">
        <v>260</v>
      </c>
      <c r="B303" s="35" t="n">
        <v>0.69499132401396</v>
      </c>
    </row>
    <row r="304" customFormat="false" ht="15" hidden="false" customHeight="true" outlineLevel="0" collapsed="false">
      <c r="A304" s="34" t="s">
        <v>290</v>
      </c>
      <c r="B304" s="36" t="n">
        <v>5</v>
      </c>
    </row>
    <row r="306" customFormat="false" ht="15" hidden="false" customHeight="true" outlineLevel="0" collapsed="false">
      <c r="A306" s="28" t="s">
        <v>305</v>
      </c>
      <c r="B306" s="28"/>
      <c r="C306" s="28"/>
      <c r="D306" s="28"/>
      <c r="E306" s="28"/>
      <c r="F306" s="28"/>
      <c r="G306" s="28"/>
    </row>
    <row r="307" customFormat="false" ht="15" hidden="false" customHeight="true" outlineLevel="0" collapsed="false">
      <c r="A307" s="29" t="s">
        <v>272</v>
      </c>
      <c r="B307" s="29"/>
      <c r="C307" s="29"/>
      <c r="D307" s="29"/>
      <c r="E307" s="29"/>
      <c r="F307" s="29"/>
      <c r="G307" s="29"/>
    </row>
    <row r="309" customFormat="false" ht="15" hidden="false" customHeight="true" outlineLevel="0" collapsed="false">
      <c r="A309" s="28" t="s">
        <v>306</v>
      </c>
      <c r="B309" s="28"/>
      <c r="C309" s="28"/>
      <c r="D309" s="28"/>
      <c r="E309" s="28"/>
      <c r="F309" s="28"/>
      <c r="G309" s="28"/>
    </row>
    <row r="310" customFormat="false" ht="15" hidden="false" customHeight="true" outlineLevel="0" collapsed="false">
      <c r="A310" s="12" t="s">
        <v>275</v>
      </c>
      <c r="B310" s="12" t="s">
        <v>276</v>
      </c>
      <c r="C310" s="12" t="s">
        <v>277</v>
      </c>
      <c r="D310" s="12" t="s">
        <v>278</v>
      </c>
      <c r="E310" s="12" t="s">
        <v>279</v>
      </c>
      <c r="F310" s="12" t="s">
        <v>280</v>
      </c>
      <c r="G310" s="12" t="s">
        <v>281</v>
      </c>
    </row>
    <row r="311" customFormat="false" ht="15" hidden="false" customHeight="true" outlineLevel="0" collapsed="false">
      <c r="A311" s="30" t="n">
        <v>1</v>
      </c>
      <c r="B311" s="31" t="n">
        <v>428</v>
      </c>
      <c r="C311" s="31" t="n">
        <v>7.28</v>
      </c>
      <c r="D311" s="32" t="s">
        <v>282</v>
      </c>
      <c r="E311" s="33" t="n">
        <v>1.36305732484076</v>
      </c>
      <c r="F311" s="32" t="s">
        <v>282</v>
      </c>
      <c r="G311" s="32" t="n">
        <v>0</v>
      </c>
    </row>
    <row r="312" customFormat="false" ht="15" hidden="false" customHeight="true" outlineLevel="0" collapsed="false">
      <c r="A312" s="30" t="n">
        <v>2</v>
      </c>
      <c r="B312" s="31" t="n">
        <v>351</v>
      </c>
      <c r="C312" s="31" t="n">
        <v>8.33</v>
      </c>
      <c r="D312" s="33" t="n">
        <v>0.820093457943925</v>
      </c>
      <c r="E312" s="33" t="n">
        <v>1.11783439490446</v>
      </c>
      <c r="F312" s="32" t="s">
        <v>282</v>
      </c>
      <c r="G312" s="32" t="n">
        <v>0</v>
      </c>
    </row>
    <row r="313" customFormat="false" ht="15" hidden="false" customHeight="true" outlineLevel="0" collapsed="false">
      <c r="A313" s="30" t="n">
        <v>3</v>
      </c>
      <c r="B313" s="31" t="n">
        <v>314</v>
      </c>
      <c r="C313" s="31" t="n">
        <v>7.78</v>
      </c>
      <c r="D313" s="33" t="n">
        <v>0.894586894586895</v>
      </c>
      <c r="E313" s="33" t="n">
        <v>1</v>
      </c>
      <c r="F313" s="32" t="s">
        <v>283</v>
      </c>
      <c r="G313" s="32" t="n">
        <v>7.78</v>
      </c>
    </row>
    <row r="314" customFormat="false" ht="15" hidden="false" customHeight="true" outlineLevel="0" collapsed="false">
      <c r="A314" s="30" t="n">
        <v>4</v>
      </c>
      <c r="B314" s="31" t="n">
        <v>319</v>
      </c>
      <c r="C314" s="31" t="n">
        <v>6.91</v>
      </c>
      <c r="D314" s="33" t="n">
        <v>1.01592356687898</v>
      </c>
      <c r="E314" s="33" t="n">
        <v>1.01592356687898</v>
      </c>
      <c r="F314" s="32" t="s">
        <v>283</v>
      </c>
      <c r="G314" s="32" t="n">
        <v>7.019</v>
      </c>
    </row>
    <row r="315" customFormat="false" ht="15" hidden="false" customHeight="true" outlineLevel="0" collapsed="false">
      <c r="A315" s="30" t="n">
        <v>5</v>
      </c>
      <c r="B315" s="31" t="n">
        <v>74</v>
      </c>
      <c r="C315" s="31" t="n">
        <v>5.72</v>
      </c>
      <c r="D315" s="33" t="n">
        <v>0.231974921630094</v>
      </c>
      <c r="E315" s="33" t="n">
        <v>0.235668789808917</v>
      </c>
      <c r="F315" s="32" t="s">
        <v>283</v>
      </c>
      <c r="G315" s="32" t="n">
        <v>1.347</v>
      </c>
    </row>
    <row r="316" customFormat="false" ht="15" hidden="false" customHeight="true" outlineLevel="0" collapsed="false">
      <c r="A316" s="30" t="n">
        <v>6</v>
      </c>
      <c r="B316" s="31" t="n">
        <v>32</v>
      </c>
      <c r="C316" s="31" t="n">
        <v>4.69</v>
      </c>
      <c r="D316" s="33" t="n">
        <v>0.432432432432433</v>
      </c>
      <c r="E316" s="33" t="n">
        <v>0.101910828025478</v>
      </c>
      <c r="F316" s="32" t="s">
        <v>284</v>
      </c>
      <c r="G316" s="32" t="n">
        <v>0</v>
      </c>
    </row>
    <row r="317" customFormat="false" ht="15" hidden="false" customHeight="true" outlineLevel="0" collapsed="false">
      <c r="A317" s="30" t="n">
        <v>7</v>
      </c>
      <c r="B317" s="31" t="n">
        <v>21</v>
      </c>
      <c r="C317" s="31" t="n">
        <v>4.86</v>
      </c>
      <c r="D317" s="33" t="n">
        <v>0.65625</v>
      </c>
      <c r="E317" s="33" t="n">
        <v>0.0668789808917197</v>
      </c>
      <c r="F317" s="32" t="s">
        <v>284</v>
      </c>
      <c r="G317" s="32" t="n">
        <v>0</v>
      </c>
    </row>
    <row r="318" customFormat="false" ht="15" hidden="false" customHeight="true" outlineLevel="0" collapsed="false">
      <c r="A318" s="30" t="n">
        <v>8</v>
      </c>
      <c r="B318" s="31" t="n">
        <v>16</v>
      </c>
      <c r="C318" s="31" t="n">
        <v>4.81</v>
      </c>
      <c r="D318" s="33" t="n">
        <v>0.761904761904762</v>
      </c>
      <c r="E318" s="33" t="n">
        <v>0.0509554140127389</v>
      </c>
      <c r="F318" s="32" t="s">
        <v>284</v>
      </c>
      <c r="G318" s="32" t="n">
        <v>0</v>
      </c>
    </row>
    <row r="319" customFormat="false" ht="15" hidden="false" customHeight="true" outlineLevel="0" collapsed="false">
      <c r="A319" s="30" t="n">
        <v>9</v>
      </c>
      <c r="B319" s="31" t="n">
        <v>7</v>
      </c>
      <c r="C319" s="31" t="n">
        <v>3.29</v>
      </c>
      <c r="D319" s="33" t="n">
        <v>0.4375</v>
      </c>
      <c r="E319" s="33" t="n">
        <v>0.0222929936305733</v>
      </c>
      <c r="F319" s="32" t="s">
        <v>284</v>
      </c>
      <c r="G319" s="32" t="n">
        <v>0</v>
      </c>
    </row>
    <row r="320" customFormat="false" ht="15" hidden="false" customHeight="true" outlineLevel="0" collapsed="false">
      <c r="A320" s="30" t="n">
        <v>10</v>
      </c>
      <c r="B320" s="31" t="n">
        <v>6</v>
      </c>
      <c r="C320" s="31" t="n">
        <v>5</v>
      </c>
      <c r="D320" s="33" t="n">
        <v>0.857142857142857</v>
      </c>
      <c r="E320" s="33" t="n">
        <v>0.0191082802547771</v>
      </c>
      <c r="F320" s="32" t="s">
        <v>284</v>
      </c>
      <c r="G320" s="32" t="n">
        <v>0</v>
      </c>
    </row>
    <row r="321" customFormat="false" ht="15" hidden="false" customHeight="true" outlineLevel="0" collapsed="false">
      <c r="A321" s="30" t="n">
        <v>11</v>
      </c>
      <c r="B321" s="31" t="n">
        <v>2</v>
      </c>
      <c r="C321" s="31" t="n">
        <v>4</v>
      </c>
      <c r="D321" s="33" t="n">
        <v>0.333333333333333</v>
      </c>
      <c r="E321" s="33" t="n">
        <v>0.00636942675159236</v>
      </c>
      <c r="F321" s="32" t="s">
        <v>284</v>
      </c>
      <c r="G321" s="32" t="n">
        <v>0</v>
      </c>
    </row>
    <row r="322" customFormat="false" ht="15" hidden="false" customHeight="true" outlineLevel="0" collapsed="false">
      <c r="A322" s="30" t="n">
        <v>12</v>
      </c>
      <c r="B322" s="31" t="n">
        <v>1</v>
      </c>
      <c r="C322" s="31" t="n">
        <v>4</v>
      </c>
      <c r="D322" s="33" t="n">
        <v>0.5</v>
      </c>
      <c r="E322" s="33" t="n">
        <v>0.00318471337579618</v>
      </c>
      <c r="F322" s="32" t="s">
        <v>284</v>
      </c>
      <c r="G322" s="32" t="n">
        <v>0</v>
      </c>
    </row>
    <row r="323" customFormat="false" ht="15" hidden="false" customHeight="true" outlineLevel="0" collapsed="false">
      <c r="A323" s="30" t="n">
        <v>13</v>
      </c>
      <c r="B323" s="31" t="n">
        <v>1</v>
      </c>
      <c r="C323" s="31" t="n">
        <v>3</v>
      </c>
      <c r="D323" s="33" t="n">
        <v>1</v>
      </c>
      <c r="E323" s="33" t="n">
        <v>0.00318471337579618</v>
      </c>
      <c r="F323" s="32" t="s">
        <v>284</v>
      </c>
      <c r="G323" s="32" t="n">
        <v>0</v>
      </c>
    </row>
    <row r="324" customFormat="false" ht="15" hidden="false" customHeight="true" outlineLevel="0" collapsed="false">
      <c r="A324" s="34" t="s">
        <v>285</v>
      </c>
      <c r="B324" s="35" t="n">
        <v>0.733644859813084</v>
      </c>
    </row>
    <row r="325" customFormat="false" ht="15" hidden="false" customHeight="true" outlineLevel="0" collapsed="false">
      <c r="A325" s="34" t="s">
        <v>286</v>
      </c>
      <c r="B325" s="36" t="n">
        <v>16.146</v>
      </c>
    </row>
    <row r="326" customFormat="false" ht="15" hidden="false" customHeight="true" outlineLevel="0" collapsed="false">
      <c r="A326" s="34" t="s">
        <v>287</v>
      </c>
      <c r="B326" s="36" t="n">
        <v>20.406</v>
      </c>
    </row>
    <row r="327" customFormat="false" ht="15" hidden="false" customHeight="true" outlineLevel="0" collapsed="false">
      <c r="A327" s="34" t="s">
        <v>288</v>
      </c>
      <c r="B327" s="36" t="n">
        <v>32</v>
      </c>
    </row>
    <row r="328" customFormat="false" ht="15" hidden="false" customHeight="true" outlineLevel="0" collapsed="false">
      <c r="A328" s="34" t="s">
        <v>289</v>
      </c>
      <c r="B328" s="35" t="n">
        <v>0.791279205764268</v>
      </c>
    </row>
    <row r="329" customFormat="false" ht="15" hidden="false" customHeight="true" outlineLevel="0" collapsed="false">
      <c r="A329" s="34" t="s">
        <v>260</v>
      </c>
      <c r="B329" s="35" t="n">
        <v>0.580517921985935</v>
      </c>
    </row>
    <row r="330" customFormat="false" ht="15" hidden="false" customHeight="true" outlineLevel="0" collapsed="false">
      <c r="A330" s="34" t="s">
        <v>290</v>
      </c>
      <c r="B330" s="36" t="n">
        <v>6</v>
      </c>
    </row>
    <row r="332" customFormat="false" ht="15" hidden="false" customHeight="true" outlineLevel="0" collapsed="false">
      <c r="A332" s="28" t="s">
        <v>307</v>
      </c>
      <c r="B332" s="28"/>
      <c r="C332" s="28"/>
      <c r="D332" s="28"/>
      <c r="E332" s="28"/>
      <c r="F332" s="28"/>
      <c r="G332" s="28"/>
    </row>
    <row r="333" customFormat="false" ht="15" hidden="false" customHeight="true" outlineLevel="0" collapsed="false">
      <c r="A333" s="12" t="s">
        <v>275</v>
      </c>
      <c r="B333" s="12" t="s">
        <v>276</v>
      </c>
      <c r="C333" s="12" t="s">
        <v>277</v>
      </c>
      <c r="D333" s="12" t="s">
        <v>278</v>
      </c>
      <c r="E333" s="12" t="s">
        <v>279</v>
      </c>
      <c r="F333" s="12" t="s">
        <v>280</v>
      </c>
      <c r="G333" s="12" t="s">
        <v>281</v>
      </c>
    </row>
    <row r="334" customFormat="false" ht="15" hidden="false" customHeight="true" outlineLevel="0" collapsed="false">
      <c r="A334" s="30" t="n">
        <v>1</v>
      </c>
      <c r="B334" s="31" t="n">
        <v>566</v>
      </c>
      <c r="C334" s="31" t="n">
        <v>7.21</v>
      </c>
      <c r="D334" s="32" t="s">
        <v>282</v>
      </c>
      <c r="E334" s="33" t="n">
        <v>1.47395833333333</v>
      </c>
      <c r="F334" s="32" t="s">
        <v>282</v>
      </c>
      <c r="G334" s="32" t="n">
        <v>0</v>
      </c>
    </row>
    <row r="335" customFormat="false" ht="15" hidden="false" customHeight="true" outlineLevel="0" collapsed="false">
      <c r="A335" s="30" t="n">
        <v>2</v>
      </c>
      <c r="B335" s="31" t="n">
        <v>448</v>
      </c>
      <c r="C335" s="31" t="n">
        <v>7.1</v>
      </c>
      <c r="D335" s="33" t="n">
        <v>0.791519434628975</v>
      </c>
      <c r="E335" s="33" t="n">
        <v>1.16666666666667</v>
      </c>
      <c r="F335" s="32" t="s">
        <v>282</v>
      </c>
      <c r="G335" s="32" t="n">
        <v>0</v>
      </c>
    </row>
    <row r="336" customFormat="false" ht="15" hidden="false" customHeight="true" outlineLevel="0" collapsed="false">
      <c r="A336" s="30" t="n">
        <v>3</v>
      </c>
      <c r="B336" s="31" t="n">
        <v>384</v>
      </c>
      <c r="C336" s="31" t="n">
        <v>8.2</v>
      </c>
      <c r="D336" s="33" t="n">
        <v>0.857142857142857</v>
      </c>
      <c r="E336" s="33" t="n">
        <v>1</v>
      </c>
      <c r="F336" s="32" t="s">
        <v>283</v>
      </c>
      <c r="G336" s="32" t="n">
        <v>8.203</v>
      </c>
    </row>
    <row r="337" customFormat="false" ht="15" hidden="false" customHeight="true" outlineLevel="0" collapsed="false">
      <c r="A337" s="30" t="n">
        <v>4</v>
      </c>
      <c r="B337" s="31" t="n">
        <v>387</v>
      </c>
      <c r="C337" s="31" t="n">
        <v>8.72</v>
      </c>
      <c r="D337" s="33" t="n">
        <v>1.0078125</v>
      </c>
      <c r="E337" s="33" t="n">
        <v>1.0078125</v>
      </c>
      <c r="F337" s="32" t="s">
        <v>283</v>
      </c>
      <c r="G337" s="32" t="n">
        <v>8.786</v>
      </c>
    </row>
    <row r="338" customFormat="false" ht="15" hidden="false" customHeight="true" outlineLevel="0" collapsed="false">
      <c r="A338" s="30" t="n">
        <v>5</v>
      </c>
      <c r="B338" s="31" t="n">
        <v>89</v>
      </c>
      <c r="C338" s="31" t="n">
        <v>6.81</v>
      </c>
      <c r="D338" s="33" t="n">
        <v>0.229974160206718</v>
      </c>
      <c r="E338" s="33" t="n">
        <v>0.231770833333333</v>
      </c>
      <c r="F338" s="32" t="s">
        <v>283</v>
      </c>
      <c r="G338" s="32" t="n">
        <v>1.578</v>
      </c>
    </row>
    <row r="339" customFormat="false" ht="15" hidden="false" customHeight="true" outlineLevel="0" collapsed="false">
      <c r="A339" s="30" t="n">
        <v>6</v>
      </c>
      <c r="B339" s="31" t="n">
        <v>44</v>
      </c>
      <c r="C339" s="31" t="n">
        <v>5.93</v>
      </c>
      <c r="D339" s="33" t="n">
        <v>0.49438202247191</v>
      </c>
      <c r="E339" s="33" t="n">
        <v>0.114583333333333</v>
      </c>
      <c r="F339" s="32" t="s">
        <v>284</v>
      </c>
      <c r="G339" s="32" t="n">
        <v>0</v>
      </c>
    </row>
    <row r="340" customFormat="false" ht="15" hidden="false" customHeight="true" outlineLevel="0" collapsed="false">
      <c r="A340" s="30" t="n">
        <v>7</v>
      </c>
      <c r="B340" s="31" t="n">
        <v>35</v>
      </c>
      <c r="C340" s="31" t="n">
        <v>5.83</v>
      </c>
      <c r="D340" s="33" t="n">
        <v>0.795454545454545</v>
      </c>
      <c r="E340" s="33" t="n">
        <v>0.0911458333333333</v>
      </c>
      <c r="F340" s="32" t="s">
        <v>284</v>
      </c>
      <c r="G340" s="32" t="n">
        <v>0</v>
      </c>
    </row>
    <row r="341" customFormat="false" ht="15" hidden="false" customHeight="true" outlineLevel="0" collapsed="false">
      <c r="A341" s="30" t="n">
        <v>8</v>
      </c>
      <c r="B341" s="31" t="n">
        <v>16</v>
      </c>
      <c r="C341" s="31" t="n">
        <v>5.25</v>
      </c>
      <c r="D341" s="33" t="n">
        <v>0.457142857142857</v>
      </c>
      <c r="E341" s="33" t="n">
        <v>0.0416666666666667</v>
      </c>
      <c r="F341" s="32" t="s">
        <v>284</v>
      </c>
      <c r="G341" s="32" t="n">
        <v>0</v>
      </c>
    </row>
    <row r="342" customFormat="false" ht="15" hidden="false" customHeight="true" outlineLevel="0" collapsed="false">
      <c r="A342" s="30" t="n">
        <v>9</v>
      </c>
      <c r="B342" s="31" t="n">
        <v>7</v>
      </c>
      <c r="C342" s="31" t="n">
        <v>6.43</v>
      </c>
      <c r="D342" s="33" t="n">
        <v>0.4375</v>
      </c>
      <c r="E342" s="33" t="n">
        <v>0.0182291666666667</v>
      </c>
      <c r="F342" s="32" t="s">
        <v>284</v>
      </c>
      <c r="G342" s="32" t="n">
        <v>0</v>
      </c>
    </row>
    <row r="343" customFormat="false" ht="15" hidden="false" customHeight="true" outlineLevel="0" collapsed="false">
      <c r="A343" s="30" t="n">
        <v>10</v>
      </c>
      <c r="B343" s="31" t="n">
        <v>7</v>
      </c>
      <c r="C343" s="31" t="n">
        <v>6.86</v>
      </c>
      <c r="D343" s="33" t="n">
        <v>1</v>
      </c>
      <c r="E343" s="33" t="n">
        <v>0.0182291666666667</v>
      </c>
      <c r="F343" s="32" t="s">
        <v>284</v>
      </c>
      <c r="G343" s="32" t="n">
        <v>0</v>
      </c>
    </row>
    <row r="344" customFormat="false" ht="15" hidden="false" customHeight="true" outlineLevel="0" collapsed="false">
      <c r="A344" s="30" t="n">
        <v>11</v>
      </c>
      <c r="B344" s="31" t="n">
        <v>6</v>
      </c>
      <c r="C344" s="31" t="n">
        <v>5.17</v>
      </c>
      <c r="D344" s="33" t="n">
        <v>0.857142857142857</v>
      </c>
      <c r="E344" s="33" t="n">
        <v>0.015625</v>
      </c>
      <c r="F344" s="32" t="s">
        <v>284</v>
      </c>
      <c r="G344" s="32" t="n">
        <v>0</v>
      </c>
    </row>
    <row r="345" customFormat="false" ht="15" hidden="false" customHeight="true" outlineLevel="0" collapsed="false">
      <c r="A345" s="30" t="n">
        <v>12</v>
      </c>
      <c r="B345" s="31" t="n">
        <v>3</v>
      </c>
      <c r="C345" s="31" t="n">
        <v>6</v>
      </c>
      <c r="D345" s="33" t="n">
        <v>0.5</v>
      </c>
      <c r="E345" s="33" t="n">
        <v>0.0078125</v>
      </c>
      <c r="F345" s="32" t="s">
        <v>284</v>
      </c>
      <c r="G345" s="32" t="n">
        <v>0</v>
      </c>
    </row>
    <row r="346" customFormat="false" ht="15" hidden="false" customHeight="true" outlineLevel="0" collapsed="false">
      <c r="A346" s="30" t="n">
        <v>13</v>
      </c>
      <c r="B346" s="31" t="n">
        <v>2</v>
      </c>
      <c r="C346" s="31" t="n">
        <v>6</v>
      </c>
      <c r="D346" s="33" t="n">
        <v>0.666666666666667</v>
      </c>
      <c r="E346" s="33" t="n">
        <v>0.00520833333333333</v>
      </c>
      <c r="F346" s="32" t="s">
        <v>284</v>
      </c>
      <c r="G346" s="32" t="n">
        <v>0</v>
      </c>
    </row>
    <row r="347" customFormat="false" ht="15" hidden="false" customHeight="true" outlineLevel="0" collapsed="false">
      <c r="A347" s="30" t="n">
        <v>14</v>
      </c>
      <c r="B347" s="31" t="n">
        <v>2</v>
      </c>
      <c r="C347" s="31" t="n">
        <v>7</v>
      </c>
      <c r="D347" s="33" t="n">
        <v>1</v>
      </c>
      <c r="E347" s="33" t="n">
        <v>0.00520833333333333</v>
      </c>
      <c r="F347" s="32" t="s">
        <v>284</v>
      </c>
      <c r="G347" s="32" t="n">
        <v>0</v>
      </c>
    </row>
    <row r="348" customFormat="false" ht="15" hidden="false" customHeight="true" outlineLevel="0" collapsed="false">
      <c r="A348" s="30" t="n">
        <v>15</v>
      </c>
      <c r="B348" s="31" t="n">
        <v>1</v>
      </c>
      <c r="C348" s="31" t="n">
        <v>9</v>
      </c>
      <c r="D348" s="33" t="n">
        <v>0.5</v>
      </c>
      <c r="E348" s="33" t="n">
        <v>0.00260416666666667</v>
      </c>
      <c r="F348" s="32" t="s">
        <v>284</v>
      </c>
      <c r="G348" s="32" t="n">
        <v>0</v>
      </c>
    </row>
    <row r="349" customFormat="false" ht="15" hidden="false" customHeight="true" outlineLevel="0" collapsed="false">
      <c r="A349" s="30" t="n">
        <v>16</v>
      </c>
      <c r="B349" s="31" t="n">
        <v>1</v>
      </c>
      <c r="C349" s="31" t="n">
        <v>9</v>
      </c>
      <c r="D349" s="33" t="n">
        <v>1</v>
      </c>
      <c r="E349" s="33" t="n">
        <v>0.00260416666666667</v>
      </c>
      <c r="F349" s="32" t="s">
        <v>284</v>
      </c>
      <c r="G349" s="32" t="n">
        <v>0</v>
      </c>
    </row>
    <row r="350" customFormat="false" ht="15" hidden="false" customHeight="true" outlineLevel="0" collapsed="false">
      <c r="A350" s="30" t="n">
        <v>17</v>
      </c>
      <c r="B350" s="31" t="n">
        <v>2</v>
      </c>
      <c r="C350" s="31" t="n">
        <v>5</v>
      </c>
      <c r="D350" s="33" t="n">
        <v>2</v>
      </c>
      <c r="E350" s="33" t="n">
        <v>0.00520833333333333</v>
      </c>
      <c r="F350" s="32" t="s">
        <v>284</v>
      </c>
      <c r="G350" s="32" t="n">
        <v>0</v>
      </c>
    </row>
    <row r="351" customFormat="false" ht="15" hidden="false" customHeight="true" outlineLevel="0" collapsed="false">
      <c r="A351" s="30" t="n">
        <v>18</v>
      </c>
      <c r="B351" s="31" t="n">
        <v>1</v>
      </c>
      <c r="C351" s="31" t="n">
        <v>6</v>
      </c>
      <c r="D351" s="33" t="n">
        <v>0.5</v>
      </c>
      <c r="E351" s="33" t="n">
        <v>0.00260416666666667</v>
      </c>
      <c r="F351" s="32" t="s">
        <v>284</v>
      </c>
      <c r="G351" s="32" t="n">
        <v>0</v>
      </c>
    </row>
    <row r="352" customFormat="false" ht="15" hidden="false" customHeight="true" outlineLevel="0" collapsed="false">
      <c r="A352" s="34" t="s">
        <v>285</v>
      </c>
      <c r="B352" s="35" t="n">
        <v>0.678445229681979</v>
      </c>
    </row>
    <row r="353" customFormat="false" ht="15" hidden="false" customHeight="true" outlineLevel="0" collapsed="false">
      <c r="A353" s="34" t="s">
        <v>286</v>
      </c>
      <c r="B353" s="36" t="n">
        <v>18.568</v>
      </c>
    </row>
    <row r="354" customFormat="false" ht="15" hidden="false" customHeight="true" outlineLevel="0" collapsed="false">
      <c r="A354" s="34" t="s">
        <v>287</v>
      </c>
      <c r="B354" s="36" t="n">
        <v>23.73</v>
      </c>
    </row>
    <row r="355" customFormat="false" ht="15" hidden="false" customHeight="true" outlineLevel="0" collapsed="false">
      <c r="A355" s="34" t="s">
        <v>288</v>
      </c>
      <c r="B355" s="36" t="n">
        <v>33</v>
      </c>
    </row>
    <row r="356" customFormat="false" ht="15" hidden="false" customHeight="true" outlineLevel="0" collapsed="false">
      <c r="A356" s="34" t="s">
        <v>289</v>
      </c>
      <c r="B356" s="35" t="n">
        <v>0.782441988895989</v>
      </c>
    </row>
    <row r="357" customFormat="false" ht="15" hidden="false" customHeight="true" outlineLevel="0" collapsed="false">
      <c r="A357" s="34" t="s">
        <v>260</v>
      </c>
      <c r="B357" s="35" t="n">
        <v>0.530844034869364</v>
      </c>
    </row>
    <row r="358" customFormat="false" ht="15" hidden="false" customHeight="true" outlineLevel="0" collapsed="false">
      <c r="A358" s="34" t="s">
        <v>290</v>
      </c>
      <c r="B358" s="36" t="n">
        <v>6</v>
      </c>
    </row>
    <row r="360" customFormat="false" ht="15" hidden="false" customHeight="true" outlineLevel="0" collapsed="false">
      <c r="A360" s="28" t="s">
        <v>308</v>
      </c>
      <c r="B360" s="28"/>
      <c r="C360" s="28"/>
      <c r="D360" s="28"/>
      <c r="E360" s="28"/>
      <c r="F360" s="28"/>
      <c r="G360" s="28"/>
    </row>
    <row r="361" customFormat="false" ht="15" hidden="false" customHeight="true" outlineLevel="0" collapsed="false">
      <c r="A361" s="12" t="s">
        <v>275</v>
      </c>
      <c r="B361" s="12" t="s">
        <v>276</v>
      </c>
      <c r="C361" s="12" t="s">
        <v>277</v>
      </c>
      <c r="D361" s="12" t="s">
        <v>278</v>
      </c>
      <c r="E361" s="12" t="s">
        <v>279</v>
      </c>
      <c r="F361" s="12" t="s">
        <v>280</v>
      </c>
      <c r="G361" s="12" t="s">
        <v>281</v>
      </c>
    </row>
    <row r="362" customFormat="false" ht="15" hidden="false" customHeight="true" outlineLevel="0" collapsed="false">
      <c r="A362" s="30" t="n">
        <v>1</v>
      </c>
      <c r="B362" s="31" t="n">
        <v>68</v>
      </c>
      <c r="C362" s="31" t="n">
        <v>7</v>
      </c>
      <c r="D362" s="32" t="s">
        <v>282</v>
      </c>
      <c r="E362" s="33" t="n">
        <v>1.41666666666667</v>
      </c>
      <c r="F362" s="32" t="s">
        <v>282</v>
      </c>
      <c r="G362" s="32" t="n">
        <v>0</v>
      </c>
    </row>
    <row r="363" customFormat="false" ht="15" hidden="false" customHeight="true" outlineLevel="0" collapsed="false">
      <c r="A363" s="30" t="n">
        <v>2</v>
      </c>
      <c r="B363" s="31" t="n">
        <v>52</v>
      </c>
      <c r="C363" s="31" t="n">
        <v>7.44</v>
      </c>
      <c r="D363" s="33" t="n">
        <v>0.764705882352941</v>
      </c>
      <c r="E363" s="33" t="n">
        <v>1.08333333333333</v>
      </c>
      <c r="F363" s="32" t="s">
        <v>282</v>
      </c>
      <c r="G363" s="32" t="n">
        <v>0</v>
      </c>
    </row>
    <row r="364" customFormat="false" ht="15" hidden="false" customHeight="true" outlineLevel="0" collapsed="false">
      <c r="A364" s="30" t="n">
        <v>3</v>
      </c>
      <c r="B364" s="31" t="n">
        <v>48</v>
      </c>
      <c r="C364" s="31" t="n">
        <v>7.98</v>
      </c>
      <c r="D364" s="33" t="n">
        <v>0.923076923076923</v>
      </c>
      <c r="E364" s="33" t="n">
        <v>1</v>
      </c>
      <c r="F364" s="32" t="s">
        <v>283</v>
      </c>
      <c r="G364" s="32" t="n">
        <v>7.979</v>
      </c>
    </row>
    <row r="365" customFormat="false" ht="15" hidden="false" customHeight="true" outlineLevel="0" collapsed="false">
      <c r="A365" s="30" t="n">
        <v>4</v>
      </c>
      <c r="B365" s="31" t="n">
        <v>48</v>
      </c>
      <c r="C365" s="31" t="n">
        <v>6.92</v>
      </c>
      <c r="D365" s="33" t="n">
        <v>1</v>
      </c>
      <c r="E365" s="33" t="n">
        <v>1</v>
      </c>
      <c r="F365" s="32" t="s">
        <v>283</v>
      </c>
      <c r="G365" s="32" t="n">
        <v>6.917</v>
      </c>
    </row>
    <row r="366" customFormat="false" ht="15" hidden="false" customHeight="true" outlineLevel="0" collapsed="false">
      <c r="A366" s="30" t="n">
        <v>5</v>
      </c>
      <c r="B366" s="31" t="n">
        <v>11</v>
      </c>
      <c r="C366" s="31" t="n">
        <v>3.82</v>
      </c>
      <c r="D366" s="33" t="n">
        <v>0.229166666666667</v>
      </c>
      <c r="E366" s="33" t="n">
        <v>0.229166666666667</v>
      </c>
      <c r="F366" s="32" t="s">
        <v>283</v>
      </c>
      <c r="G366" s="32" t="n">
        <v>0.875</v>
      </c>
    </row>
    <row r="367" customFormat="false" ht="15" hidden="false" customHeight="true" outlineLevel="0" collapsed="false">
      <c r="A367" s="30" t="n">
        <v>6</v>
      </c>
      <c r="B367" s="31" t="n">
        <v>5</v>
      </c>
      <c r="C367" s="31" t="n">
        <v>4</v>
      </c>
      <c r="D367" s="33" t="n">
        <v>0.454545454545455</v>
      </c>
      <c r="E367" s="33" t="n">
        <v>0.104166666666667</v>
      </c>
      <c r="F367" s="32" t="s">
        <v>284</v>
      </c>
      <c r="G367" s="32" t="n">
        <v>0</v>
      </c>
    </row>
    <row r="368" customFormat="false" ht="15" hidden="false" customHeight="true" outlineLevel="0" collapsed="false">
      <c r="A368" s="30" t="n">
        <v>7</v>
      </c>
      <c r="B368" s="31" t="n">
        <v>5</v>
      </c>
      <c r="C368" s="31" t="n">
        <v>4</v>
      </c>
      <c r="D368" s="33" t="n">
        <v>1</v>
      </c>
      <c r="E368" s="33" t="n">
        <v>0.104166666666667</v>
      </c>
      <c r="F368" s="32" t="s">
        <v>284</v>
      </c>
      <c r="G368" s="32" t="n">
        <v>0</v>
      </c>
    </row>
    <row r="369" customFormat="false" ht="15" hidden="false" customHeight="true" outlineLevel="0" collapsed="false">
      <c r="A369" s="30" t="n">
        <v>8</v>
      </c>
      <c r="B369" s="31" t="n">
        <v>2</v>
      </c>
      <c r="C369" s="31" t="n">
        <v>5</v>
      </c>
      <c r="D369" s="33" t="n">
        <v>0.4</v>
      </c>
      <c r="E369" s="33" t="n">
        <v>0.0416666666666667</v>
      </c>
      <c r="F369" s="32" t="s">
        <v>284</v>
      </c>
      <c r="G369" s="32" t="n">
        <v>0</v>
      </c>
    </row>
    <row r="370" customFormat="false" ht="15" hidden="false" customHeight="true" outlineLevel="0" collapsed="false">
      <c r="A370" s="30" t="n">
        <v>9</v>
      </c>
      <c r="B370" s="31" t="n">
        <v>1</v>
      </c>
      <c r="C370" s="31" t="n">
        <v>6</v>
      </c>
      <c r="D370" s="33" t="n">
        <v>0.5</v>
      </c>
      <c r="E370" s="33" t="n">
        <v>0.0208333333333333</v>
      </c>
      <c r="F370" s="32" t="s">
        <v>284</v>
      </c>
      <c r="G370" s="32" t="n">
        <v>0</v>
      </c>
    </row>
    <row r="371" customFormat="false" ht="15" hidden="false" customHeight="true" outlineLevel="0" collapsed="false">
      <c r="A371" s="30" t="n">
        <v>10</v>
      </c>
      <c r="B371" s="31" t="n">
        <v>1</v>
      </c>
      <c r="C371" s="31" t="n">
        <v>9</v>
      </c>
      <c r="D371" s="33" t="n">
        <v>1</v>
      </c>
      <c r="E371" s="33" t="n">
        <v>0.0208333333333333</v>
      </c>
      <c r="F371" s="32" t="s">
        <v>284</v>
      </c>
      <c r="G371" s="32" t="n">
        <v>0</v>
      </c>
    </row>
    <row r="372" customFormat="false" ht="15" hidden="false" customHeight="true" outlineLevel="0" collapsed="false">
      <c r="A372" s="34" t="s">
        <v>285</v>
      </c>
      <c r="B372" s="35" t="n">
        <v>0.705882352941177</v>
      </c>
    </row>
    <row r="373" customFormat="false" ht="15" hidden="false" customHeight="true" outlineLevel="0" collapsed="false">
      <c r="A373" s="34" t="s">
        <v>286</v>
      </c>
      <c r="B373" s="36" t="n">
        <v>15.771</v>
      </c>
    </row>
    <row r="374" customFormat="false" ht="15" hidden="false" customHeight="true" outlineLevel="0" collapsed="false">
      <c r="A374" s="34" t="s">
        <v>287</v>
      </c>
      <c r="B374" s="36" t="n">
        <v>18.714</v>
      </c>
    </row>
    <row r="375" customFormat="false" ht="15" hidden="false" customHeight="true" outlineLevel="0" collapsed="false">
      <c r="A375" s="34" t="s">
        <v>288</v>
      </c>
      <c r="B375" s="36" t="n">
        <v>32</v>
      </c>
    </row>
    <row r="376" customFormat="false" ht="15" hidden="false" customHeight="true" outlineLevel="0" collapsed="false">
      <c r="A376" s="34" t="s">
        <v>289</v>
      </c>
      <c r="B376" s="35" t="n">
        <v>0.842728468778464</v>
      </c>
    </row>
    <row r="377" customFormat="false" ht="15" hidden="false" customHeight="true" outlineLevel="0" collapsed="false">
      <c r="A377" s="34" t="s">
        <v>260</v>
      </c>
      <c r="B377" s="35" t="n">
        <v>0.594867154431857</v>
      </c>
    </row>
    <row r="378" customFormat="false" ht="15" hidden="false" customHeight="true" outlineLevel="0" collapsed="false">
      <c r="A378" s="34" t="s">
        <v>290</v>
      </c>
      <c r="B378" s="36" t="n">
        <v>6</v>
      </c>
    </row>
    <row r="380" customFormat="false" ht="15" hidden="false" customHeight="true" outlineLevel="0" collapsed="false">
      <c r="A380" s="28" t="s">
        <v>309</v>
      </c>
      <c r="B380" s="28"/>
      <c r="C380" s="28"/>
      <c r="D380" s="28"/>
      <c r="E380" s="28"/>
      <c r="F380" s="28"/>
      <c r="G380" s="28"/>
    </row>
    <row r="381" customFormat="false" ht="15" hidden="false" customHeight="true" outlineLevel="0" collapsed="false">
      <c r="A381" s="29" t="s">
        <v>272</v>
      </c>
      <c r="B381" s="29"/>
      <c r="C381" s="29"/>
      <c r="D381" s="29"/>
      <c r="E381" s="29"/>
      <c r="F381" s="29"/>
      <c r="G381" s="29"/>
    </row>
    <row r="383" customFormat="false" ht="15" hidden="false" customHeight="true" outlineLevel="0" collapsed="false">
      <c r="A383" s="28" t="s">
        <v>310</v>
      </c>
      <c r="B383" s="28"/>
      <c r="C383" s="28"/>
      <c r="D383" s="28"/>
      <c r="E383" s="28"/>
      <c r="F383" s="28"/>
      <c r="G383" s="28"/>
    </row>
    <row r="384" customFormat="false" ht="15" hidden="false" customHeight="true" outlineLevel="0" collapsed="false">
      <c r="A384" s="12" t="s">
        <v>275</v>
      </c>
      <c r="B384" s="12" t="s">
        <v>276</v>
      </c>
      <c r="C384" s="12" t="s">
        <v>277</v>
      </c>
      <c r="D384" s="12" t="s">
        <v>278</v>
      </c>
      <c r="E384" s="12" t="s">
        <v>279</v>
      </c>
      <c r="F384" s="12" t="s">
        <v>280</v>
      </c>
      <c r="G384" s="12" t="s">
        <v>281</v>
      </c>
    </row>
    <row r="385" customFormat="false" ht="15" hidden="false" customHeight="true" outlineLevel="0" collapsed="false">
      <c r="A385" s="30" t="n">
        <v>1</v>
      </c>
      <c r="B385" s="31" t="n">
        <v>49</v>
      </c>
      <c r="C385" s="31" t="n">
        <v>3.73</v>
      </c>
      <c r="D385" s="32" t="s">
        <v>282</v>
      </c>
      <c r="E385" s="33" t="n">
        <v>2.33333333333333</v>
      </c>
      <c r="F385" s="32" t="s">
        <v>282</v>
      </c>
      <c r="G385" s="32" t="n">
        <v>0</v>
      </c>
    </row>
    <row r="386" customFormat="false" ht="15" hidden="false" customHeight="true" outlineLevel="0" collapsed="false">
      <c r="A386" s="30" t="n">
        <v>2</v>
      </c>
      <c r="B386" s="31" t="n">
        <v>27</v>
      </c>
      <c r="C386" s="31" t="n">
        <v>3.89</v>
      </c>
      <c r="D386" s="33" t="n">
        <v>0.551020408163265</v>
      </c>
      <c r="E386" s="33" t="n">
        <v>1.28571428571429</v>
      </c>
      <c r="F386" s="32" t="s">
        <v>282</v>
      </c>
      <c r="G386" s="32" t="n">
        <v>0</v>
      </c>
    </row>
    <row r="387" customFormat="false" ht="15" hidden="false" customHeight="true" outlineLevel="0" collapsed="false">
      <c r="A387" s="30" t="n">
        <v>3</v>
      </c>
      <c r="B387" s="31" t="n">
        <v>21</v>
      </c>
      <c r="C387" s="31" t="n">
        <v>4.86</v>
      </c>
      <c r="D387" s="33" t="n">
        <v>0.777777777777778</v>
      </c>
      <c r="E387" s="33" t="n">
        <v>1</v>
      </c>
      <c r="F387" s="32" t="s">
        <v>283</v>
      </c>
      <c r="G387" s="32" t="n">
        <v>4.857</v>
      </c>
    </row>
    <row r="388" customFormat="false" ht="15" hidden="false" customHeight="true" outlineLevel="0" collapsed="false">
      <c r="A388" s="30" t="n">
        <v>4</v>
      </c>
      <c r="B388" s="31" t="n">
        <v>21</v>
      </c>
      <c r="C388" s="31" t="n">
        <v>4.86</v>
      </c>
      <c r="D388" s="33" t="n">
        <v>1</v>
      </c>
      <c r="E388" s="33" t="n">
        <v>1</v>
      </c>
      <c r="F388" s="32" t="s">
        <v>283</v>
      </c>
      <c r="G388" s="32" t="n">
        <v>4.857</v>
      </c>
    </row>
    <row r="389" customFormat="false" ht="15" hidden="false" customHeight="true" outlineLevel="0" collapsed="false">
      <c r="A389" s="30" t="n">
        <v>5</v>
      </c>
      <c r="B389" s="31" t="n">
        <v>19</v>
      </c>
      <c r="C389" s="31" t="n">
        <v>5.05</v>
      </c>
      <c r="D389" s="33" t="n">
        <v>0.904761904761905</v>
      </c>
      <c r="E389" s="33" t="n">
        <v>0.904761904761905</v>
      </c>
      <c r="F389" s="32" t="s">
        <v>283</v>
      </c>
      <c r="G389" s="32" t="n">
        <v>4.571</v>
      </c>
    </row>
    <row r="390" customFormat="false" ht="15" hidden="false" customHeight="true" outlineLevel="0" collapsed="false">
      <c r="A390" s="30" t="n">
        <v>6</v>
      </c>
      <c r="B390" s="31" t="n">
        <v>6</v>
      </c>
      <c r="C390" s="31" t="n">
        <v>4.5</v>
      </c>
      <c r="D390" s="33" t="n">
        <v>0.315789473684211</v>
      </c>
      <c r="E390" s="33" t="n">
        <v>0.285714285714286</v>
      </c>
      <c r="F390" s="32" t="s">
        <v>283</v>
      </c>
      <c r="G390" s="32" t="n">
        <v>1.286</v>
      </c>
    </row>
    <row r="391" customFormat="false" ht="15" hidden="false" customHeight="true" outlineLevel="0" collapsed="false">
      <c r="A391" s="30" t="n">
        <v>7</v>
      </c>
      <c r="B391" s="31" t="n">
        <v>6</v>
      </c>
      <c r="C391" s="31" t="n">
        <v>4</v>
      </c>
      <c r="D391" s="33" t="n">
        <v>1</v>
      </c>
      <c r="E391" s="33" t="n">
        <v>0.285714285714286</v>
      </c>
      <c r="F391" s="32" t="s">
        <v>283</v>
      </c>
      <c r="G391" s="32" t="n">
        <v>1.143</v>
      </c>
    </row>
    <row r="392" customFormat="false" ht="15" hidden="false" customHeight="true" outlineLevel="0" collapsed="false">
      <c r="A392" s="30" t="n">
        <v>8</v>
      </c>
      <c r="B392" s="31" t="n">
        <v>2</v>
      </c>
      <c r="C392" s="31" t="n">
        <v>3</v>
      </c>
      <c r="D392" s="33" t="n">
        <v>0.333333333333333</v>
      </c>
      <c r="E392" s="33" t="n">
        <v>0.0952380952380952</v>
      </c>
      <c r="F392" s="32" t="s">
        <v>284</v>
      </c>
      <c r="G392" s="32" t="n">
        <v>0</v>
      </c>
    </row>
    <row r="393" customFormat="false" ht="15" hidden="false" customHeight="true" outlineLevel="0" collapsed="false">
      <c r="A393" s="30" t="n">
        <v>9</v>
      </c>
      <c r="B393" s="31" t="n">
        <v>2</v>
      </c>
      <c r="C393" s="31" t="n">
        <v>4.5</v>
      </c>
      <c r="D393" s="33" t="n">
        <v>1</v>
      </c>
      <c r="E393" s="33" t="n">
        <v>0.0952380952380952</v>
      </c>
      <c r="F393" s="32" t="s">
        <v>284</v>
      </c>
      <c r="G393" s="32" t="n">
        <v>0</v>
      </c>
    </row>
    <row r="394" customFormat="false" ht="15" hidden="false" customHeight="true" outlineLevel="0" collapsed="false">
      <c r="A394" s="34" t="s">
        <v>285</v>
      </c>
      <c r="B394" s="35" t="n">
        <v>0.428571428571429</v>
      </c>
    </row>
    <row r="395" customFormat="false" ht="15" hidden="false" customHeight="true" outlineLevel="0" collapsed="false">
      <c r="A395" s="34" t="s">
        <v>286</v>
      </c>
      <c r="B395" s="36" t="n">
        <v>16.714</v>
      </c>
    </row>
    <row r="396" customFormat="false" ht="15" hidden="false" customHeight="true" outlineLevel="0" collapsed="false">
      <c r="A396" s="34" t="s">
        <v>287</v>
      </c>
      <c r="B396" s="36" t="n">
        <v>23.267</v>
      </c>
    </row>
    <row r="397" customFormat="false" ht="15" hidden="false" customHeight="true" outlineLevel="0" collapsed="false">
      <c r="A397" s="34" t="s">
        <v>288</v>
      </c>
      <c r="B397" s="36" t="n">
        <v>30</v>
      </c>
    </row>
    <row r="398" customFormat="false" ht="15" hidden="false" customHeight="true" outlineLevel="0" collapsed="false">
      <c r="A398" s="34" t="s">
        <v>289</v>
      </c>
      <c r="B398" s="35" t="n">
        <v>0.718371303926321</v>
      </c>
    </row>
    <row r="399" customFormat="false" ht="15" hidden="false" customHeight="true" outlineLevel="0" collapsed="false">
      <c r="A399" s="34" t="s">
        <v>260</v>
      </c>
      <c r="B399" s="35" t="n">
        <v>0.307873415968423</v>
      </c>
    </row>
    <row r="400" customFormat="false" ht="15" hidden="false" customHeight="true" outlineLevel="0" collapsed="false">
      <c r="A400" s="34" t="s">
        <v>290</v>
      </c>
      <c r="B400" s="36" t="n">
        <v>8</v>
      </c>
    </row>
    <row r="402" customFormat="false" ht="15" hidden="false" customHeight="true" outlineLevel="0" collapsed="false">
      <c r="A402" s="28" t="s">
        <v>311</v>
      </c>
      <c r="B402" s="28"/>
      <c r="C402" s="28"/>
      <c r="D402" s="28"/>
      <c r="E402" s="28"/>
      <c r="F402" s="28"/>
      <c r="G402" s="28"/>
    </row>
    <row r="403" customFormat="false" ht="15" hidden="false" customHeight="true" outlineLevel="0" collapsed="false">
      <c r="A403" s="12" t="s">
        <v>275</v>
      </c>
      <c r="B403" s="12" t="s">
        <v>276</v>
      </c>
      <c r="C403" s="12" t="s">
        <v>277</v>
      </c>
      <c r="D403" s="12" t="s">
        <v>278</v>
      </c>
      <c r="E403" s="12" t="s">
        <v>279</v>
      </c>
      <c r="F403" s="12" t="s">
        <v>280</v>
      </c>
      <c r="G403" s="12" t="s">
        <v>281</v>
      </c>
    </row>
    <row r="404" customFormat="false" ht="15" hidden="false" customHeight="true" outlineLevel="0" collapsed="false">
      <c r="A404" s="30" t="n">
        <v>1</v>
      </c>
      <c r="B404" s="31" t="n">
        <v>77</v>
      </c>
      <c r="C404" s="31" t="n">
        <v>6.31</v>
      </c>
      <c r="D404" s="32" t="s">
        <v>282</v>
      </c>
      <c r="E404" s="33" t="n">
        <v>1.63829787234043</v>
      </c>
      <c r="F404" s="32" t="s">
        <v>282</v>
      </c>
      <c r="G404" s="32" t="n">
        <v>0</v>
      </c>
    </row>
    <row r="405" customFormat="false" ht="15" hidden="false" customHeight="true" outlineLevel="0" collapsed="false">
      <c r="A405" s="30" t="n">
        <v>2</v>
      </c>
      <c r="B405" s="31" t="n">
        <v>57</v>
      </c>
      <c r="C405" s="31" t="n">
        <v>7.51</v>
      </c>
      <c r="D405" s="33" t="n">
        <v>0.74025974025974</v>
      </c>
      <c r="E405" s="33" t="n">
        <v>1.21276595744681</v>
      </c>
      <c r="F405" s="32" t="s">
        <v>282</v>
      </c>
      <c r="G405" s="32" t="n">
        <v>0</v>
      </c>
    </row>
    <row r="406" customFormat="false" ht="15" hidden="false" customHeight="true" outlineLevel="0" collapsed="false">
      <c r="A406" s="30" t="n">
        <v>3</v>
      </c>
      <c r="B406" s="31" t="n">
        <v>47</v>
      </c>
      <c r="C406" s="31" t="n">
        <v>7.23</v>
      </c>
      <c r="D406" s="33" t="n">
        <v>0.824561403508772</v>
      </c>
      <c r="E406" s="33" t="n">
        <v>1</v>
      </c>
      <c r="F406" s="32" t="s">
        <v>283</v>
      </c>
      <c r="G406" s="32" t="n">
        <v>7.234</v>
      </c>
    </row>
    <row r="407" customFormat="false" ht="15" hidden="false" customHeight="true" outlineLevel="0" collapsed="false">
      <c r="A407" s="30" t="n">
        <v>4</v>
      </c>
      <c r="B407" s="31" t="n">
        <v>49</v>
      </c>
      <c r="C407" s="31" t="n">
        <v>7.63</v>
      </c>
      <c r="D407" s="33" t="n">
        <v>1.04255319148936</v>
      </c>
      <c r="E407" s="33" t="n">
        <v>1.04255319148936</v>
      </c>
      <c r="F407" s="32" t="s">
        <v>283</v>
      </c>
      <c r="G407" s="32" t="n">
        <v>7.957</v>
      </c>
    </row>
    <row r="408" customFormat="false" ht="15" hidden="false" customHeight="true" outlineLevel="0" collapsed="false">
      <c r="A408" s="30" t="n">
        <v>5</v>
      </c>
      <c r="B408" s="31" t="n">
        <v>13</v>
      </c>
      <c r="C408" s="31" t="n">
        <v>5.69</v>
      </c>
      <c r="D408" s="33" t="n">
        <v>0.26530612244898</v>
      </c>
      <c r="E408" s="33" t="n">
        <v>0.276595744680851</v>
      </c>
      <c r="F408" s="32" t="s">
        <v>283</v>
      </c>
      <c r="G408" s="32" t="n">
        <v>1.574</v>
      </c>
    </row>
    <row r="409" customFormat="false" ht="15" hidden="false" customHeight="true" outlineLevel="0" collapsed="false">
      <c r="A409" s="30" t="n">
        <v>6</v>
      </c>
      <c r="B409" s="31" t="n">
        <v>6</v>
      </c>
      <c r="C409" s="31" t="n">
        <v>5.33</v>
      </c>
      <c r="D409" s="33" t="n">
        <v>0.461538461538462</v>
      </c>
      <c r="E409" s="33" t="n">
        <v>0.127659574468085</v>
      </c>
      <c r="F409" s="32" t="s">
        <v>284</v>
      </c>
      <c r="G409" s="32" t="n">
        <v>0</v>
      </c>
    </row>
    <row r="410" customFormat="false" ht="15" hidden="false" customHeight="true" outlineLevel="0" collapsed="false">
      <c r="A410" s="30" t="n">
        <v>7</v>
      </c>
      <c r="B410" s="31" t="n">
        <v>5</v>
      </c>
      <c r="C410" s="31" t="n">
        <v>5.2</v>
      </c>
      <c r="D410" s="33" t="n">
        <v>0.833333333333333</v>
      </c>
      <c r="E410" s="33" t="n">
        <v>0.106382978723404</v>
      </c>
      <c r="F410" s="32" t="s">
        <v>284</v>
      </c>
      <c r="G410" s="32" t="n">
        <v>0</v>
      </c>
    </row>
    <row r="411" customFormat="false" ht="15" hidden="false" customHeight="true" outlineLevel="0" collapsed="false">
      <c r="A411" s="30" t="n">
        <v>8</v>
      </c>
      <c r="B411" s="31" t="n">
        <v>5</v>
      </c>
      <c r="C411" s="31" t="n">
        <v>6</v>
      </c>
      <c r="D411" s="33" t="n">
        <v>1</v>
      </c>
      <c r="E411" s="33" t="n">
        <v>0.106382978723404</v>
      </c>
      <c r="F411" s="32" t="s">
        <v>284</v>
      </c>
      <c r="G411" s="32" t="n">
        <v>0</v>
      </c>
    </row>
    <row r="412" customFormat="false" ht="15" hidden="false" customHeight="true" outlineLevel="0" collapsed="false">
      <c r="A412" s="30" t="n">
        <v>9</v>
      </c>
      <c r="B412" s="31" t="n">
        <v>4</v>
      </c>
      <c r="C412" s="31" t="n">
        <v>5</v>
      </c>
      <c r="D412" s="33" t="n">
        <v>0.8</v>
      </c>
      <c r="E412" s="33" t="n">
        <v>0.0851063829787234</v>
      </c>
      <c r="F412" s="32" t="s">
        <v>284</v>
      </c>
      <c r="G412" s="32" t="n">
        <v>0</v>
      </c>
    </row>
    <row r="413" customFormat="false" ht="15" hidden="false" customHeight="true" outlineLevel="0" collapsed="false">
      <c r="A413" s="30" t="n">
        <v>10</v>
      </c>
      <c r="B413" s="31" t="n">
        <v>1</v>
      </c>
      <c r="C413" s="31" t="n">
        <v>6</v>
      </c>
      <c r="D413" s="33" t="n">
        <v>0.25</v>
      </c>
      <c r="E413" s="33" t="n">
        <v>0.0212765957446809</v>
      </c>
      <c r="F413" s="32" t="s">
        <v>284</v>
      </c>
      <c r="G413" s="32" t="n">
        <v>0</v>
      </c>
    </row>
    <row r="414" customFormat="false" ht="15" hidden="false" customHeight="true" outlineLevel="0" collapsed="false">
      <c r="A414" s="34" t="s">
        <v>285</v>
      </c>
      <c r="B414" s="35" t="n">
        <v>0.61038961038961</v>
      </c>
    </row>
    <row r="415" customFormat="false" ht="15" hidden="false" customHeight="true" outlineLevel="0" collapsed="false">
      <c r="A415" s="34" t="s">
        <v>286</v>
      </c>
      <c r="B415" s="36" t="n">
        <v>16.766</v>
      </c>
    </row>
    <row r="416" customFormat="false" ht="15" hidden="false" customHeight="true" outlineLevel="0" collapsed="false">
      <c r="A416" s="34" t="s">
        <v>287</v>
      </c>
      <c r="B416" s="36" t="n">
        <v>20.559</v>
      </c>
    </row>
    <row r="417" customFormat="false" ht="15" hidden="false" customHeight="true" outlineLevel="0" collapsed="false">
      <c r="A417" s="34" t="s">
        <v>288</v>
      </c>
      <c r="B417" s="36" t="n">
        <v>32</v>
      </c>
    </row>
    <row r="418" customFormat="false" ht="15" hidden="false" customHeight="true" outlineLevel="0" collapsed="false">
      <c r="A418" s="34" t="s">
        <v>289</v>
      </c>
      <c r="B418" s="35" t="n">
        <v>0.815504389812775</v>
      </c>
    </row>
    <row r="419" customFormat="false" ht="15" hidden="false" customHeight="true" outlineLevel="0" collapsed="false">
      <c r="A419" s="34" t="s">
        <v>260</v>
      </c>
      <c r="B419" s="35" t="n">
        <v>0.497775406768837</v>
      </c>
    </row>
    <row r="420" customFormat="false" ht="15" hidden="false" customHeight="true" outlineLevel="0" collapsed="false">
      <c r="A420" s="34" t="s">
        <v>290</v>
      </c>
      <c r="B420" s="36" t="n">
        <v>6</v>
      </c>
    </row>
    <row r="422" customFormat="false" ht="15" hidden="false" customHeight="true" outlineLevel="0" collapsed="false">
      <c r="A422" s="28" t="s">
        <v>312</v>
      </c>
      <c r="B422" s="28"/>
      <c r="C422" s="28"/>
      <c r="D422" s="28"/>
      <c r="E422" s="28"/>
      <c r="F422" s="28"/>
      <c r="G422" s="28"/>
    </row>
    <row r="423" customFormat="false" ht="15" hidden="false" customHeight="true" outlineLevel="0" collapsed="false">
      <c r="A423" s="12" t="s">
        <v>275</v>
      </c>
      <c r="B423" s="12" t="s">
        <v>276</v>
      </c>
      <c r="C423" s="12" t="s">
        <v>277</v>
      </c>
      <c r="D423" s="12" t="s">
        <v>278</v>
      </c>
      <c r="E423" s="12" t="s">
        <v>279</v>
      </c>
      <c r="F423" s="12" t="s">
        <v>280</v>
      </c>
      <c r="G423" s="12" t="s">
        <v>281</v>
      </c>
    </row>
    <row r="424" customFormat="false" ht="15" hidden="false" customHeight="true" outlineLevel="0" collapsed="false">
      <c r="A424" s="30" t="n">
        <v>1</v>
      </c>
      <c r="B424" s="31" t="n">
        <v>145</v>
      </c>
      <c r="C424" s="31" t="n">
        <v>5.4</v>
      </c>
      <c r="D424" s="32" t="s">
        <v>282</v>
      </c>
      <c r="E424" s="33" t="n">
        <v>1.19834710743802</v>
      </c>
      <c r="F424" s="32" t="s">
        <v>282</v>
      </c>
      <c r="G424" s="32" t="n">
        <v>0</v>
      </c>
    </row>
    <row r="425" customFormat="false" ht="15" hidden="false" customHeight="true" outlineLevel="0" collapsed="false">
      <c r="A425" s="30" t="n">
        <v>2</v>
      </c>
      <c r="B425" s="31" t="n">
        <v>121</v>
      </c>
      <c r="C425" s="31" t="n">
        <v>5.55</v>
      </c>
      <c r="D425" s="33" t="n">
        <v>0.83448275862069</v>
      </c>
      <c r="E425" s="33" t="n">
        <v>1</v>
      </c>
      <c r="F425" s="32" t="s">
        <v>282</v>
      </c>
      <c r="G425" s="32" t="n">
        <v>0</v>
      </c>
    </row>
    <row r="426" customFormat="false" ht="15" hidden="false" customHeight="true" outlineLevel="0" collapsed="false">
      <c r="A426" s="30" t="n">
        <v>3</v>
      </c>
      <c r="B426" s="31" t="n">
        <v>121</v>
      </c>
      <c r="C426" s="31" t="n">
        <v>5.4</v>
      </c>
      <c r="D426" s="33" t="n">
        <v>1</v>
      </c>
      <c r="E426" s="33" t="n">
        <v>1</v>
      </c>
      <c r="F426" s="32" t="s">
        <v>283</v>
      </c>
      <c r="G426" s="32" t="n">
        <v>5.405</v>
      </c>
    </row>
    <row r="427" customFormat="false" ht="15" hidden="false" customHeight="true" outlineLevel="0" collapsed="false">
      <c r="A427" s="30" t="n">
        <v>4</v>
      </c>
      <c r="B427" s="31" t="n">
        <v>111</v>
      </c>
      <c r="C427" s="31" t="n">
        <v>6.05</v>
      </c>
      <c r="D427" s="33" t="n">
        <v>0.917355371900827</v>
      </c>
      <c r="E427" s="33" t="n">
        <v>0.917355371900827</v>
      </c>
      <c r="F427" s="32" t="s">
        <v>283</v>
      </c>
      <c r="G427" s="32" t="n">
        <v>5.554</v>
      </c>
    </row>
    <row r="428" customFormat="false" ht="15" hidden="false" customHeight="true" outlineLevel="0" collapsed="false">
      <c r="A428" s="30" t="n">
        <v>5</v>
      </c>
      <c r="B428" s="31" t="n">
        <v>80</v>
      </c>
      <c r="C428" s="31" t="n">
        <v>5.78</v>
      </c>
      <c r="D428" s="33" t="n">
        <v>0.720720720720721</v>
      </c>
      <c r="E428" s="33" t="n">
        <v>0.661157024793388</v>
      </c>
      <c r="F428" s="32" t="s">
        <v>283</v>
      </c>
      <c r="G428" s="32" t="n">
        <v>3.818</v>
      </c>
    </row>
    <row r="429" customFormat="false" ht="15" hidden="false" customHeight="true" outlineLevel="0" collapsed="false">
      <c r="A429" s="30" t="n">
        <v>6</v>
      </c>
      <c r="B429" s="31" t="n">
        <v>43</v>
      </c>
      <c r="C429" s="31" t="n">
        <v>5.26</v>
      </c>
      <c r="D429" s="33" t="n">
        <v>0.5375</v>
      </c>
      <c r="E429" s="33" t="n">
        <v>0.355371900826446</v>
      </c>
      <c r="F429" s="32" t="s">
        <v>283</v>
      </c>
      <c r="G429" s="32" t="n">
        <v>1.868</v>
      </c>
    </row>
    <row r="430" customFormat="false" ht="15" hidden="false" customHeight="true" outlineLevel="0" collapsed="false">
      <c r="A430" s="30" t="n">
        <v>7</v>
      </c>
      <c r="B430" s="31" t="n">
        <v>18</v>
      </c>
      <c r="C430" s="31" t="n">
        <v>3.33</v>
      </c>
      <c r="D430" s="33" t="n">
        <v>0.418604651162791</v>
      </c>
      <c r="E430" s="33" t="n">
        <v>0.148760330578512</v>
      </c>
      <c r="F430" s="32" t="s">
        <v>284</v>
      </c>
      <c r="G430" s="32" t="n">
        <v>0</v>
      </c>
    </row>
    <row r="431" customFormat="false" ht="15" hidden="false" customHeight="true" outlineLevel="0" collapsed="false">
      <c r="A431" s="30" t="n">
        <v>8</v>
      </c>
      <c r="B431" s="31" t="n">
        <v>17</v>
      </c>
      <c r="C431" s="31" t="n">
        <v>4.12</v>
      </c>
      <c r="D431" s="33" t="n">
        <v>0.944444444444444</v>
      </c>
      <c r="E431" s="33" t="n">
        <v>0.140495867768595</v>
      </c>
      <c r="F431" s="32" t="s">
        <v>284</v>
      </c>
      <c r="G431" s="32" t="n">
        <v>0</v>
      </c>
    </row>
    <row r="432" customFormat="false" ht="15" hidden="false" customHeight="true" outlineLevel="0" collapsed="false">
      <c r="A432" s="30" t="n">
        <v>9</v>
      </c>
      <c r="B432" s="31" t="n">
        <v>8</v>
      </c>
      <c r="C432" s="31" t="n">
        <v>4.5</v>
      </c>
      <c r="D432" s="33" t="n">
        <v>0.470588235294118</v>
      </c>
      <c r="E432" s="33" t="n">
        <v>0.0661157024793388</v>
      </c>
      <c r="F432" s="32" t="s">
        <v>284</v>
      </c>
      <c r="G432" s="32" t="n">
        <v>0</v>
      </c>
    </row>
    <row r="433" customFormat="false" ht="15" hidden="false" customHeight="true" outlineLevel="0" collapsed="false">
      <c r="A433" s="30" t="n">
        <v>10</v>
      </c>
      <c r="B433" s="31" t="n">
        <v>5</v>
      </c>
      <c r="C433" s="31" t="n">
        <v>3.6</v>
      </c>
      <c r="D433" s="33" t="n">
        <v>0.625</v>
      </c>
      <c r="E433" s="33" t="n">
        <v>0.0413223140495868</v>
      </c>
      <c r="F433" s="32" t="s">
        <v>284</v>
      </c>
      <c r="G433" s="32" t="n">
        <v>0</v>
      </c>
    </row>
    <row r="434" customFormat="false" ht="15" hidden="false" customHeight="true" outlineLevel="0" collapsed="false">
      <c r="A434" s="30" t="n">
        <v>11</v>
      </c>
      <c r="B434" s="31" t="n">
        <v>4</v>
      </c>
      <c r="C434" s="31" t="n">
        <v>3</v>
      </c>
      <c r="D434" s="33" t="n">
        <v>0.8</v>
      </c>
      <c r="E434" s="33" t="n">
        <v>0.0330578512396694</v>
      </c>
      <c r="F434" s="32" t="s">
        <v>284</v>
      </c>
      <c r="G434" s="32" t="n">
        <v>0</v>
      </c>
    </row>
    <row r="435" customFormat="false" ht="15" hidden="false" customHeight="true" outlineLevel="0" collapsed="false">
      <c r="A435" s="30" t="n">
        <v>12</v>
      </c>
      <c r="B435" s="31" t="n">
        <v>2</v>
      </c>
      <c r="C435" s="31" t="n">
        <v>6</v>
      </c>
      <c r="D435" s="33" t="n">
        <v>0.5</v>
      </c>
      <c r="E435" s="33" t="n">
        <v>0.0165289256198347</v>
      </c>
      <c r="F435" s="32" t="s">
        <v>284</v>
      </c>
      <c r="G435" s="32" t="n">
        <v>0</v>
      </c>
    </row>
    <row r="436" customFormat="false" ht="15" hidden="false" customHeight="true" outlineLevel="0" collapsed="false">
      <c r="A436" s="30" t="n">
        <v>13</v>
      </c>
      <c r="B436" s="31" t="n">
        <v>1</v>
      </c>
      <c r="C436" s="31" t="n">
        <v>0</v>
      </c>
      <c r="D436" s="33" t="n">
        <v>0.5</v>
      </c>
      <c r="E436" s="33" t="n">
        <v>0.00826446280991736</v>
      </c>
      <c r="F436" s="32" t="s">
        <v>284</v>
      </c>
      <c r="G436" s="32" t="n">
        <v>0</v>
      </c>
    </row>
    <row r="437" customFormat="false" ht="15" hidden="false" customHeight="true" outlineLevel="0" collapsed="false">
      <c r="A437" s="30" t="n">
        <v>14</v>
      </c>
      <c r="B437" s="31" t="n">
        <v>0</v>
      </c>
      <c r="C437" s="31" t="n">
        <v>0</v>
      </c>
      <c r="D437" s="33" t="n">
        <v>0</v>
      </c>
      <c r="E437" s="33" t="n">
        <v>0</v>
      </c>
      <c r="F437" s="32" t="s">
        <v>284</v>
      </c>
      <c r="G437" s="32" t="n">
        <v>0</v>
      </c>
    </row>
    <row r="438" customFormat="false" ht="15" hidden="false" customHeight="true" outlineLevel="0" collapsed="false">
      <c r="A438" s="30" t="n">
        <v>15</v>
      </c>
      <c r="B438" s="31" t="n">
        <v>1</v>
      </c>
      <c r="C438" s="31" t="n">
        <v>6</v>
      </c>
      <c r="D438" s="32" t="s">
        <v>282</v>
      </c>
      <c r="E438" s="33" t="n">
        <v>0.00826446280991736</v>
      </c>
      <c r="F438" s="32" t="s">
        <v>284</v>
      </c>
      <c r="G438" s="32" t="n">
        <v>0</v>
      </c>
    </row>
    <row r="439" customFormat="false" ht="15" hidden="false" customHeight="true" outlineLevel="0" collapsed="false">
      <c r="A439" s="30" t="n">
        <v>16</v>
      </c>
      <c r="B439" s="31" t="n">
        <v>1</v>
      </c>
      <c r="C439" s="31" t="n">
        <v>3</v>
      </c>
      <c r="D439" s="33" t="n">
        <v>1</v>
      </c>
      <c r="E439" s="33" t="n">
        <v>0.00826446280991736</v>
      </c>
      <c r="F439" s="32" t="s">
        <v>284</v>
      </c>
      <c r="G439" s="32" t="n">
        <v>0</v>
      </c>
    </row>
    <row r="440" customFormat="false" ht="15" hidden="false" customHeight="true" outlineLevel="0" collapsed="false">
      <c r="A440" s="34" t="s">
        <v>285</v>
      </c>
      <c r="B440" s="35" t="n">
        <v>0.83448275862069</v>
      </c>
    </row>
    <row r="441" customFormat="false" ht="15" hidden="false" customHeight="true" outlineLevel="0" collapsed="false">
      <c r="A441" s="34" t="s">
        <v>286</v>
      </c>
      <c r="B441" s="36" t="n">
        <v>16.645</v>
      </c>
    </row>
    <row r="442" customFormat="false" ht="15" hidden="false" customHeight="true" outlineLevel="0" collapsed="false">
      <c r="A442" s="34" t="s">
        <v>287</v>
      </c>
      <c r="B442" s="36" t="n">
        <v>22.49</v>
      </c>
    </row>
    <row r="443" customFormat="false" ht="15" hidden="false" customHeight="true" outlineLevel="0" collapsed="false">
      <c r="A443" s="34" t="s">
        <v>288</v>
      </c>
      <c r="B443" s="36" t="n">
        <v>30</v>
      </c>
    </row>
    <row r="444" customFormat="false" ht="15" hidden="false" customHeight="true" outlineLevel="0" collapsed="false">
      <c r="A444" s="34" t="s">
        <v>289</v>
      </c>
      <c r="B444" s="35" t="n">
        <v>0.740095881223752</v>
      </c>
    </row>
    <row r="445" customFormat="false" ht="15" hidden="false" customHeight="true" outlineLevel="0" collapsed="false">
      <c r="A445" s="34" t="s">
        <v>260</v>
      </c>
      <c r="B445" s="35" t="n">
        <v>0.617597252607407</v>
      </c>
    </row>
    <row r="446" customFormat="false" ht="15" hidden="false" customHeight="true" outlineLevel="0" collapsed="false">
      <c r="A446" s="34" t="s">
        <v>290</v>
      </c>
      <c r="B446" s="36" t="n">
        <v>7</v>
      </c>
    </row>
    <row r="448" customFormat="false" ht="15" hidden="false" customHeight="true" outlineLevel="0" collapsed="false">
      <c r="A448" s="28" t="s">
        <v>313</v>
      </c>
      <c r="B448" s="28"/>
      <c r="C448" s="28"/>
      <c r="D448" s="28"/>
      <c r="E448" s="28"/>
      <c r="F448" s="28"/>
      <c r="G448" s="28"/>
    </row>
    <row r="449" customFormat="false" ht="15" hidden="false" customHeight="true" outlineLevel="0" collapsed="false">
      <c r="A449" s="12" t="s">
        <v>275</v>
      </c>
      <c r="B449" s="12" t="s">
        <v>276</v>
      </c>
      <c r="C449" s="12" t="s">
        <v>277</v>
      </c>
      <c r="D449" s="12" t="s">
        <v>278</v>
      </c>
      <c r="E449" s="12" t="s">
        <v>279</v>
      </c>
      <c r="F449" s="12" t="s">
        <v>280</v>
      </c>
      <c r="G449" s="12" t="s">
        <v>281</v>
      </c>
    </row>
    <row r="450" customFormat="false" ht="15" hidden="false" customHeight="true" outlineLevel="0" collapsed="false">
      <c r="A450" s="30" t="n">
        <v>1</v>
      </c>
      <c r="B450" s="31" t="n">
        <v>218</v>
      </c>
      <c r="C450" s="31" t="n">
        <v>5.22</v>
      </c>
      <c r="D450" s="32" t="s">
        <v>282</v>
      </c>
      <c r="E450" s="33" t="n">
        <v>1.80165289256198</v>
      </c>
      <c r="F450" s="32" t="s">
        <v>282</v>
      </c>
      <c r="G450" s="32" t="n">
        <v>0</v>
      </c>
    </row>
    <row r="451" customFormat="false" ht="15" hidden="false" customHeight="true" outlineLevel="0" collapsed="false">
      <c r="A451" s="30" t="n">
        <v>2</v>
      </c>
      <c r="B451" s="31" t="n">
        <v>153</v>
      </c>
      <c r="C451" s="31" t="n">
        <v>5.73</v>
      </c>
      <c r="D451" s="33" t="n">
        <v>0.701834862385321</v>
      </c>
      <c r="E451" s="33" t="n">
        <v>1.26446280991736</v>
      </c>
      <c r="F451" s="32" t="s">
        <v>282</v>
      </c>
      <c r="G451" s="32" t="n">
        <v>0</v>
      </c>
    </row>
    <row r="452" customFormat="false" ht="15" hidden="false" customHeight="true" outlineLevel="0" collapsed="false">
      <c r="A452" s="30" t="n">
        <v>3</v>
      </c>
      <c r="B452" s="31" t="n">
        <v>121</v>
      </c>
      <c r="C452" s="31" t="n">
        <v>5.7</v>
      </c>
      <c r="D452" s="33" t="n">
        <v>0.790849673202614</v>
      </c>
      <c r="E452" s="33" t="n">
        <v>1</v>
      </c>
      <c r="F452" s="32" t="s">
        <v>283</v>
      </c>
      <c r="G452" s="32" t="n">
        <v>5.702</v>
      </c>
    </row>
    <row r="453" customFormat="false" ht="15" hidden="false" customHeight="true" outlineLevel="0" collapsed="false">
      <c r="A453" s="30" t="n">
        <v>4</v>
      </c>
      <c r="B453" s="31" t="n">
        <v>116</v>
      </c>
      <c r="C453" s="31" t="n">
        <v>5.95</v>
      </c>
      <c r="D453" s="33" t="n">
        <v>0.958677685950413</v>
      </c>
      <c r="E453" s="33" t="n">
        <v>0.958677685950413</v>
      </c>
      <c r="F453" s="32" t="s">
        <v>283</v>
      </c>
      <c r="G453" s="32" t="n">
        <v>5.702</v>
      </c>
    </row>
    <row r="454" customFormat="false" ht="15" hidden="false" customHeight="true" outlineLevel="0" collapsed="false">
      <c r="A454" s="30" t="n">
        <v>5</v>
      </c>
      <c r="B454" s="31" t="n">
        <v>104</v>
      </c>
      <c r="C454" s="31" t="n">
        <v>6.26</v>
      </c>
      <c r="D454" s="33" t="n">
        <v>0.896551724137931</v>
      </c>
      <c r="E454" s="33" t="n">
        <v>0.859504132231405</v>
      </c>
      <c r="F454" s="32" t="s">
        <v>283</v>
      </c>
      <c r="G454" s="32" t="n">
        <v>5.38</v>
      </c>
    </row>
    <row r="455" customFormat="false" ht="15" hidden="false" customHeight="true" outlineLevel="0" collapsed="false">
      <c r="A455" s="30" t="n">
        <v>6</v>
      </c>
      <c r="B455" s="31" t="n">
        <v>69</v>
      </c>
      <c r="C455" s="31" t="n">
        <v>4.57</v>
      </c>
      <c r="D455" s="33" t="n">
        <v>0.663461538461538</v>
      </c>
      <c r="E455" s="33" t="n">
        <v>0.570247933884298</v>
      </c>
      <c r="F455" s="32" t="s">
        <v>283</v>
      </c>
      <c r="G455" s="32" t="n">
        <v>2.603</v>
      </c>
    </row>
    <row r="456" customFormat="false" ht="15" hidden="false" customHeight="true" outlineLevel="0" collapsed="false">
      <c r="A456" s="30" t="n">
        <v>7</v>
      </c>
      <c r="B456" s="31" t="n">
        <v>45</v>
      </c>
      <c r="C456" s="31" t="n">
        <v>4.93</v>
      </c>
      <c r="D456" s="33" t="n">
        <v>0.652173913043478</v>
      </c>
      <c r="E456" s="33" t="n">
        <v>0.371900826446281</v>
      </c>
      <c r="F456" s="32" t="s">
        <v>283</v>
      </c>
      <c r="G456" s="32" t="n">
        <v>1.835</v>
      </c>
    </row>
    <row r="457" customFormat="false" ht="15" hidden="false" customHeight="true" outlineLevel="0" collapsed="false">
      <c r="A457" s="30" t="n">
        <v>8</v>
      </c>
      <c r="B457" s="31" t="n">
        <v>22</v>
      </c>
      <c r="C457" s="31" t="n">
        <v>4.45</v>
      </c>
      <c r="D457" s="33" t="n">
        <v>0.488888888888889</v>
      </c>
      <c r="E457" s="33" t="n">
        <v>0.181818181818182</v>
      </c>
      <c r="F457" s="32" t="s">
        <v>284</v>
      </c>
      <c r="G457" s="32" t="n">
        <v>0</v>
      </c>
    </row>
    <row r="458" customFormat="false" ht="15" hidden="false" customHeight="true" outlineLevel="0" collapsed="false">
      <c r="A458" s="30" t="n">
        <v>9</v>
      </c>
      <c r="B458" s="31" t="n">
        <v>11</v>
      </c>
      <c r="C458" s="31" t="n">
        <v>4.36</v>
      </c>
      <c r="D458" s="33" t="n">
        <v>0.5</v>
      </c>
      <c r="E458" s="33" t="n">
        <v>0.0909090909090909</v>
      </c>
      <c r="F458" s="32" t="s">
        <v>284</v>
      </c>
      <c r="G458" s="32" t="n">
        <v>0</v>
      </c>
    </row>
    <row r="459" customFormat="false" ht="15" hidden="false" customHeight="true" outlineLevel="0" collapsed="false">
      <c r="A459" s="30" t="n">
        <v>10</v>
      </c>
      <c r="B459" s="31" t="n">
        <v>8</v>
      </c>
      <c r="C459" s="31" t="n">
        <v>4.12</v>
      </c>
      <c r="D459" s="33" t="n">
        <v>0.727272727272727</v>
      </c>
      <c r="E459" s="33" t="n">
        <v>0.0661157024793388</v>
      </c>
      <c r="F459" s="32" t="s">
        <v>284</v>
      </c>
      <c r="G459" s="32" t="n">
        <v>0</v>
      </c>
    </row>
    <row r="460" customFormat="false" ht="15" hidden="false" customHeight="true" outlineLevel="0" collapsed="false">
      <c r="A460" s="30" t="n">
        <v>11</v>
      </c>
      <c r="B460" s="31" t="n">
        <v>9</v>
      </c>
      <c r="C460" s="31" t="n">
        <v>4</v>
      </c>
      <c r="D460" s="33" t="n">
        <v>1.125</v>
      </c>
      <c r="E460" s="33" t="n">
        <v>0.0743801652892562</v>
      </c>
      <c r="F460" s="32" t="s">
        <v>284</v>
      </c>
      <c r="G460" s="32" t="n">
        <v>0</v>
      </c>
    </row>
    <row r="461" customFormat="false" ht="15" hidden="false" customHeight="true" outlineLevel="0" collapsed="false">
      <c r="A461" s="30" t="n">
        <v>12</v>
      </c>
      <c r="B461" s="31" t="n">
        <v>4</v>
      </c>
      <c r="C461" s="31" t="n">
        <v>4.5</v>
      </c>
      <c r="D461" s="33" t="n">
        <v>0.444444444444444</v>
      </c>
      <c r="E461" s="33" t="n">
        <v>0.0330578512396694</v>
      </c>
      <c r="F461" s="32" t="s">
        <v>284</v>
      </c>
      <c r="G461" s="32" t="n">
        <v>0</v>
      </c>
    </row>
    <row r="462" customFormat="false" ht="15" hidden="false" customHeight="true" outlineLevel="0" collapsed="false">
      <c r="A462" s="30" t="n">
        <v>13</v>
      </c>
      <c r="B462" s="31" t="n">
        <v>1</v>
      </c>
      <c r="C462" s="31" t="n">
        <v>6</v>
      </c>
      <c r="D462" s="33" t="n">
        <v>0.25</v>
      </c>
      <c r="E462" s="33" t="n">
        <v>0.00826446280991736</v>
      </c>
      <c r="F462" s="32" t="s">
        <v>284</v>
      </c>
      <c r="G462" s="32" t="n">
        <v>0</v>
      </c>
    </row>
    <row r="463" customFormat="false" ht="15" hidden="false" customHeight="true" outlineLevel="0" collapsed="false">
      <c r="A463" s="34" t="s">
        <v>285</v>
      </c>
      <c r="B463" s="35" t="n">
        <v>0.555045871559633</v>
      </c>
    </row>
    <row r="464" customFormat="false" ht="15" hidden="false" customHeight="true" outlineLevel="0" collapsed="false">
      <c r="A464" s="34" t="s">
        <v>286</v>
      </c>
      <c r="B464" s="36" t="n">
        <v>21.223</v>
      </c>
    </row>
    <row r="465" customFormat="false" ht="15" hidden="false" customHeight="true" outlineLevel="0" collapsed="false">
      <c r="A465" s="34" t="s">
        <v>287</v>
      </c>
      <c r="B465" s="36" t="n">
        <v>27.409</v>
      </c>
    </row>
    <row r="466" customFormat="false" ht="15" hidden="false" customHeight="true" outlineLevel="0" collapsed="false">
      <c r="A466" s="34" t="s">
        <v>288</v>
      </c>
      <c r="B466" s="36" t="n">
        <v>30</v>
      </c>
    </row>
    <row r="467" customFormat="false" ht="15" hidden="false" customHeight="true" outlineLevel="0" collapsed="false">
      <c r="A467" s="34" t="s">
        <v>289</v>
      </c>
      <c r="B467" s="35" t="n">
        <v>0.774315058068223</v>
      </c>
    </row>
    <row r="468" customFormat="false" ht="15" hidden="false" customHeight="true" outlineLevel="0" collapsed="false">
      <c r="A468" s="34" t="s">
        <v>260</v>
      </c>
      <c r="B468" s="35" t="n">
        <v>0.429780376267225</v>
      </c>
    </row>
    <row r="469" customFormat="false" ht="15" hidden="false" customHeight="true" outlineLevel="0" collapsed="false">
      <c r="A469" s="34" t="s">
        <v>290</v>
      </c>
      <c r="B469" s="36" t="n">
        <v>8</v>
      </c>
    </row>
    <row r="471" customFormat="false" ht="15" hidden="false" customHeight="true" outlineLevel="0" collapsed="false">
      <c r="A471" s="28" t="s">
        <v>314</v>
      </c>
      <c r="B471" s="28"/>
      <c r="C471" s="28"/>
      <c r="D471" s="28"/>
      <c r="E471" s="28"/>
      <c r="F471" s="28"/>
      <c r="G471" s="28"/>
    </row>
    <row r="472" customFormat="false" ht="15" hidden="false" customHeight="true" outlineLevel="0" collapsed="false">
      <c r="A472" s="29" t="s">
        <v>272</v>
      </c>
      <c r="B472" s="29"/>
      <c r="C472" s="29"/>
      <c r="D472" s="29"/>
      <c r="E472" s="29"/>
      <c r="F472" s="29"/>
      <c r="G472" s="29"/>
    </row>
    <row r="474" customFormat="false" ht="15" hidden="false" customHeight="true" outlineLevel="0" collapsed="false">
      <c r="A474" s="28" t="s">
        <v>315</v>
      </c>
      <c r="B474" s="28"/>
      <c r="C474" s="28"/>
      <c r="D474" s="28"/>
      <c r="E474" s="28"/>
      <c r="F474" s="28"/>
      <c r="G474" s="28"/>
    </row>
    <row r="475" customFormat="false" ht="15" hidden="false" customHeight="true" outlineLevel="0" collapsed="false">
      <c r="A475" s="12" t="s">
        <v>275</v>
      </c>
      <c r="B475" s="12" t="s">
        <v>276</v>
      </c>
      <c r="C475" s="12" t="s">
        <v>277</v>
      </c>
      <c r="D475" s="12" t="s">
        <v>278</v>
      </c>
      <c r="E475" s="12" t="s">
        <v>279</v>
      </c>
      <c r="F475" s="12" t="s">
        <v>280</v>
      </c>
      <c r="G475" s="12" t="s">
        <v>281</v>
      </c>
    </row>
    <row r="476" customFormat="false" ht="15" hidden="false" customHeight="true" outlineLevel="0" collapsed="false">
      <c r="A476" s="30" t="n">
        <v>1</v>
      </c>
      <c r="B476" s="31" t="n">
        <v>24</v>
      </c>
      <c r="C476" s="31" t="n">
        <v>7.75</v>
      </c>
      <c r="D476" s="32" t="s">
        <v>282</v>
      </c>
      <c r="E476" s="33" t="n">
        <v>1.26315789473684</v>
      </c>
      <c r="F476" s="32" t="s">
        <v>282</v>
      </c>
      <c r="G476" s="32" t="n">
        <v>0</v>
      </c>
    </row>
    <row r="477" customFormat="false" ht="15" hidden="false" customHeight="true" outlineLevel="0" collapsed="false">
      <c r="A477" s="30" t="n">
        <v>2</v>
      </c>
      <c r="B477" s="31" t="n">
        <v>20</v>
      </c>
      <c r="C477" s="31" t="n">
        <v>5.7</v>
      </c>
      <c r="D477" s="33" t="n">
        <v>0.833333333333333</v>
      </c>
      <c r="E477" s="33" t="n">
        <v>1.05263157894737</v>
      </c>
      <c r="F477" s="32" t="s">
        <v>282</v>
      </c>
      <c r="G477" s="32" t="n">
        <v>0</v>
      </c>
    </row>
    <row r="478" customFormat="false" ht="15" hidden="false" customHeight="true" outlineLevel="0" collapsed="false">
      <c r="A478" s="30" t="n">
        <v>3</v>
      </c>
      <c r="B478" s="31" t="n">
        <v>19</v>
      </c>
      <c r="C478" s="31" t="n">
        <v>8.84</v>
      </c>
      <c r="D478" s="33" t="n">
        <v>0.95</v>
      </c>
      <c r="E478" s="33" t="n">
        <v>1</v>
      </c>
      <c r="F478" s="32" t="s">
        <v>283</v>
      </c>
      <c r="G478" s="32" t="n">
        <v>8.842</v>
      </c>
    </row>
    <row r="479" customFormat="false" ht="15" hidden="false" customHeight="true" outlineLevel="0" collapsed="false">
      <c r="A479" s="30" t="n">
        <v>4</v>
      </c>
      <c r="B479" s="31" t="n">
        <v>12</v>
      </c>
      <c r="C479" s="31" t="n">
        <v>6.25</v>
      </c>
      <c r="D479" s="33" t="n">
        <v>0.631578947368421</v>
      </c>
      <c r="E479" s="33" t="n">
        <v>0.631578947368421</v>
      </c>
      <c r="F479" s="32" t="s">
        <v>283</v>
      </c>
      <c r="G479" s="32" t="n">
        <v>3.947</v>
      </c>
    </row>
    <row r="480" customFormat="false" ht="15" hidden="false" customHeight="true" outlineLevel="0" collapsed="false">
      <c r="A480" s="30" t="n">
        <v>5</v>
      </c>
      <c r="B480" s="31" t="n">
        <v>12</v>
      </c>
      <c r="C480" s="31" t="n">
        <v>6</v>
      </c>
      <c r="D480" s="33" t="n">
        <v>1</v>
      </c>
      <c r="E480" s="33" t="n">
        <v>0.631578947368421</v>
      </c>
      <c r="F480" s="32" t="s">
        <v>283</v>
      </c>
      <c r="G480" s="32" t="n">
        <v>3.789</v>
      </c>
    </row>
    <row r="481" customFormat="false" ht="15" hidden="false" customHeight="true" outlineLevel="0" collapsed="false">
      <c r="A481" s="30" t="n">
        <v>6</v>
      </c>
      <c r="B481" s="31" t="n">
        <v>0</v>
      </c>
      <c r="C481" s="31" t="n">
        <v>0</v>
      </c>
      <c r="D481" s="33" t="n">
        <v>0</v>
      </c>
      <c r="E481" s="33" t="n">
        <v>0</v>
      </c>
      <c r="F481" s="32" t="s">
        <v>284</v>
      </c>
      <c r="G481" s="32" t="n">
        <v>0</v>
      </c>
    </row>
    <row r="482" customFormat="false" ht="15" hidden="false" customHeight="true" outlineLevel="0" collapsed="false">
      <c r="A482" s="30" t="n">
        <v>7</v>
      </c>
      <c r="B482" s="31" t="n">
        <v>0</v>
      </c>
      <c r="C482" s="31" t="n">
        <v>0</v>
      </c>
      <c r="D482" s="32" t="s">
        <v>282</v>
      </c>
      <c r="E482" s="33" t="n">
        <v>0</v>
      </c>
      <c r="F482" s="32" t="s">
        <v>284</v>
      </c>
      <c r="G482" s="32" t="n">
        <v>0</v>
      </c>
    </row>
    <row r="483" customFormat="false" ht="15" hidden="false" customHeight="true" outlineLevel="0" collapsed="false">
      <c r="A483" s="34" t="s">
        <v>285</v>
      </c>
      <c r="B483" s="35" t="n">
        <v>0.791666666666667</v>
      </c>
    </row>
    <row r="484" customFormat="false" ht="15" hidden="false" customHeight="true" outlineLevel="0" collapsed="false">
      <c r="A484" s="34" t="s">
        <v>286</v>
      </c>
      <c r="B484" s="36" t="n">
        <v>16.579</v>
      </c>
    </row>
    <row r="485" customFormat="false" ht="15" hidden="false" customHeight="true" outlineLevel="0" collapsed="false">
      <c r="A485" s="34" t="s">
        <v>287</v>
      </c>
      <c r="B485" s="36" t="n">
        <v>21.092</v>
      </c>
    </row>
    <row r="486" customFormat="false" ht="15" hidden="false" customHeight="true" outlineLevel="0" collapsed="false">
      <c r="A486" s="34" t="s">
        <v>288</v>
      </c>
      <c r="B486" s="36" t="n">
        <v>30</v>
      </c>
    </row>
    <row r="487" customFormat="false" ht="15" hidden="false" customHeight="true" outlineLevel="0" collapsed="false">
      <c r="A487" s="34" t="s">
        <v>289</v>
      </c>
      <c r="B487" s="35" t="n">
        <v>0.786026200873363</v>
      </c>
    </row>
    <row r="488" customFormat="false" ht="15" hidden="false" customHeight="true" outlineLevel="0" collapsed="false">
      <c r="A488" s="34" t="s">
        <v>260</v>
      </c>
      <c r="B488" s="35" t="n">
        <v>0.622270742358079</v>
      </c>
    </row>
    <row r="489" customFormat="false" ht="15" hidden="false" customHeight="true" outlineLevel="0" collapsed="false">
      <c r="A489" s="34" t="s">
        <v>290</v>
      </c>
      <c r="B489" s="36" t="n">
        <v>6</v>
      </c>
    </row>
    <row r="491" customFormat="false" ht="15" hidden="false" customHeight="true" outlineLevel="0" collapsed="false">
      <c r="A491" s="28" t="s">
        <v>316</v>
      </c>
      <c r="B491" s="28"/>
      <c r="C491" s="28"/>
      <c r="D491" s="28"/>
      <c r="E491" s="28"/>
      <c r="F491" s="28"/>
      <c r="G491" s="28"/>
    </row>
    <row r="492" customFormat="false" ht="15" hidden="false" customHeight="true" outlineLevel="0" collapsed="false">
      <c r="A492" s="12" t="s">
        <v>275</v>
      </c>
      <c r="B492" s="12" t="s">
        <v>276</v>
      </c>
      <c r="C492" s="12" t="s">
        <v>277</v>
      </c>
      <c r="D492" s="12" t="s">
        <v>278</v>
      </c>
      <c r="E492" s="12" t="s">
        <v>279</v>
      </c>
      <c r="F492" s="12" t="s">
        <v>280</v>
      </c>
      <c r="G492" s="12" t="s">
        <v>281</v>
      </c>
    </row>
    <row r="493" customFormat="false" ht="15" hidden="false" customHeight="true" outlineLevel="0" collapsed="false">
      <c r="A493" s="30" t="n">
        <v>1</v>
      </c>
      <c r="B493" s="31" t="n">
        <v>262</v>
      </c>
      <c r="C493" s="31" t="n">
        <v>7.44</v>
      </c>
      <c r="D493" s="32" t="s">
        <v>282</v>
      </c>
      <c r="E493" s="33" t="n">
        <v>1.34358974358974</v>
      </c>
      <c r="F493" s="32" t="s">
        <v>282</v>
      </c>
      <c r="G493" s="32" t="n">
        <v>0</v>
      </c>
    </row>
    <row r="494" customFormat="false" ht="15" hidden="false" customHeight="true" outlineLevel="0" collapsed="false">
      <c r="A494" s="30" t="n">
        <v>2</v>
      </c>
      <c r="B494" s="31" t="n">
        <v>214</v>
      </c>
      <c r="C494" s="31" t="n">
        <v>7.2</v>
      </c>
      <c r="D494" s="33" t="n">
        <v>0.816793893129771</v>
      </c>
      <c r="E494" s="33" t="n">
        <v>1.0974358974359</v>
      </c>
      <c r="F494" s="32" t="s">
        <v>282</v>
      </c>
      <c r="G494" s="32" t="n">
        <v>0</v>
      </c>
    </row>
    <row r="495" customFormat="false" ht="15" hidden="false" customHeight="true" outlineLevel="0" collapsed="false">
      <c r="A495" s="30" t="n">
        <v>3</v>
      </c>
      <c r="B495" s="31" t="n">
        <v>195</v>
      </c>
      <c r="C495" s="31" t="n">
        <v>7.4</v>
      </c>
      <c r="D495" s="33" t="n">
        <v>0.911214953271028</v>
      </c>
      <c r="E495" s="33" t="n">
        <v>1</v>
      </c>
      <c r="F495" s="32" t="s">
        <v>283</v>
      </c>
      <c r="G495" s="32" t="n">
        <v>7.4</v>
      </c>
    </row>
    <row r="496" customFormat="false" ht="15" hidden="false" customHeight="true" outlineLevel="0" collapsed="false">
      <c r="A496" s="30" t="n">
        <v>4</v>
      </c>
      <c r="B496" s="31" t="n">
        <v>176</v>
      </c>
      <c r="C496" s="31" t="n">
        <v>7.49</v>
      </c>
      <c r="D496" s="33" t="n">
        <v>0.902564102564103</v>
      </c>
      <c r="E496" s="33" t="n">
        <v>0.902564102564103</v>
      </c>
      <c r="F496" s="32" t="s">
        <v>283</v>
      </c>
      <c r="G496" s="32" t="n">
        <v>6.759</v>
      </c>
    </row>
    <row r="497" customFormat="false" ht="15" hidden="false" customHeight="true" outlineLevel="0" collapsed="false">
      <c r="A497" s="30" t="n">
        <v>5</v>
      </c>
      <c r="B497" s="31" t="n">
        <v>44</v>
      </c>
      <c r="C497" s="31" t="n">
        <v>5.39</v>
      </c>
      <c r="D497" s="33" t="n">
        <v>0.25</v>
      </c>
      <c r="E497" s="33" t="n">
        <v>0.225641025641026</v>
      </c>
      <c r="F497" s="32" t="s">
        <v>283</v>
      </c>
      <c r="G497" s="32" t="n">
        <v>1.215</v>
      </c>
    </row>
    <row r="498" customFormat="false" ht="15" hidden="false" customHeight="true" outlineLevel="0" collapsed="false">
      <c r="A498" s="30" t="n">
        <v>6</v>
      </c>
      <c r="B498" s="31" t="n">
        <v>26</v>
      </c>
      <c r="C498" s="31" t="n">
        <v>4.38</v>
      </c>
      <c r="D498" s="33" t="n">
        <v>0.590909090909091</v>
      </c>
      <c r="E498" s="33" t="n">
        <v>0.133333333333333</v>
      </c>
      <c r="F498" s="32" t="s">
        <v>284</v>
      </c>
      <c r="G498" s="32" t="n">
        <v>0</v>
      </c>
    </row>
    <row r="499" customFormat="false" ht="15" hidden="false" customHeight="true" outlineLevel="0" collapsed="false">
      <c r="A499" s="30" t="n">
        <v>7</v>
      </c>
      <c r="B499" s="31" t="n">
        <v>21</v>
      </c>
      <c r="C499" s="31" t="n">
        <v>5.76</v>
      </c>
      <c r="D499" s="33" t="n">
        <v>0.807692307692308</v>
      </c>
      <c r="E499" s="33" t="n">
        <v>0.107692307692308</v>
      </c>
      <c r="F499" s="32" t="s">
        <v>284</v>
      </c>
      <c r="G499" s="32" t="n">
        <v>0</v>
      </c>
    </row>
    <row r="500" customFormat="false" ht="15" hidden="false" customHeight="true" outlineLevel="0" collapsed="false">
      <c r="A500" s="30" t="n">
        <v>8</v>
      </c>
      <c r="B500" s="31" t="n">
        <v>12</v>
      </c>
      <c r="C500" s="31" t="n">
        <v>3.67</v>
      </c>
      <c r="D500" s="33" t="n">
        <v>0.571428571428571</v>
      </c>
      <c r="E500" s="33" t="n">
        <v>0.0615384615384615</v>
      </c>
      <c r="F500" s="32" t="s">
        <v>284</v>
      </c>
      <c r="G500" s="32" t="n">
        <v>0</v>
      </c>
    </row>
    <row r="501" customFormat="false" ht="15" hidden="false" customHeight="true" outlineLevel="0" collapsed="false">
      <c r="A501" s="30" t="n">
        <v>9</v>
      </c>
      <c r="B501" s="31" t="n">
        <v>7</v>
      </c>
      <c r="C501" s="31" t="n">
        <v>3.14</v>
      </c>
      <c r="D501" s="33" t="n">
        <v>0.583333333333333</v>
      </c>
      <c r="E501" s="33" t="n">
        <v>0.0358974358974359</v>
      </c>
      <c r="F501" s="32" t="s">
        <v>284</v>
      </c>
      <c r="G501" s="32" t="n">
        <v>0</v>
      </c>
    </row>
    <row r="502" customFormat="false" ht="15" hidden="false" customHeight="true" outlineLevel="0" collapsed="false">
      <c r="A502" s="30" t="n">
        <v>10</v>
      </c>
      <c r="B502" s="31" t="n">
        <v>6</v>
      </c>
      <c r="C502" s="31" t="n">
        <v>4.67</v>
      </c>
      <c r="D502" s="33" t="n">
        <v>0.857142857142857</v>
      </c>
      <c r="E502" s="33" t="n">
        <v>0.0307692307692308</v>
      </c>
      <c r="F502" s="32" t="s">
        <v>284</v>
      </c>
      <c r="G502" s="32" t="n">
        <v>0</v>
      </c>
    </row>
    <row r="503" customFormat="false" ht="15" hidden="false" customHeight="true" outlineLevel="0" collapsed="false">
      <c r="A503" s="30" t="n">
        <v>11</v>
      </c>
      <c r="B503" s="31" t="n">
        <v>5</v>
      </c>
      <c r="C503" s="31" t="n">
        <v>5.2</v>
      </c>
      <c r="D503" s="33" t="n">
        <v>0.833333333333333</v>
      </c>
      <c r="E503" s="33" t="n">
        <v>0.0256410256410256</v>
      </c>
      <c r="F503" s="32" t="s">
        <v>284</v>
      </c>
      <c r="G503" s="32" t="n">
        <v>0</v>
      </c>
    </row>
    <row r="504" customFormat="false" ht="15" hidden="false" customHeight="true" outlineLevel="0" collapsed="false">
      <c r="A504" s="30" t="n">
        <v>12</v>
      </c>
      <c r="B504" s="31" t="n">
        <v>3</v>
      </c>
      <c r="C504" s="31" t="n">
        <v>2.67</v>
      </c>
      <c r="D504" s="33" t="n">
        <v>0.6</v>
      </c>
      <c r="E504" s="33" t="n">
        <v>0.0153846153846154</v>
      </c>
      <c r="F504" s="32" t="s">
        <v>284</v>
      </c>
      <c r="G504" s="32" t="n">
        <v>0</v>
      </c>
    </row>
    <row r="505" customFormat="false" ht="15" hidden="false" customHeight="true" outlineLevel="0" collapsed="false">
      <c r="A505" s="30" t="n">
        <v>13</v>
      </c>
      <c r="B505" s="31" t="n">
        <v>2</v>
      </c>
      <c r="C505" s="31" t="n">
        <v>3</v>
      </c>
      <c r="D505" s="33" t="n">
        <v>0.666666666666667</v>
      </c>
      <c r="E505" s="33" t="n">
        <v>0.0102564102564103</v>
      </c>
      <c r="F505" s="32" t="s">
        <v>284</v>
      </c>
      <c r="G505" s="32" t="n">
        <v>0</v>
      </c>
    </row>
    <row r="506" customFormat="false" ht="15" hidden="false" customHeight="true" outlineLevel="0" collapsed="false">
      <c r="A506" s="30" t="n">
        <v>14</v>
      </c>
      <c r="B506" s="31" t="n">
        <v>1</v>
      </c>
      <c r="C506" s="31" t="n">
        <v>4</v>
      </c>
      <c r="D506" s="33" t="n">
        <v>0.5</v>
      </c>
      <c r="E506" s="33" t="n">
        <v>0.00512820512820513</v>
      </c>
      <c r="F506" s="32" t="s">
        <v>284</v>
      </c>
      <c r="G506" s="32" t="n">
        <v>0</v>
      </c>
    </row>
    <row r="507" customFormat="false" ht="15" hidden="false" customHeight="true" outlineLevel="0" collapsed="false">
      <c r="A507" s="34" t="s">
        <v>285</v>
      </c>
      <c r="B507" s="35" t="n">
        <v>0.744274809160305</v>
      </c>
    </row>
    <row r="508" customFormat="false" ht="15" hidden="false" customHeight="true" outlineLevel="0" collapsed="false">
      <c r="A508" s="34" t="s">
        <v>286</v>
      </c>
      <c r="B508" s="36" t="n">
        <v>15.374</v>
      </c>
    </row>
    <row r="509" customFormat="false" ht="15" hidden="false" customHeight="true" outlineLevel="0" collapsed="false">
      <c r="A509" s="34" t="s">
        <v>287</v>
      </c>
      <c r="B509" s="36" t="n">
        <v>20.275</v>
      </c>
    </row>
    <row r="510" customFormat="false" ht="15" hidden="false" customHeight="true" outlineLevel="0" collapsed="false">
      <c r="A510" s="34" t="s">
        <v>288</v>
      </c>
      <c r="B510" s="36" t="n">
        <v>32</v>
      </c>
    </row>
    <row r="511" customFormat="false" ht="15" hidden="false" customHeight="true" outlineLevel="0" collapsed="false">
      <c r="A511" s="34" t="s">
        <v>289</v>
      </c>
      <c r="B511" s="35" t="n">
        <v>0.758291441398716</v>
      </c>
    </row>
    <row r="512" customFormat="false" ht="15" hidden="false" customHeight="true" outlineLevel="0" collapsed="false">
      <c r="A512" s="34" t="s">
        <v>260</v>
      </c>
      <c r="B512" s="35" t="n">
        <v>0.564377217834923</v>
      </c>
    </row>
    <row r="513" customFormat="false" ht="15" hidden="false" customHeight="true" outlineLevel="0" collapsed="false">
      <c r="A513" s="34" t="s">
        <v>290</v>
      </c>
      <c r="B513" s="36" t="n">
        <v>6</v>
      </c>
    </row>
    <row r="515" customFormat="false" ht="15" hidden="false" customHeight="true" outlineLevel="0" collapsed="false">
      <c r="A515" s="28" t="s">
        <v>317</v>
      </c>
      <c r="B515" s="28"/>
      <c r="C515" s="28"/>
      <c r="D515" s="28"/>
      <c r="E515" s="28"/>
      <c r="F515" s="28"/>
      <c r="G515" s="28"/>
    </row>
    <row r="516" customFormat="false" ht="15" hidden="false" customHeight="true" outlineLevel="0" collapsed="false">
      <c r="A516" s="12" t="s">
        <v>275</v>
      </c>
      <c r="B516" s="12" t="s">
        <v>276</v>
      </c>
      <c r="C516" s="12" t="s">
        <v>277</v>
      </c>
      <c r="D516" s="12" t="s">
        <v>278</v>
      </c>
      <c r="E516" s="12" t="s">
        <v>279</v>
      </c>
      <c r="F516" s="12" t="s">
        <v>280</v>
      </c>
      <c r="G516" s="12" t="s">
        <v>281</v>
      </c>
    </row>
    <row r="517" customFormat="false" ht="15" hidden="false" customHeight="true" outlineLevel="0" collapsed="false">
      <c r="A517" s="30" t="n">
        <v>1</v>
      </c>
      <c r="B517" s="31" t="n">
        <v>103</v>
      </c>
      <c r="C517" s="31" t="n">
        <v>5.39</v>
      </c>
      <c r="D517" s="32" t="s">
        <v>282</v>
      </c>
      <c r="E517" s="33" t="n">
        <v>1.43055555555556</v>
      </c>
      <c r="F517" s="32" t="s">
        <v>282</v>
      </c>
      <c r="G517" s="32" t="n">
        <v>0</v>
      </c>
    </row>
    <row r="518" customFormat="false" ht="15" hidden="false" customHeight="true" outlineLevel="0" collapsed="false">
      <c r="A518" s="30" t="n">
        <v>2</v>
      </c>
      <c r="B518" s="31" t="n">
        <v>86</v>
      </c>
      <c r="C518" s="31" t="n">
        <v>5.41</v>
      </c>
      <c r="D518" s="33" t="n">
        <v>0.83495145631068</v>
      </c>
      <c r="E518" s="33" t="n">
        <v>1.19444444444444</v>
      </c>
      <c r="F518" s="32" t="s">
        <v>282</v>
      </c>
      <c r="G518" s="32" t="n">
        <v>0</v>
      </c>
    </row>
    <row r="519" customFormat="false" ht="15" hidden="false" customHeight="true" outlineLevel="0" collapsed="false">
      <c r="A519" s="30" t="n">
        <v>3</v>
      </c>
      <c r="B519" s="31" t="n">
        <v>72</v>
      </c>
      <c r="C519" s="31" t="n">
        <v>5.83</v>
      </c>
      <c r="D519" s="33" t="n">
        <v>0.837209302325581</v>
      </c>
      <c r="E519" s="33" t="n">
        <v>1</v>
      </c>
      <c r="F519" s="32" t="s">
        <v>283</v>
      </c>
      <c r="G519" s="32" t="n">
        <v>5.833</v>
      </c>
    </row>
    <row r="520" customFormat="false" ht="15" hidden="false" customHeight="true" outlineLevel="0" collapsed="false">
      <c r="A520" s="30" t="n">
        <v>4</v>
      </c>
      <c r="B520" s="31" t="n">
        <v>70</v>
      </c>
      <c r="C520" s="31" t="n">
        <v>5.83</v>
      </c>
      <c r="D520" s="33" t="n">
        <v>0.972222222222222</v>
      </c>
      <c r="E520" s="33" t="n">
        <v>0.972222222222222</v>
      </c>
      <c r="F520" s="32" t="s">
        <v>283</v>
      </c>
      <c r="G520" s="32" t="n">
        <v>5.667</v>
      </c>
    </row>
    <row r="521" customFormat="false" ht="15" hidden="false" customHeight="true" outlineLevel="0" collapsed="false">
      <c r="A521" s="30" t="n">
        <v>5</v>
      </c>
      <c r="B521" s="31" t="n">
        <v>70</v>
      </c>
      <c r="C521" s="31" t="n">
        <v>8.01</v>
      </c>
      <c r="D521" s="33" t="n">
        <v>1</v>
      </c>
      <c r="E521" s="33" t="n">
        <v>0.972222222222222</v>
      </c>
      <c r="F521" s="32" t="s">
        <v>283</v>
      </c>
      <c r="G521" s="32" t="n">
        <v>7.792</v>
      </c>
    </row>
    <row r="522" customFormat="false" ht="15" hidden="false" customHeight="true" outlineLevel="0" collapsed="false">
      <c r="A522" s="30" t="n">
        <v>6</v>
      </c>
      <c r="B522" s="31" t="n">
        <v>18</v>
      </c>
      <c r="C522" s="31" t="n">
        <v>4.67</v>
      </c>
      <c r="D522" s="33" t="n">
        <v>0.257142857142857</v>
      </c>
      <c r="E522" s="33" t="n">
        <v>0.25</v>
      </c>
      <c r="F522" s="32" t="s">
        <v>283</v>
      </c>
      <c r="G522" s="32" t="n">
        <v>1.167</v>
      </c>
    </row>
    <row r="523" customFormat="false" ht="15" hidden="false" customHeight="true" outlineLevel="0" collapsed="false">
      <c r="A523" s="30" t="n">
        <v>7</v>
      </c>
      <c r="B523" s="31" t="n">
        <v>12</v>
      </c>
      <c r="C523" s="31" t="n">
        <v>5.25</v>
      </c>
      <c r="D523" s="33" t="n">
        <v>0.666666666666667</v>
      </c>
      <c r="E523" s="33" t="n">
        <v>0.166666666666667</v>
      </c>
      <c r="F523" s="32" t="s">
        <v>284</v>
      </c>
      <c r="G523" s="32" t="n">
        <v>0</v>
      </c>
    </row>
    <row r="524" customFormat="false" ht="15" hidden="false" customHeight="true" outlineLevel="0" collapsed="false">
      <c r="A524" s="30" t="n">
        <v>8</v>
      </c>
      <c r="B524" s="31" t="n">
        <v>6</v>
      </c>
      <c r="C524" s="31" t="n">
        <v>5</v>
      </c>
      <c r="D524" s="33" t="n">
        <v>0.5</v>
      </c>
      <c r="E524" s="33" t="n">
        <v>0.0833333333333333</v>
      </c>
      <c r="F524" s="32" t="s">
        <v>284</v>
      </c>
      <c r="G524" s="32" t="n">
        <v>0</v>
      </c>
    </row>
    <row r="525" customFormat="false" ht="15" hidden="false" customHeight="true" outlineLevel="0" collapsed="false">
      <c r="A525" s="30" t="n">
        <v>9</v>
      </c>
      <c r="B525" s="31" t="n">
        <v>2</v>
      </c>
      <c r="C525" s="31" t="n">
        <v>6</v>
      </c>
      <c r="D525" s="33" t="n">
        <v>0.333333333333333</v>
      </c>
      <c r="E525" s="33" t="n">
        <v>0.0277777777777778</v>
      </c>
      <c r="F525" s="32" t="s">
        <v>284</v>
      </c>
      <c r="G525" s="32" t="n">
        <v>0</v>
      </c>
    </row>
    <row r="526" customFormat="false" ht="15" hidden="false" customHeight="true" outlineLevel="0" collapsed="false">
      <c r="A526" s="30" t="n">
        <v>10</v>
      </c>
      <c r="B526" s="31" t="n">
        <v>2</v>
      </c>
      <c r="C526" s="31" t="n">
        <v>4.5</v>
      </c>
      <c r="D526" s="33" t="n">
        <v>1</v>
      </c>
      <c r="E526" s="33" t="n">
        <v>0.0277777777777778</v>
      </c>
      <c r="F526" s="32" t="s">
        <v>284</v>
      </c>
      <c r="G526" s="32" t="n">
        <v>0</v>
      </c>
    </row>
    <row r="527" customFormat="false" ht="15" hidden="false" customHeight="true" outlineLevel="0" collapsed="false">
      <c r="A527" s="30" t="n">
        <v>11</v>
      </c>
      <c r="B527" s="31" t="n">
        <v>2</v>
      </c>
      <c r="C527" s="31" t="n">
        <v>3</v>
      </c>
      <c r="D527" s="33" t="n">
        <v>1</v>
      </c>
      <c r="E527" s="33" t="n">
        <v>0.0277777777777778</v>
      </c>
      <c r="F527" s="32" t="s">
        <v>284</v>
      </c>
      <c r="G527" s="32" t="n">
        <v>0</v>
      </c>
    </row>
    <row r="528" customFormat="false" ht="15" hidden="false" customHeight="true" outlineLevel="0" collapsed="false">
      <c r="A528" s="34" t="s">
        <v>285</v>
      </c>
      <c r="B528" s="35" t="n">
        <v>0.699029126213592</v>
      </c>
    </row>
    <row r="529" customFormat="false" ht="15" hidden="false" customHeight="true" outlineLevel="0" collapsed="false">
      <c r="A529" s="34" t="s">
        <v>286</v>
      </c>
      <c r="B529" s="36" t="n">
        <v>20.458</v>
      </c>
    </row>
    <row r="530" customFormat="false" ht="15" hidden="false" customHeight="true" outlineLevel="0" collapsed="false">
      <c r="A530" s="34" t="s">
        <v>287</v>
      </c>
      <c r="B530" s="36" t="n">
        <v>24.343</v>
      </c>
    </row>
    <row r="531" customFormat="false" ht="15" hidden="false" customHeight="true" outlineLevel="0" collapsed="false">
      <c r="A531" s="34" t="s">
        <v>288</v>
      </c>
      <c r="B531" s="36" t="n">
        <v>33</v>
      </c>
    </row>
    <row r="532" customFormat="false" ht="15" hidden="false" customHeight="true" outlineLevel="0" collapsed="false">
      <c r="A532" s="34" t="s">
        <v>289</v>
      </c>
      <c r="B532" s="35" t="n">
        <v>0.840424491392801</v>
      </c>
    </row>
    <row r="533" customFormat="false" ht="15" hidden="false" customHeight="true" outlineLevel="0" collapsed="false">
      <c r="A533" s="34" t="s">
        <v>260</v>
      </c>
      <c r="B533" s="35" t="n">
        <v>0.587481197866813</v>
      </c>
    </row>
    <row r="534" customFormat="false" ht="15" hidden="false" customHeight="true" outlineLevel="0" collapsed="false">
      <c r="A534" s="34" t="s">
        <v>290</v>
      </c>
      <c r="B534" s="36" t="n">
        <v>7</v>
      </c>
    </row>
    <row r="536" customFormat="false" ht="15" hidden="false" customHeight="true" outlineLevel="0" collapsed="false">
      <c r="A536" s="28" t="s">
        <v>318</v>
      </c>
      <c r="B536" s="28"/>
      <c r="C536" s="28"/>
      <c r="D536" s="28"/>
      <c r="E536" s="28"/>
      <c r="F536" s="28"/>
      <c r="G536" s="28"/>
    </row>
    <row r="537" customFormat="false" ht="15" hidden="false" customHeight="true" outlineLevel="0" collapsed="false">
      <c r="A537" s="12" t="s">
        <v>275</v>
      </c>
      <c r="B537" s="12" t="s">
        <v>276</v>
      </c>
      <c r="C537" s="12" t="s">
        <v>277</v>
      </c>
      <c r="D537" s="12" t="s">
        <v>278</v>
      </c>
      <c r="E537" s="12" t="s">
        <v>279</v>
      </c>
      <c r="F537" s="12" t="s">
        <v>280</v>
      </c>
      <c r="G537" s="12" t="s">
        <v>281</v>
      </c>
    </row>
    <row r="538" customFormat="false" ht="15" hidden="false" customHeight="true" outlineLevel="0" collapsed="false">
      <c r="A538" s="30" t="n">
        <v>1</v>
      </c>
      <c r="B538" s="31" t="n">
        <v>91</v>
      </c>
      <c r="C538" s="31" t="n">
        <v>4.42</v>
      </c>
      <c r="D538" s="32" t="s">
        <v>282</v>
      </c>
      <c r="E538" s="33" t="n">
        <v>1.68518518518519</v>
      </c>
      <c r="F538" s="32" t="s">
        <v>282</v>
      </c>
      <c r="G538" s="32" t="n">
        <v>0</v>
      </c>
    </row>
    <row r="539" customFormat="false" ht="15" hidden="false" customHeight="true" outlineLevel="0" collapsed="false">
      <c r="A539" s="30" t="n">
        <v>2</v>
      </c>
      <c r="B539" s="31" t="n">
        <v>61</v>
      </c>
      <c r="C539" s="31" t="n">
        <v>4.48</v>
      </c>
      <c r="D539" s="33" t="n">
        <v>0.67032967032967</v>
      </c>
      <c r="E539" s="33" t="n">
        <v>1.12962962962963</v>
      </c>
      <c r="F539" s="32" t="s">
        <v>282</v>
      </c>
      <c r="G539" s="32" t="n">
        <v>0</v>
      </c>
    </row>
    <row r="540" customFormat="false" ht="15" hidden="false" customHeight="true" outlineLevel="0" collapsed="false">
      <c r="A540" s="30" t="n">
        <v>3</v>
      </c>
      <c r="B540" s="31" t="n">
        <v>54</v>
      </c>
      <c r="C540" s="31" t="n">
        <v>4.72</v>
      </c>
      <c r="D540" s="33" t="n">
        <v>0.885245901639344</v>
      </c>
      <c r="E540" s="33" t="n">
        <v>1</v>
      </c>
      <c r="F540" s="32" t="s">
        <v>283</v>
      </c>
      <c r="G540" s="32" t="n">
        <v>4.722</v>
      </c>
    </row>
    <row r="541" customFormat="false" ht="15" hidden="false" customHeight="true" outlineLevel="0" collapsed="false">
      <c r="A541" s="30" t="n">
        <v>4</v>
      </c>
      <c r="B541" s="31" t="n">
        <v>54</v>
      </c>
      <c r="C541" s="31" t="n">
        <v>5.11</v>
      </c>
      <c r="D541" s="33" t="n">
        <v>1</v>
      </c>
      <c r="E541" s="33" t="n">
        <v>1</v>
      </c>
      <c r="F541" s="32" t="s">
        <v>283</v>
      </c>
      <c r="G541" s="32" t="n">
        <v>5.111</v>
      </c>
    </row>
    <row r="542" customFormat="false" ht="15" hidden="false" customHeight="true" outlineLevel="0" collapsed="false">
      <c r="A542" s="30" t="n">
        <v>5</v>
      </c>
      <c r="B542" s="31" t="n">
        <v>51</v>
      </c>
      <c r="C542" s="31" t="n">
        <v>5.35</v>
      </c>
      <c r="D542" s="33" t="n">
        <v>0.944444444444444</v>
      </c>
      <c r="E542" s="33" t="n">
        <v>0.944444444444444</v>
      </c>
      <c r="F542" s="32" t="s">
        <v>283</v>
      </c>
      <c r="G542" s="32" t="n">
        <v>5.056</v>
      </c>
    </row>
    <row r="543" customFormat="false" ht="15" hidden="false" customHeight="true" outlineLevel="0" collapsed="false">
      <c r="A543" s="30" t="n">
        <v>6</v>
      </c>
      <c r="B543" s="31" t="n">
        <v>25</v>
      </c>
      <c r="C543" s="31" t="n">
        <v>4.56</v>
      </c>
      <c r="D543" s="33" t="n">
        <v>0.490196078431373</v>
      </c>
      <c r="E543" s="33" t="n">
        <v>0.462962962962963</v>
      </c>
      <c r="F543" s="32" t="s">
        <v>283</v>
      </c>
      <c r="G543" s="32" t="n">
        <v>2.111</v>
      </c>
    </row>
    <row r="544" customFormat="false" ht="15" hidden="false" customHeight="true" outlineLevel="0" collapsed="false">
      <c r="A544" s="30" t="n">
        <v>7</v>
      </c>
      <c r="B544" s="31" t="n">
        <v>16</v>
      </c>
      <c r="C544" s="31" t="n">
        <v>4.88</v>
      </c>
      <c r="D544" s="33" t="n">
        <v>0.64</v>
      </c>
      <c r="E544" s="33" t="n">
        <v>0.296296296296296</v>
      </c>
      <c r="F544" s="32" t="s">
        <v>283</v>
      </c>
      <c r="G544" s="32" t="n">
        <v>1.444</v>
      </c>
    </row>
    <row r="545" customFormat="false" ht="15" hidden="false" customHeight="true" outlineLevel="0" collapsed="false">
      <c r="A545" s="30" t="n">
        <v>8</v>
      </c>
      <c r="B545" s="31" t="n">
        <v>10</v>
      </c>
      <c r="C545" s="31" t="n">
        <v>4.5</v>
      </c>
      <c r="D545" s="33" t="n">
        <v>0.625</v>
      </c>
      <c r="E545" s="33" t="n">
        <v>0.185185185185185</v>
      </c>
      <c r="F545" s="32" t="s">
        <v>284</v>
      </c>
      <c r="G545" s="32" t="n">
        <v>0</v>
      </c>
    </row>
    <row r="546" customFormat="false" ht="15" hidden="false" customHeight="true" outlineLevel="0" collapsed="false">
      <c r="A546" s="30" t="n">
        <v>9</v>
      </c>
      <c r="B546" s="31" t="n">
        <v>8</v>
      </c>
      <c r="C546" s="31" t="n">
        <v>4.12</v>
      </c>
      <c r="D546" s="33" t="n">
        <v>0.8</v>
      </c>
      <c r="E546" s="33" t="n">
        <v>0.148148148148148</v>
      </c>
      <c r="F546" s="32" t="s">
        <v>284</v>
      </c>
      <c r="G546" s="32" t="n">
        <v>0</v>
      </c>
    </row>
    <row r="547" customFormat="false" ht="15" hidden="false" customHeight="true" outlineLevel="0" collapsed="false">
      <c r="A547" s="30" t="n">
        <v>10</v>
      </c>
      <c r="B547" s="31" t="n">
        <v>4</v>
      </c>
      <c r="C547" s="31" t="n">
        <v>3</v>
      </c>
      <c r="D547" s="33" t="n">
        <v>0.5</v>
      </c>
      <c r="E547" s="33" t="n">
        <v>0.0740740740740741</v>
      </c>
      <c r="F547" s="32" t="s">
        <v>284</v>
      </c>
      <c r="G547" s="32" t="n">
        <v>0</v>
      </c>
    </row>
    <row r="548" customFormat="false" ht="15" hidden="false" customHeight="true" outlineLevel="0" collapsed="false">
      <c r="A548" s="30" t="n">
        <v>11</v>
      </c>
      <c r="B548" s="31" t="n">
        <v>3</v>
      </c>
      <c r="C548" s="31" t="n">
        <v>3</v>
      </c>
      <c r="D548" s="33" t="n">
        <v>0.75</v>
      </c>
      <c r="E548" s="33" t="n">
        <v>0.0555555555555556</v>
      </c>
      <c r="F548" s="32" t="s">
        <v>284</v>
      </c>
      <c r="G548" s="32" t="n">
        <v>0</v>
      </c>
    </row>
    <row r="549" customFormat="false" ht="15" hidden="false" customHeight="true" outlineLevel="0" collapsed="false">
      <c r="A549" s="30" t="n">
        <v>12</v>
      </c>
      <c r="B549" s="31" t="n">
        <v>0</v>
      </c>
      <c r="C549" s="31" t="n">
        <v>0</v>
      </c>
      <c r="D549" s="33" t="n">
        <v>0</v>
      </c>
      <c r="E549" s="33" t="n">
        <v>0</v>
      </c>
      <c r="F549" s="32" t="s">
        <v>284</v>
      </c>
      <c r="G549" s="32" t="n">
        <v>0</v>
      </c>
    </row>
    <row r="550" customFormat="false" ht="15" hidden="false" customHeight="true" outlineLevel="0" collapsed="false">
      <c r="A550" s="30" t="n">
        <v>13</v>
      </c>
      <c r="B550" s="31" t="n">
        <v>1</v>
      </c>
      <c r="C550" s="31" t="n">
        <v>6</v>
      </c>
      <c r="D550" s="32" t="s">
        <v>282</v>
      </c>
      <c r="E550" s="33" t="n">
        <v>0.0185185185185185</v>
      </c>
      <c r="F550" s="32" t="s">
        <v>284</v>
      </c>
      <c r="G550" s="32" t="n">
        <v>0</v>
      </c>
    </row>
    <row r="551" customFormat="false" ht="15" hidden="false" customHeight="true" outlineLevel="0" collapsed="false">
      <c r="A551" s="30" t="n">
        <v>14</v>
      </c>
      <c r="B551" s="31" t="n">
        <v>1</v>
      </c>
      <c r="C551" s="31" t="n">
        <v>3</v>
      </c>
      <c r="D551" s="33" t="n">
        <v>1</v>
      </c>
      <c r="E551" s="33" t="n">
        <v>0.0185185185185185</v>
      </c>
      <c r="F551" s="32" t="s">
        <v>284</v>
      </c>
      <c r="G551" s="32" t="n">
        <v>0</v>
      </c>
    </row>
    <row r="552" customFormat="false" ht="15" hidden="false" customHeight="true" outlineLevel="0" collapsed="false">
      <c r="A552" s="34" t="s">
        <v>285</v>
      </c>
      <c r="B552" s="35" t="n">
        <v>0.593406593406593</v>
      </c>
    </row>
    <row r="553" customFormat="false" ht="15" hidden="false" customHeight="true" outlineLevel="0" collapsed="false">
      <c r="A553" s="34" t="s">
        <v>286</v>
      </c>
      <c r="B553" s="36" t="n">
        <v>18.444</v>
      </c>
    </row>
    <row r="554" customFormat="false" ht="15" hidden="false" customHeight="true" outlineLevel="0" collapsed="false">
      <c r="A554" s="34" t="s">
        <v>287</v>
      </c>
      <c r="B554" s="36" t="n">
        <v>24.621</v>
      </c>
    </row>
    <row r="555" customFormat="false" ht="15" hidden="false" customHeight="true" outlineLevel="0" collapsed="false">
      <c r="A555" s="34" t="s">
        <v>288</v>
      </c>
      <c r="B555" s="36" t="n">
        <v>30</v>
      </c>
    </row>
    <row r="556" customFormat="false" ht="15" hidden="false" customHeight="true" outlineLevel="0" collapsed="false">
      <c r="A556" s="34" t="s">
        <v>289</v>
      </c>
      <c r="B556" s="35" t="n">
        <v>0.7491263068896</v>
      </c>
    </row>
    <row r="557" customFormat="false" ht="15" hidden="false" customHeight="true" outlineLevel="0" collapsed="false">
      <c r="A557" s="34" t="s">
        <v>260</v>
      </c>
      <c r="B557" s="35" t="n">
        <v>0.44453648980262</v>
      </c>
    </row>
    <row r="558" customFormat="false" ht="15" hidden="false" customHeight="true" outlineLevel="0" collapsed="false">
      <c r="A558" s="34" t="s">
        <v>290</v>
      </c>
      <c r="B558" s="36" t="n">
        <v>8</v>
      </c>
    </row>
    <row r="560" customFormat="false" ht="15" hidden="false" customHeight="true" outlineLevel="0" collapsed="false">
      <c r="A560" s="28" t="s">
        <v>319</v>
      </c>
      <c r="B560" s="28"/>
      <c r="C560" s="28"/>
      <c r="D560" s="28"/>
      <c r="E560" s="28"/>
      <c r="F560" s="28"/>
      <c r="G560" s="28"/>
    </row>
    <row r="561" customFormat="false" ht="15" hidden="false" customHeight="true" outlineLevel="0" collapsed="false">
      <c r="A561" s="12" t="s">
        <v>275</v>
      </c>
      <c r="B561" s="12" t="s">
        <v>276</v>
      </c>
      <c r="C561" s="12" t="s">
        <v>277</v>
      </c>
      <c r="D561" s="12" t="s">
        <v>278</v>
      </c>
      <c r="E561" s="12" t="s">
        <v>279</v>
      </c>
      <c r="F561" s="12" t="s">
        <v>280</v>
      </c>
      <c r="G561" s="12" t="s">
        <v>281</v>
      </c>
    </row>
    <row r="562" customFormat="false" ht="15" hidden="false" customHeight="true" outlineLevel="0" collapsed="false">
      <c r="A562" s="30" t="n">
        <v>1</v>
      </c>
      <c r="B562" s="31" t="n">
        <v>82</v>
      </c>
      <c r="C562" s="31" t="n">
        <v>5.16</v>
      </c>
      <c r="D562" s="32" t="s">
        <v>282</v>
      </c>
      <c r="E562" s="33" t="n">
        <v>1.51851851851852</v>
      </c>
      <c r="F562" s="32" t="s">
        <v>282</v>
      </c>
      <c r="G562" s="32" t="n">
        <v>0</v>
      </c>
    </row>
    <row r="563" customFormat="false" ht="15" hidden="false" customHeight="true" outlineLevel="0" collapsed="false">
      <c r="A563" s="30" t="n">
        <v>2</v>
      </c>
      <c r="B563" s="31" t="n">
        <v>64</v>
      </c>
      <c r="C563" s="31" t="n">
        <v>5.48</v>
      </c>
      <c r="D563" s="33" t="n">
        <v>0.780487804878049</v>
      </c>
      <c r="E563" s="33" t="n">
        <v>1.18518518518519</v>
      </c>
      <c r="F563" s="32" t="s">
        <v>282</v>
      </c>
      <c r="G563" s="32" t="n">
        <v>0</v>
      </c>
    </row>
    <row r="564" customFormat="false" ht="15" hidden="false" customHeight="true" outlineLevel="0" collapsed="false">
      <c r="A564" s="30" t="n">
        <v>3</v>
      </c>
      <c r="B564" s="31" t="n">
        <v>54</v>
      </c>
      <c r="C564" s="31" t="n">
        <v>5.17</v>
      </c>
      <c r="D564" s="33" t="n">
        <v>0.84375</v>
      </c>
      <c r="E564" s="33" t="n">
        <v>1</v>
      </c>
      <c r="F564" s="32" t="s">
        <v>283</v>
      </c>
      <c r="G564" s="32" t="n">
        <v>5.167</v>
      </c>
    </row>
    <row r="565" customFormat="false" ht="15" hidden="false" customHeight="true" outlineLevel="0" collapsed="false">
      <c r="A565" s="30" t="n">
        <v>4</v>
      </c>
      <c r="B565" s="31" t="n">
        <v>59</v>
      </c>
      <c r="C565" s="31" t="n">
        <v>5.08</v>
      </c>
      <c r="D565" s="33" t="n">
        <v>1.09259259259259</v>
      </c>
      <c r="E565" s="33" t="n">
        <v>1.09259259259259</v>
      </c>
      <c r="F565" s="32" t="s">
        <v>283</v>
      </c>
      <c r="G565" s="32" t="n">
        <v>5.556</v>
      </c>
    </row>
    <row r="566" customFormat="false" ht="15" hidden="false" customHeight="true" outlineLevel="0" collapsed="false">
      <c r="A566" s="30" t="n">
        <v>5</v>
      </c>
      <c r="B566" s="31" t="n">
        <v>52</v>
      </c>
      <c r="C566" s="31" t="n">
        <v>5.37</v>
      </c>
      <c r="D566" s="33" t="n">
        <v>0.88135593220339</v>
      </c>
      <c r="E566" s="33" t="n">
        <v>0.962962962962963</v>
      </c>
      <c r="F566" s="32" t="s">
        <v>283</v>
      </c>
      <c r="G566" s="32" t="n">
        <v>5.167</v>
      </c>
    </row>
    <row r="567" customFormat="false" ht="15" hidden="false" customHeight="true" outlineLevel="0" collapsed="false">
      <c r="A567" s="30" t="n">
        <v>6</v>
      </c>
      <c r="B567" s="31" t="n">
        <v>30</v>
      </c>
      <c r="C567" s="31" t="n">
        <v>4.67</v>
      </c>
      <c r="D567" s="33" t="n">
        <v>0.576923076923077</v>
      </c>
      <c r="E567" s="33" t="n">
        <v>0.555555555555556</v>
      </c>
      <c r="F567" s="32" t="s">
        <v>283</v>
      </c>
      <c r="G567" s="32" t="n">
        <v>2.593</v>
      </c>
    </row>
    <row r="568" customFormat="false" ht="15" hidden="false" customHeight="true" outlineLevel="0" collapsed="false">
      <c r="A568" s="30" t="n">
        <v>7</v>
      </c>
      <c r="B568" s="31" t="n">
        <v>13</v>
      </c>
      <c r="C568" s="31" t="n">
        <v>3.85</v>
      </c>
      <c r="D568" s="33" t="n">
        <v>0.433333333333333</v>
      </c>
      <c r="E568" s="33" t="n">
        <v>0.240740740740741</v>
      </c>
      <c r="F568" s="32" t="s">
        <v>283</v>
      </c>
      <c r="G568" s="32" t="n">
        <v>0.926</v>
      </c>
    </row>
    <row r="569" customFormat="false" ht="15" hidden="false" customHeight="true" outlineLevel="0" collapsed="false">
      <c r="A569" s="30" t="n">
        <v>8</v>
      </c>
      <c r="B569" s="31" t="n">
        <v>8</v>
      </c>
      <c r="C569" s="31" t="n">
        <v>3.38</v>
      </c>
      <c r="D569" s="33" t="n">
        <v>0.615384615384615</v>
      </c>
      <c r="E569" s="33" t="n">
        <v>0.148148148148148</v>
      </c>
      <c r="F569" s="32" t="s">
        <v>284</v>
      </c>
      <c r="G569" s="32" t="n">
        <v>0</v>
      </c>
    </row>
    <row r="570" customFormat="false" ht="15" hidden="false" customHeight="true" outlineLevel="0" collapsed="false">
      <c r="A570" s="30" t="n">
        <v>9</v>
      </c>
      <c r="B570" s="31" t="n">
        <v>7</v>
      </c>
      <c r="C570" s="31" t="n">
        <v>3.14</v>
      </c>
      <c r="D570" s="33" t="n">
        <v>0.875</v>
      </c>
      <c r="E570" s="33" t="n">
        <v>0.12962962962963</v>
      </c>
      <c r="F570" s="32" t="s">
        <v>284</v>
      </c>
      <c r="G570" s="32" t="n">
        <v>0</v>
      </c>
    </row>
    <row r="571" customFormat="false" ht="15" hidden="false" customHeight="true" outlineLevel="0" collapsed="false">
      <c r="A571" s="30" t="n">
        <v>10</v>
      </c>
      <c r="B571" s="31" t="n">
        <v>5</v>
      </c>
      <c r="C571" s="31" t="n">
        <v>3</v>
      </c>
      <c r="D571" s="33" t="n">
        <v>0.714285714285714</v>
      </c>
      <c r="E571" s="33" t="n">
        <v>0.0925925925925926</v>
      </c>
      <c r="F571" s="32" t="s">
        <v>284</v>
      </c>
      <c r="G571" s="32" t="n">
        <v>0</v>
      </c>
    </row>
    <row r="572" customFormat="false" ht="15" hidden="false" customHeight="true" outlineLevel="0" collapsed="false">
      <c r="A572" s="30" t="n">
        <v>11</v>
      </c>
      <c r="B572" s="31" t="n">
        <v>3</v>
      </c>
      <c r="C572" s="31" t="n">
        <v>5</v>
      </c>
      <c r="D572" s="33" t="n">
        <v>0.6</v>
      </c>
      <c r="E572" s="33" t="n">
        <v>0.0555555555555556</v>
      </c>
      <c r="F572" s="32" t="s">
        <v>284</v>
      </c>
      <c r="G572" s="32" t="n">
        <v>0</v>
      </c>
    </row>
    <row r="573" customFormat="false" ht="15" hidden="false" customHeight="true" outlineLevel="0" collapsed="false">
      <c r="A573" s="30" t="n">
        <v>12</v>
      </c>
      <c r="B573" s="31" t="n">
        <v>2</v>
      </c>
      <c r="C573" s="31" t="n">
        <v>3</v>
      </c>
      <c r="D573" s="33" t="n">
        <v>0.666666666666667</v>
      </c>
      <c r="E573" s="33" t="n">
        <v>0.037037037037037</v>
      </c>
      <c r="F573" s="32" t="s">
        <v>284</v>
      </c>
      <c r="G573" s="32" t="n">
        <v>0</v>
      </c>
    </row>
    <row r="574" customFormat="false" ht="15" hidden="false" customHeight="true" outlineLevel="0" collapsed="false">
      <c r="A574" s="30" t="n">
        <v>13</v>
      </c>
      <c r="B574" s="31" t="n">
        <v>1</v>
      </c>
      <c r="C574" s="31" t="n">
        <v>6</v>
      </c>
      <c r="D574" s="33" t="n">
        <v>0.5</v>
      </c>
      <c r="E574" s="33" t="n">
        <v>0.0185185185185185</v>
      </c>
      <c r="F574" s="32" t="s">
        <v>284</v>
      </c>
      <c r="G574" s="32" t="n">
        <v>0</v>
      </c>
    </row>
    <row r="575" customFormat="false" ht="15" hidden="false" customHeight="true" outlineLevel="0" collapsed="false">
      <c r="A575" s="34" t="s">
        <v>285</v>
      </c>
      <c r="B575" s="35" t="n">
        <v>0.658536585365854</v>
      </c>
    </row>
    <row r="576" customFormat="false" ht="15" hidden="false" customHeight="true" outlineLevel="0" collapsed="false">
      <c r="A576" s="34" t="s">
        <v>286</v>
      </c>
      <c r="B576" s="36" t="n">
        <v>19.407</v>
      </c>
    </row>
    <row r="577" customFormat="false" ht="15" hidden="false" customHeight="true" outlineLevel="0" collapsed="false">
      <c r="A577" s="34" t="s">
        <v>287</v>
      </c>
      <c r="B577" s="36" t="n">
        <v>24.13</v>
      </c>
    </row>
    <row r="578" customFormat="false" ht="15" hidden="false" customHeight="true" outlineLevel="0" collapsed="false">
      <c r="A578" s="34" t="s">
        <v>288</v>
      </c>
      <c r="B578" s="36" t="n">
        <v>30</v>
      </c>
    </row>
    <row r="579" customFormat="false" ht="15" hidden="false" customHeight="true" outlineLevel="0" collapsed="false">
      <c r="A579" s="34" t="s">
        <v>289</v>
      </c>
      <c r="B579" s="35" t="n">
        <v>0.804298176756966</v>
      </c>
    </row>
    <row r="580" customFormat="false" ht="15" hidden="false" customHeight="true" outlineLevel="0" collapsed="false">
      <c r="A580" s="34" t="s">
        <v>260</v>
      </c>
      <c r="B580" s="35" t="n">
        <v>0.529659774937514</v>
      </c>
    </row>
    <row r="581" customFormat="false" ht="15" hidden="false" customHeight="true" outlineLevel="0" collapsed="false">
      <c r="A581" s="34" t="s">
        <v>290</v>
      </c>
      <c r="B581" s="36" t="n">
        <v>8</v>
      </c>
    </row>
    <row r="583" customFormat="false" ht="15" hidden="false" customHeight="true" outlineLevel="0" collapsed="false">
      <c r="A583" s="28" t="s">
        <v>320</v>
      </c>
      <c r="B583" s="28"/>
      <c r="C583" s="28"/>
      <c r="D583" s="28"/>
      <c r="E583" s="28"/>
      <c r="F583" s="28"/>
      <c r="G583" s="28"/>
    </row>
    <row r="584" customFormat="false" ht="15" hidden="false" customHeight="true" outlineLevel="0" collapsed="false">
      <c r="A584" s="12" t="s">
        <v>275</v>
      </c>
      <c r="B584" s="12" t="s">
        <v>276</v>
      </c>
      <c r="C584" s="12" t="s">
        <v>277</v>
      </c>
      <c r="D584" s="12" t="s">
        <v>278</v>
      </c>
      <c r="E584" s="12" t="s">
        <v>279</v>
      </c>
      <c r="F584" s="12" t="s">
        <v>280</v>
      </c>
      <c r="G584" s="12" t="s">
        <v>281</v>
      </c>
    </row>
    <row r="585" customFormat="false" ht="15" hidden="false" customHeight="true" outlineLevel="0" collapsed="false">
      <c r="A585" s="30" t="n">
        <v>1</v>
      </c>
      <c r="B585" s="31" t="n">
        <v>88</v>
      </c>
      <c r="C585" s="31" t="n">
        <v>7.59</v>
      </c>
      <c r="D585" s="32" t="s">
        <v>282</v>
      </c>
      <c r="E585" s="33" t="n">
        <v>1.22222222222222</v>
      </c>
      <c r="F585" s="32" t="s">
        <v>282</v>
      </c>
      <c r="G585" s="32" t="n">
        <v>0</v>
      </c>
    </row>
    <row r="586" customFormat="false" ht="15" hidden="false" customHeight="true" outlineLevel="0" collapsed="false">
      <c r="A586" s="30" t="n">
        <v>2</v>
      </c>
      <c r="B586" s="31" t="n">
        <v>78</v>
      </c>
      <c r="C586" s="31" t="n">
        <v>7.36</v>
      </c>
      <c r="D586" s="33" t="n">
        <v>0.886363636363636</v>
      </c>
      <c r="E586" s="33" t="n">
        <v>1.08333333333333</v>
      </c>
      <c r="F586" s="32" t="s">
        <v>282</v>
      </c>
      <c r="G586" s="32" t="n">
        <v>0</v>
      </c>
    </row>
    <row r="587" customFormat="false" ht="15" hidden="false" customHeight="true" outlineLevel="0" collapsed="false">
      <c r="A587" s="30" t="n">
        <v>3</v>
      </c>
      <c r="B587" s="31" t="n">
        <v>72</v>
      </c>
      <c r="C587" s="31" t="n">
        <v>7.56</v>
      </c>
      <c r="D587" s="33" t="n">
        <v>0.923076923076923</v>
      </c>
      <c r="E587" s="33" t="n">
        <v>1</v>
      </c>
      <c r="F587" s="32" t="s">
        <v>283</v>
      </c>
      <c r="G587" s="32" t="n">
        <v>7.556</v>
      </c>
    </row>
    <row r="588" customFormat="false" ht="15" hidden="false" customHeight="true" outlineLevel="0" collapsed="false">
      <c r="A588" s="30" t="n">
        <v>4</v>
      </c>
      <c r="B588" s="31" t="n">
        <v>71</v>
      </c>
      <c r="C588" s="31" t="n">
        <v>7.55</v>
      </c>
      <c r="D588" s="33" t="n">
        <v>0.986111111111111</v>
      </c>
      <c r="E588" s="33" t="n">
        <v>0.986111111111111</v>
      </c>
      <c r="F588" s="32" t="s">
        <v>283</v>
      </c>
      <c r="G588" s="32" t="n">
        <v>7.444</v>
      </c>
    </row>
    <row r="589" customFormat="false" ht="15" hidden="false" customHeight="true" outlineLevel="0" collapsed="false">
      <c r="A589" s="30" t="n">
        <v>5</v>
      </c>
      <c r="B589" s="31" t="n">
        <v>10</v>
      </c>
      <c r="C589" s="31" t="n">
        <v>5.4</v>
      </c>
      <c r="D589" s="33" t="n">
        <v>0.140845070422535</v>
      </c>
      <c r="E589" s="33" t="n">
        <v>0.138888888888889</v>
      </c>
      <c r="F589" s="32" t="s">
        <v>284</v>
      </c>
      <c r="G589" s="32" t="n">
        <v>0</v>
      </c>
    </row>
    <row r="590" customFormat="false" ht="15" hidden="false" customHeight="true" outlineLevel="0" collapsed="false">
      <c r="A590" s="30" t="n">
        <v>6</v>
      </c>
      <c r="B590" s="31" t="n">
        <v>8</v>
      </c>
      <c r="C590" s="31" t="n">
        <v>4</v>
      </c>
      <c r="D590" s="33" t="n">
        <v>0.8</v>
      </c>
      <c r="E590" s="33" t="n">
        <v>0.111111111111111</v>
      </c>
      <c r="F590" s="32" t="s">
        <v>284</v>
      </c>
      <c r="G590" s="32" t="n">
        <v>0</v>
      </c>
    </row>
    <row r="591" customFormat="false" ht="15" hidden="false" customHeight="true" outlineLevel="0" collapsed="false">
      <c r="A591" s="30" t="n">
        <v>7</v>
      </c>
      <c r="B591" s="31" t="n">
        <v>4</v>
      </c>
      <c r="C591" s="31" t="n">
        <v>5.5</v>
      </c>
      <c r="D591" s="33" t="n">
        <v>0.5</v>
      </c>
      <c r="E591" s="33" t="n">
        <v>0.0555555555555556</v>
      </c>
      <c r="F591" s="32" t="s">
        <v>284</v>
      </c>
      <c r="G591" s="32" t="n">
        <v>0</v>
      </c>
    </row>
    <row r="592" customFormat="false" ht="15" hidden="false" customHeight="true" outlineLevel="0" collapsed="false">
      <c r="A592" s="30" t="n">
        <v>8</v>
      </c>
      <c r="B592" s="31" t="n">
        <v>0</v>
      </c>
      <c r="C592" s="31" t="n">
        <v>0</v>
      </c>
      <c r="D592" s="33" t="n">
        <v>0</v>
      </c>
      <c r="E592" s="33" t="n">
        <v>0</v>
      </c>
      <c r="F592" s="32" t="s">
        <v>284</v>
      </c>
      <c r="G592" s="32" t="n">
        <v>0</v>
      </c>
    </row>
    <row r="593" customFormat="false" ht="15" hidden="false" customHeight="true" outlineLevel="0" collapsed="false">
      <c r="A593" s="30" t="n">
        <v>9</v>
      </c>
      <c r="B593" s="31" t="n">
        <v>1</v>
      </c>
      <c r="C593" s="31" t="n">
        <v>6</v>
      </c>
      <c r="D593" s="32" t="s">
        <v>282</v>
      </c>
      <c r="E593" s="33" t="n">
        <v>0.0138888888888889</v>
      </c>
      <c r="F593" s="32" t="s">
        <v>284</v>
      </c>
      <c r="G593" s="32" t="n">
        <v>0</v>
      </c>
    </row>
    <row r="594" customFormat="false" ht="15" hidden="false" customHeight="true" outlineLevel="0" collapsed="false">
      <c r="A594" s="30" t="n">
        <v>10</v>
      </c>
      <c r="B594" s="31" t="n">
        <v>1</v>
      </c>
      <c r="C594" s="31" t="n">
        <v>2</v>
      </c>
      <c r="D594" s="33" t="n">
        <v>1</v>
      </c>
      <c r="E594" s="33" t="n">
        <v>0.0138888888888889</v>
      </c>
      <c r="F594" s="32" t="s">
        <v>284</v>
      </c>
      <c r="G594" s="32" t="n">
        <v>0</v>
      </c>
    </row>
    <row r="595" customFormat="false" ht="15" hidden="false" customHeight="true" outlineLevel="0" collapsed="false">
      <c r="A595" s="34" t="s">
        <v>285</v>
      </c>
      <c r="B595" s="35" t="n">
        <v>0.818181818181818</v>
      </c>
    </row>
    <row r="596" customFormat="false" ht="15" hidden="false" customHeight="true" outlineLevel="0" collapsed="false">
      <c r="A596" s="34" t="s">
        <v>286</v>
      </c>
      <c r="B596" s="36" t="n">
        <v>15</v>
      </c>
    </row>
    <row r="597" customFormat="false" ht="15" hidden="false" customHeight="true" outlineLevel="0" collapsed="false">
      <c r="A597" s="34" t="s">
        <v>287</v>
      </c>
      <c r="B597" s="36" t="n">
        <v>15.105</v>
      </c>
    </row>
    <row r="598" customFormat="false" ht="15" hidden="false" customHeight="true" outlineLevel="0" collapsed="false">
      <c r="A598" s="34" t="s">
        <v>288</v>
      </c>
      <c r="B598" s="36" t="n">
        <v>32</v>
      </c>
    </row>
    <row r="599" customFormat="false" ht="15" hidden="false" customHeight="true" outlineLevel="0" collapsed="false">
      <c r="A599" s="34" t="s">
        <v>289</v>
      </c>
      <c r="B599" s="35" t="n">
        <v>0.993058433485288</v>
      </c>
    </row>
    <row r="600" customFormat="false" ht="15" hidden="false" customHeight="true" outlineLevel="0" collapsed="false">
      <c r="A600" s="34" t="s">
        <v>260</v>
      </c>
      <c r="B600" s="35" t="n">
        <v>0.812502354669781</v>
      </c>
    </row>
    <row r="601" customFormat="false" ht="15" hidden="false" customHeight="true" outlineLevel="0" collapsed="false">
      <c r="A601" s="34" t="s">
        <v>290</v>
      </c>
      <c r="B601" s="36" t="n">
        <v>5</v>
      </c>
    </row>
    <row r="603" customFormat="false" ht="15" hidden="false" customHeight="true" outlineLevel="0" collapsed="false">
      <c r="A603" s="28" t="s">
        <v>321</v>
      </c>
      <c r="B603" s="28"/>
      <c r="C603" s="28"/>
      <c r="D603" s="28"/>
      <c r="E603" s="28"/>
      <c r="F603" s="28"/>
      <c r="G603" s="28"/>
    </row>
    <row r="604" customFormat="false" ht="15" hidden="false" customHeight="true" outlineLevel="0" collapsed="false">
      <c r="A604" s="12" t="s">
        <v>275</v>
      </c>
      <c r="B604" s="12" t="s">
        <v>276</v>
      </c>
      <c r="C604" s="12" t="s">
        <v>277</v>
      </c>
      <c r="D604" s="12" t="s">
        <v>278</v>
      </c>
      <c r="E604" s="12" t="s">
        <v>279</v>
      </c>
      <c r="F604" s="12" t="s">
        <v>280</v>
      </c>
      <c r="G604" s="12" t="s">
        <v>281</v>
      </c>
    </row>
    <row r="605" customFormat="false" ht="15" hidden="false" customHeight="true" outlineLevel="0" collapsed="false">
      <c r="A605" s="30" t="n">
        <v>1</v>
      </c>
      <c r="B605" s="31" t="n">
        <v>26</v>
      </c>
      <c r="C605" s="31" t="n">
        <v>4.62</v>
      </c>
      <c r="D605" s="32" t="s">
        <v>282</v>
      </c>
      <c r="E605" s="33" t="n">
        <v>1.625</v>
      </c>
      <c r="F605" s="32" t="s">
        <v>282</v>
      </c>
      <c r="G605" s="32" t="n">
        <v>0</v>
      </c>
    </row>
    <row r="606" customFormat="false" ht="15" hidden="false" customHeight="true" outlineLevel="0" collapsed="false">
      <c r="A606" s="30" t="n">
        <v>2</v>
      </c>
      <c r="B606" s="31" t="n">
        <v>18</v>
      </c>
      <c r="C606" s="31" t="n">
        <v>5</v>
      </c>
      <c r="D606" s="33" t="n">
        <v>0.692307692307692</v>
      </c>
      <c r="E606" s="33" t="n">
        <v>1.125</v>
      </c>
      <c r="F606" s="32" t="s">
        <v>282</v>
      </c>
      <c r="G606" s="32" t="n">
        <v>0</v>
      </c>
    </row>
    <row r="607" customFormat="false" ht="15" hidden="false" customHeight="true" outlineLevel="0" collapsed="false">
      <c r="A607" s="30" t="n">
        <v>3</v>
      </c>
      <c r="B607" s="31" t="n">
        <v>16</v>
      </c>
      <c r="C607" s="31" t="n">
        <v>5.44</v>
      </c>
      <c r="D607" s="33" t="n">
        <v>0.888888888888889</v>
      </c>
      <c r="E607" s="33" t="n">
        <v>1</v>
      </c>
      <c r="F607" s="32" t="s">
        <v>283</v>
      </c>
      <c r="G607" s="32" t="n">
        <v>5.438</v>
      </c>
    </row>
    <row r="608" customFormat="false" ht="15" hidden="false" customHeight="true" outlineLevel="0" collapsed="false">
      <c r="A608" s="30" t="n">
        <v>4</v>
      </c>
      <c r="B608" s="31" t="n">
        <v>14</v>
      </c>
      <c r="C608" s="31" t="n">
        <v>5.79</v>
      </c>
      <c r="D608" s="33" t="n">
        <v>0.875</v>
      </c>
      <c r="E608" s="33" t="n">
        <v>0.875</v>
      </c>
      <c r="F608" s="32" t="s">
        <v>283</v>
      </c>
      <c r="G608" s="32" t="n">
        <v>5.062</v>
      </c>
    </row>
    <row r="609" customFormat="false" ht="15" hidden="false" customHeight="true" outlineLevel="0" collapsed="false">
      <c r="A609" s="30" t="n">
        <v>5</v>
      </c>
      <c r="B609" s="31" t="n">
        <v>14</v>
      </c>
      <c r="C609" s="31" t="n">
        <v>5.79</v>
      </c>
      <c r="D609" s="33" t="n">
        <v>1</v>
      </c>
      <c r="E609" s="33" t="n">
        <v>0.875</v>
      </c>
      <c r="F609" s="32" t="s">
        <v>283</v>
      </c>
      <c r="G609" s="32" t="n">
        <v>5.062</v>
      </c>
    </row>
    <row r="610" customFormat="false" ht="15" hidden="false" customHeight="true" outlineLevel="0" collapsed="false">
      <c r="A610" s="30" t="n">
        <v>6</v>
      </c>
      <c r="B610" s="31" t="n">
        <v>1</v>
      </c>
      <c r="C610" s="31" t="n">
        <v>3</v>
      </c>
      <c r="D610" s="33" t="n">
        <v>0.0714285714285714</v>
      </c>
      <c r="E610" s="33" t="n">
        <v>0.0625</v>
      </c>
      <c r="F610" s="32" t="s">
        <v>284</v>
      </c>
      <c r="G610" s="32" t="n">
        <v>0</v>
      </c>
    </row>
    <row r="611" customFormat="false" ht="15" hidden="false" customHeight="true" outlineLevel="0" collapsed="false">
      <c r="A611" s="30" t="n">
        <v>7</v>
      </c>
      <c r="B611" s="31" t="n">
        <v>2</v>
      </c>
      <c r="C611" s="31" t="n">
        <v>3</v>
      </c>
      <c r="D611" s="33" t="n">
        <v>2</v>
      </c>
      <c r="E611" s="33" t="n">
        <v>0.125</v>
      </c>
      <c r="F611" s="32" t="s">
        <v>284</v>
      </c>
      <c r="G611" s="32" t="n">
        <v>0</v>
      </c>
    </row>
    <row r="612" customFormat="false" ht="15" hidden="false" customHeight="true" outlineLevel="0" collapsed="false">
      <c r="A612" s="30" t="n">
        <v>8</v>
      </c>
      <c r="B612" s="31" t="n">
        <v>1</v>
      </c>
      <c r="C612" s="31" t="n">
        <v>6</v>
      </c>
      <c r="D612" s="33" t="n">
        <v>0.5</v>
      </c>
      <c r="E612" s="33" t="n">
        <v>0.0625</v>
      </c>
      <c r="F612" s="32" t="s">
        <v>284</v>
      </c>
      <c r="G612" s="32" t="n">
        <v>0</v>
      </c>
    </row>
    <row r="613" customFormat="false" ht="15" hidden="false" customHeight="true" outlineLevel="0" collapsed="false">
      <c r="A613" s="34" t="s">
        <v>285</v>
      </c>
      <c r="B613" s="35" t="n">
        <v>0.615384615384615</v>
      </c>
    </row>
    <row r="614" customFormat="false" ht="15" hidden="false" customHeight="true" outlineLevel="0" collapsed="false">
      <c r="A614" s="34" t="s">
        <v>286</v>
      </c>
      <c r="B614" s="36" t="n">
        <v>15.562</v>
      </c>
    </row>
    <row r="615" customFormat="false" ht="15" hidden="false" customHeight="true" outlineLevel="0" collapsed="false">
      <c r="A615" s="34" t="s">
        <v>287</v>
      </c>
      <c r="B615" s="36" t="n">
        <v>17.009</v>
      </c>
    </row>
    <row r="616" customFormat="false" ht="15" hidden="false" customHeight="true" outlineLevel="0" collapsed="false">
      <c r="A616" s="34" t="s">
        <v>288</v>
      </c>
      <c r="B616" s="36" t="n">
        <v>30</v>
      </c>
    </row>
    <row r="617" customFormat="false" ht="15" hidden="false" customHeight="true" outlineLevel="0" collapsed="false">
      <c r="A617" s="34" t="s">
        <v>289</v>
      </c>
      <c r="B617" s="35" t="n">
        <v>0.91496062992126</v>
      </c>
    </row>
    <row r="618" customFormat="false" ht="15" hidden="false" customHeight="true" outlineLevel="0" collapsed="false">
      <c r="A618" s="34" t="s">
        <v>260</v>
      </c>
      <c r="B618" s="35" t="n">
        <v>0.56305269533616</v>
      </c>
    </row>
    <row r="619" customFormat="false" ht="15" hidden="false" customHeight="true" outlineLevel="0" collapsed="false">
      <c r="A619" s="34" t="s">
        <v>290</v>
      </c>
      <c r="B619" s="36" t="n">
        <v>6</v>
      </c>
    </row>
    <row r="621" customFormat="false" ht="15" hidden="false" customHeight="true" outlineLevel="0" collapsed="false">
      <c r="A621" s="28" t="s">
        <v>322</v>
      </c>
      <c r="B621" s="28"/>
      <c r="C621" s="28"/>
      <c r="D621" s="28"/>
      <c r="E621" s="28"/>
      <c r="F621" s="28"/>
      <c r="G621" s="28"/>
    </row>
    <row r="622" customFormat="false" ht="15" hidden="false" customHeight="true" outlineLevel="0" collapsed="false">
      <c r="A622" s="12" t="s">
        <v>275</v>
      </c>
      <c r="B622" s="12" t="s">
        <v>276</v>
      </c>
      <c r="C622" s="12" t="s">
        <v>277</v>
      </c>
      <c r="D622" s="12" t="s">
        <v>278</v>
      </c>
      <c r="E622" s="12" t="s">
        <v>279</v>
      </c>
      <c r="F622" s="12" t="s">
        <v>280</v>
      </c>
      <c r="G622" s="12" t="s">
        <v>281</v>
      </c>
    </row>
    <row r="623" customFormat="false" ht="15" hidden="false" customHeight="true" outlineLevel="0" collapsed="false">
      <c r="A623" s="30" t="n">
        <v>1</v>
      </c>
      <c r="B623" s="31" t="n">
        <v>20</v>
      </c>
      <c r="C623" s="31" t="n">
        <v>6.2</v>
      </c>
      <c r="D623" s="32" t="s">
        <v>282</v>
      </c>
      <c r="E623" s="33" t="n">
        <v>1.33333333333333</v>
      </c>
      <c r="F623" s="32" t="s">
        <v>282</v>
      </c>
      <c r="G623" s="32" t="n">
        <v>0</v>
      </c>
    </row>
    <row r="624" customFormat="false" ht="15" hidden="false" customHeight="true" outlineLevel="0" collapsed="false">
      <c r="A624" s="30" t="n">
        <v>2</v>
      </c>
      <c r="B624" s="31" t="n">
        <v>13</v>
      </c>
      <c r="C624" s="31" t="n">
        <v>8</v>
      </c>
      <c r="D624" s="33" t="n">
        <v>0.65</v>
      </c>
      <c r="E624" s="33" t="n">
        <v>0.866666666666667</v>
      </c>
      <c r="F624" s="32" t="s">
        <v>282</v>
      </c>
      <c r="G624" s="32" t="n">
        <v>0</v>
      </c>
    </row>
    <row r="625" customFormat="false" ht="15" hidden="false" customHeight="true" outlineLevel="0" collapsed="false">
      <c r="A625" s="30" t="n">
        <v>3</v>
      </c>
      <c r="B625" s="31" t="n">
        <v>15</v>
      </c>
      <c r="C625" s="31" t="n">
        <v>8</v>
      </c>
      <c r="D625" s="33" t="n">
        <v>1.15384615384615</v>
      </c>
      <c r="E625" s="33" t="n">
        <v>1</v>
      </c>
      <c r="F625" s="32" t="s">
        <v>283</v>
      </c>
      <c r="G625" s="32" t="n">
        <v>8</v>
      </c>
    </row>
    <row r="626" customFormat="false" ht="15" hidden="false" customHeight="true" outlineLevel="0" collapsed="false">
      <c r="A626" s="30" t="n">
        <v>4</v>
      </c>
      <c r="B626" s="31" t="n">
        <v>14</v>
      </c>
      <c r="C626" s="31" t="n">
        <v>6.14</v>
      </c>
      <c r="D626" s="33" t="n">
        <v>0.933333333333333</v>
      </c>
      <c r="E626" s="33" t="n">
        <v>0.933333333333333</v>
      </c>
      <c r="F626" s="32" t="s">
        <v>283</v>
      </c>
      <c r="G626" s="32" t="n">
        <v>5.733</v>
      </c>
    </row>
    <row r="627" customFormat="false" ht="15" hidden="false" customHeight="true" outlineLevel="0" collapsed="false">
      <c r="A627" s="30" t="n">
        <v>5</v>
      </c>
      <c r="B627" s="31" t="n">
        <v>1</v>
      </c>
      <c r="C627" s="31" t="n">
        <v>2</v>
      </c>
      <c r="D627" s="33" t="n">
        <v>0.0714285714285714</v>
      </c>
      <c r="E627" s="33" t="n">
        <v>0.0666666666666667</v>
      </c>
      <c r="F627" s="32" t="s">
        <v>284</v>
      </c>
      <c r="G627" s="32" t="n">
        <v>0</v>
      </c>
    </row>
    <row r="628" customFormat="false" ht="15" hidden="false" customHeight="true" outlineLevel="0" collapsed="false">
      <c r="A628" s="30" t="n">
        <v>6</v>
      </c>
      <c r="B628" s="31" t="n">
        <v>1</v>
      </c>
      <c r="C628" s="31" t="n">
        <v>6</v>
      </c>
      <c r="D628" s="33" t="n">
        <v>1</v>
      </c>
      <c r="E628" s="33" t="n">
        <v>0.0666666666666667</v>
      </c>
      <c r="F628" s="32" t="s">
        <v>284</v>
      </c>
      <c r="G628" s="32" t="n">
        <v>0</v>
      </c>
    </row>
    <row r="629" customFormat="false" ht="15" hidden="false" customHeight="true" outlineLevel="0" collapsed="false">
      <c r="A629" s="30" t="n">
        <v>7</v>
      </c>
      <c r="B629" s="31" t="n">
        <v>0</v>
      </c>
      <c r="C629" s="31" t="n">
        <v>0</v>
      </c>
      <c r="D629" s="33" t="n">
        <v>0</v>
      </c>
      <c r="E629" s="33" t="n">
        <v>0</v>
      </c>
      <c r="F629" s="32" t="s">
        <v>284</v>
      </c>
      <c r="G629" s="32" t="n">
        <v>0</v>
      </c>
    </row>
    <row r="630" customFormat="false" ht="15" hidden="false" customHeight="true" outlineLevel="0" collapsed="false">
      <c r="A630" s="34" t="s">
        <v>285</v>
      </c>
      <c r="B630" s="35" t="n">
        <v>0.75</v>
      </c>
    </row>
    <row r="631" customFormat="false" ht="15" hidden="false" customHeight="true" outlineLevel="0" collapsed="false">
      <c r="A631" s="34" t="s">
        <v>286</v>
      </c>
      <c r="B631" s="36" t="n">
        <v>13.733</v>
      </c>
    </row>
    <row r="632" customFormat="false" ht="15" hidden="false" customHeight="true" outlineLevel="0" collapsed="false">
      <c r="A632" s="34" t="s">
        <v>287</v>
      </c>
      <c r="B632" s="36" t="n">
        <v>14.143</v>
      </c>
    </row>
    <row r="633" customFormat="false" ht="15" hidden="false" customHeight="true" outlineLevel="0" collapsed="false">
      <c r="A633" s="34" t="s">
        <v>288</v>
      </c>
      <c r="B633" s="36" t="n">
        <v>30</v>
      </c>
    </row>
    <row r="634" customFormat="false" ht="15" hidden="false" customHeight="true" outlineLevel="0" collapsed="false">
      <c r="A634" s="34" t="s">
        <v>289</v>
      </c>
      <c r="B634" s="35" t="n">
        <v>0.971043771043771</v>
      </c>
    </row>
    <row r="635" customFormat="false" ht="15" hidden="false" customHeight="true" outlineLevel="0" collapsed="false">
      <c r="A635" s="34" t="s">
        <v>260</v>
      </c>
      <c r="B635" s="35" t="n">
        <v>0.728282828282828</v>
      </c>
    </row>
    <row r="636" customFormat="false" ht="15" hidden="false" customHeight="true" outlineLevel="0" collapsed="false">
      <c r="A636" s="34" t="s">
        <v>290</v>
      </c>
      <c r="B636" s="36" t="n">
        <v>5</v>
      </c>
    </row>
    <row r="638" customFormat="false" ht="15" hidden="false" customHeight="true" outlineLevel="0" collapsed="false">
      <c r="A638" s="28" t="s">
        <v>323</v>
      </c>
      <c r="B638" s="28"/>
      <c r="C638" s="28"/>
      <c r="D638" s="28"/>
      <c r="E638" s="28"/>
      <c r="F638" s="28"/>
      <c r="G638" s="28"/>
    </row>
    <row r="639" customFormat="false" ht="15" hidden="false" customHeight="true" outlineLevel="0" collapsed="false">
      <c r="A639" s="12" t="s">
        <v>275</v>
      </c>
      <c r="B639" s="12" t="s">
        <v>276</v>
      </c>
      <c r="C639" s="12" t="s">
        <v>277</v>
      </c>
      <c r="D639" s="12" t="s">
        <v>278</v>
      </c>
      <c r="E639" s="12" t="s">
        <v>279</v>
      </c>
      <c r="F639" s="12" t="s">
        <v>280</v>
      </c>
      <c r="G639" s="12" t="s">
        <v>281</v>
      </c>
    </row>
    <row r="640" customFormat="false" ht="15" hidden="false" customHeight="true" outlineLevel="0" collapsed="false">
      <c r="A640" s="30" t="n">
        <v>1</v>
      </c>
      <c r="B640" s="31" t="n">
        <v>771</v>
      </c>
      <c r="C640" s="31" t="n">
        <v>7.94</v>
      </c>
      <c r="D640" s="32" t="s">
        <v>282</v>
      </c>
      <c r="E640" s="33" t="n">
        <v>1.29579831932773</v>
      </c>
      <c r="F640" s="32" t="s">
        <v>282</v>
      </c>
      <c r="G640" s="32" t="n">
        <v>0</v>
      </c>
    </row>
    <row r="641" customFormat="false" ht="15" hidden="false" customHeight="true" outlineLevel="0" collapsed="false">
      <c r="A641" s="30" t="n">
        <v>2</v>
      </c>
      <c r="B641" s="31" t="n">
        <v>673</v>
      </c>
      <c r="C641" s="31" t="n">
        <v>7.06</v>
      </c>
      <c r="D641" s="33" t="n">
        <v>0.872892347600519</v>
      </c>
      <c r="E641" s="33" t="n">
        <v>1.13109243697479</v>
      </c>
      <c r="F641" s="32" t="s">
        <v>282</v>
      </c>
      <c r="G641" s="32" t="n">
        <v>0</v>
      </c>
    </row>
    <row r="642" customFormat="false" ht="15" hidden="false" customHeight="true" outlineLevel="0" collapsed="false">
      <c r="A642" s="30" t="n">
        <v>3</v>
      </c>
      <c r="B642" s="31" t="n">
        <v>595</v>
      </c>
      <c r="C642" s="31" t="n">
        <v>6.62</v>
      </c>
      <c r="D642" s="33" t="n">
        <v>0.884101040118871</v>
      </c>
      <c r="E642" s="33" t="n">
        <v>1</v>
      </c>
      <c r="F642" s="32" t="s">
        <v>283</v>
      </c>
      <c r="G642" s="32" t="n">
        <v>6.615</v>
      </c>
    </row>
    <row r="643" customFormat="false" ht="15" hidden="false" customHeight="true" outlineLevel="0" collapsed="false">
      <c r="A643" s="30" t="n">
        <v>4</v>
      </c>
      <c r="B643" s="31" t="n">
        <v>600</v>
      </c>
      <c r="C643" s="31" t="n">
        <v>7.52</v>
      </c>
      <c r="D643" s="33" t="n">
        <v>1.00840336134454</v>
      </c>
      <c r="E643" s="33" t="n">
        <v>1.00840336134454</v>
      </c>
      <c r="F643" s="32" t="s">
        <v>283</v>
      </c>
      <c r="G643" s="32" t="n">
        <v>7.585</v>
      </c>
    </row>
    <row r="644" customFormat="false" ht="15" hidden="false" customHeight="true" outlineLevel="0" collapsed="false">
      <c r="A644" s="30" t="n">
        <v>5</v>
      </c>
      <c r="B644" s="31" t="n">
        <v>556</v>
      </c>
      <c r="C644" s="31" t="n">
        <v>6.97</v>
      </c>
      <c r="D644" s="33" t="n">
        <v>0.926666666666667</v>
      </c>
      <c r="E644" s="33" t="n">
        <v>0.934453781512605</v>
      </c>
      <c r="F644" s="32" t="s">
        <v>283</v>
      </c>
      <c r="G644" s="32" t="n">
        <v>6.514</v>
      </c>
    </row>
    <row r="645" customFormat="false" ht="15" hidden="false" customHeight="true" outlineLevel="0" collapsed="false">
      <c r="A645" s="30" t="n">
        <v>6</v>
      </c>
      <c r="B645" s="31" t="n">
        <v>551</v>
      </c>
      <c r="C645" s="31" t="n">
        <v>8.06</v>
      </c>
      <c r="D645" s="33" t="n">
        <v>0.991007194244604</v>
      </c>
      <c r="E645" s="33" t="n">
        <v>0.926050420168067</v>
      </c>
      <c r="F645" s="32" t="s">
        <v>283</v>
      </c>
      <c r="G645" s="32" t="n">
        <v>7.467</v>
      </c>
    </row>
    <row r="646" customFormat="false" ht="15" hidden="false" customHeight="true" outlineLevel="0" collapsed="false">
      <c r="A646" s="30" t="n">
        <v>7</v>
      </c>
      <c r="B646" s="31" t="n">
        <v>539</v>
      </c>
      <c r="C646" s="31" t="n">
        <v>7.86</v>
      </c>
      <c r="D646" s="33" t="n">
        <v>0.978221415607986</v>
      </c>
      <c r="E646" s="33" t="n">
        <v>0.905882352941177</v>
      </c>
      <c r="F646" s="32" t="s">
        <v>283</v>
      </c>
      <c r="G646" s="32" t="n">
        <v>7.124</v>
      </c>
    </row>
    <row r="647" customFormat="false" ht="15" hidden="false" customHeight="true" outlineLevel="0" collapsed="false">
      <c r="A647" s="30" t="n">
        <v>8</v>
      </c>
      <c r="B647" s="31" t="n">
        <v>269</v>
      </c>
      <c r="C647" s="31" t="n">
        <v>7.27</v>
      </c>
      <c r="D647" s="33" t="n">
        <v>0.499072356215213</v>
      </c>
      <c r="E647" s="33" t="n">
        <v>0.452100840336135</v>
      </c>
      <c r="F647" s="32" t="s">
        <v>283</v>
      </c>
      <c r="G647" s="32" t="n">
        <v>3.287</v>
      </c>
    </row>
    <row r="648" customFormat="false" ht="15" hidden="false" customHeight="true" outlineLevel="0" collapsed="false">
      <c r="A648" s="30" t="n">
        <v>9</v>
      </c>
      <c r="B648" s="31" t="n">
        <v>197</v>
      </c>
      <c r="C648" s="31" t="n">
        <v>6.7</v>
      </c>
      <c r="D648" s="33" t="n">
        <v>0.732342007434944</v>
      </c>
      <c r="E648" s="33" t="n">
        <v>0.33109243697479</v>
      </c>
      <c r="F648" s="32" t="s">
        <v>283</v>
      </c>
      <c r="G648" s="32" t="n">
        <v>2.218</v>
      </c>
    </row>
    <row r="649" customFormat="false" ht="15" hidden="false" customHeight="true" outlineLevel="0" collapsed="false">
      <c r="A649" s="30" t="n">
        <v>10</v>
      </c>
      <c r="B649" s="31" t="n">
        <v>84</v>
      </c>
      <c r="C649" s="31" t="n">
        <v>7.68</v>
      </c>
      <c r="D649" s="33" t="n">
        <v>0.426395939086294</v>
      </c>
      <c r="E649" s="33" t="n">
        <v>0.141176470588235</v>
      </c>
      <c r="F649" s="32" t="s">
        <v>284</v>
      </c>
      <c r="G649" s="32" t="n">
        <v>0</v>
      </c>
    </row>
    <row r="650" customFormat="false" ht="15" hidden="false" customHeight="true" outlineLevel="0" collapsed="false">
      <c r="A650" s="30" t="n">
        <v>11</v>
      </c>
      <c r="B650" s="31" t="n">
        <v>33</v>
      </c>
      <c r="C650" s="31" t="n">
        <v>7.27</v>
      </c>
      <c r="D650" s="33" t="n">
        <v>0.392857142857143</v>
      </c>
      <c r="E650" s="33" t="n">
        <v>0.0554621848739496</v>
      </c>
      <c r="F650" s="32" t="s">
        <v>284</v>
      </c>
      <c r="G650" s="32" t="n">
        <v>0</v>
      </c>
    </row>
    <row r="651" customFormat="false" ht="15" hidden="false" customHeight="true" outlineLevel="0" collapsed="false">
      <c r="A651" s="30" t="n">
        <v>12</v>
      </c>
      <c r="B651" s="31" t="n">
        <v>22</v>
      </c>
      <c r="C651" s="31" t="n">
        <v>7.09</v>
      </c>
      <c r="D651" s="33" t="n">
        <v>0.666666666666667</v>
      </c>
      <c r="E651" s="33" t="n">
        <v>0.0369747899159664</v>
      </c>
      <c r="F651" s="32" t="s">
        <v>284</v>
      </c>
      <c r="G651" s="32" t="n">
        <v>0</v>
      </c>
    </row>
    <row r="652" customFormat="false" ht="15" hidden="false" customHeight="true" outlineLevel="0" collapsed="false">
      <c r="A652" s="30" t="n">
        <v>13</v>
      </c>
      <c r="B652" s="31" t="n">
        <v>10</v>
      </c>
      <c r="C652" s="31" t="n">
        <v>8.4</v>
      </c>
      <c r="D652" s="33" t="n">
        <v>0.454545454545455</v>
      </c>
      <c r="E652" s="33" t="n">
        <v>0.0168067226890756</v>
      </c>
      <c r="F652" s="32" t="s">
        <v>284</v>
      </c>
      <c r="G652" s="32" t="n">
        <v>0</v>
      </c>
    </row>
    <row r="653" customFormat="false" ht="15" hidden="false" customHeight="true" outlineLevel="0" collapsed="false">
      <c r="A653" s="30" t="n">
        <v>14</v>
      </c>
      <c r="B653" s="31" t="n">
        <v>4</v>
      </c>
      <c r="C653" s="31" t="n">
        <v>6.75</v>
      </c>
      <c r="D653" s="33" t="n">
        <v>0.4</v>
      </c>
      <c r="E653" s="33" t="n">
        <v>0.00672268907563025</v>
      </c>
      <c r="F653" s="32" t="s">
        <v>284</v>
      </c>
      <c r="G653" s="32" t="n">
        <v>0</v>
      </c>
    </row>
    <row r="654" customFormat="false" ht="15" hidden="false" customHeight="true" outlineLevel="0" collapsed="false">
      <c r="A654" s="30" t="n">
        <v>15</v>
      </c>
      <c r="B654" s="31" t="n">
        <v>5</v>
      </c>
      <c r="C654" s="31" t="n">
        <v>9</v>
      </c>
      <c r="D654" s="33" t="n">
        <v>1.25</v>
      </c>
      <c r="E654" s="33" t="n">
        <v>0.00840336134453782</v>
      </c>
      <c r="F654" s="32" t="s">
        <v>284</v>
      </c>
      <c r="G654" s="32" t="n">
        <v>0</v>
      </c>
    </row>
    <row r="655" customFormat="false" ht="15" hidden="false" customHeight="true" outlineLevel="0" collapsed="false">
      <c r="A655" s="30" t="n">
        <v>16</v>
      </c>
      <c r="B655" s="31" t="n">
        <v>2</v>
      </c>
      <c r="C655" s="31" t="n">
        <v>6</v>
      </c>
      <c r="D655" s="33" t="n">
        <v>0.4</v>
      </c>
      <c r="E655" s="33" t="n">
        <v>0.00336134453781513</v>
      </c>
      <c r="F655" s="32" t="s">
        <v>284</v>
      </c>
      <c r="G655" s="32" t="n">
        <v>0</v>
      </c>
    </row>
    <row r="656" customFormat="false" ht="15" hidden="false" customHeight="true" outlineLevel="0" collapsed="false">
      <c r="A656" s="30" t="n">
        <v>17</v>
      </c>
      <c r="B656" s="31" t="n">
        <v>2</v>
      </c>
      <c r="C656" s="31" t="n">
        <v>6</v>
      </c>
      <c r="D656" s="33" t="n">
        <v>1</v>
      </c>
      <c r="E656" s="33" t="n">
        <v>0.00336134453781513</v>
      </c>
      <c r="F656" s="32" t="s">
        <v>284</v>
      </c>
      <c r="G656" s="32" t="n">
        <v>0</v>
      </c>
    </row>
    <row r="657" customFormat="false" ht="15" hidden="false" customHeight="true" outlineLevel="0" collapsed="false">
      <c r="A657" s="30" t="n">
        <v>18</v>
      </c>
      <c r="B657" s="31" t="n">
        <v>2</v>
      </c>
      <c r="C657" s="31" t="n">
        <v>9</v>
      </c>
      <c r="D657" s="33" t="n">
        <v>1</v>
      </c>
      <c r="E657" s="33" t="n">
        <v>0.00336134453781513</v>
      </c>
      <c r="F657" s="32" t="s">
        <v>284</v>
      </c>
      <c r="G657" s="32" t="n">
        <v>0</v>
      </c>
    </row>
    <row r="658" customFormat="false" ht="15" hidden="false" customHeight="true" outlineLevel="0" collapsed="false">
      <c r="A658" s="34" t="s">
        <v>285</v>
      </c>
      <c r="B658" s="35" t="n">
        <v>0.771725032425422</v>
      </c>
    </row>
    <row r="659" customFormat="false" ht="15" hidden="false" customHeight="true" outlineLevel="0" collapsed="false">
      <c r="A659" s="34" t="s">
        <v>286</v>
      </c>
      <c r="B659" s="36" t="n">
        <v>40.812</v>
      </c>
    </row>
    <row r="660" customFormat="false" ht="15" hidden="false" customHeight="true" outlineLevel="0" collapsed="false">
      <c r="A660" s="34" t="s">
        <v>287</v>
      </c>
      <c r="B660" s="36" t="n">
        <v>51.008</v>
      </c>
    </row>
    <row r="661" customFormat="false" ht="15" hidden="false" customHeight="true" outlineLevel="0" collapsed="false">
      <c r="A661" s="34" t="s">
        <v>288</v>
      </c>
      <c r="B661" s="36" t="n">
        <v>60</v>
      </c>
    </row>
    <row r="662" customFormat="false" ht="15" hidden="false" customHeight="true" outlineLevel="0" collapsed="false">
      <c r="A662" s="34" t="s">
        <v>289</v>
      </c>
      <c r="B662" s="35" t="n">
        <v>0.800105429554114</v>
      </c>
    </row>
    <row r="663" customFormat="false" ht="15" hidden="false" customHeight="true" outlineLevel="0" collapsed="false">
      <c r="A663" s="34" t="s">
        <v>260</v>
      </c>
      <c r="B663" s="35" t="n">
        <v>0.617461388566404</v>
      </c>
    </row>
    <row r="664" customFormat="false" ht="15" hidden="false" customHeight="true" outlineLevel="0" collapsed="false">
      <c r="A664" s="34" t="s">
        <v>290</v>
      </c>
      <c r="B664" s="36" t="n">
        <v>10</v>
      </c>
    </row>
    <row r="666" customFormat="false" ht="15" hidden="false" customHeight="true" outlineLevel="0" collapsed="false">
      <c r="A666" s="28" t="s">
        <v>324</v>
      </c>
      <c r="B666" s="28"/>
      <c r="C666" s="28"/>
      <c r="D666" s="28"/>
      <c r="E666" s="28"/>
      <c r="F666" s="28"/>
      <c r="G666" s="28"/>
    </row>
    <row r="667" customFormat="false" ht="15" hidden="false" customHeight="true" outlineLevel="0" collapsed="false">
      <c r="A667" s="29" t="s">
        <v>272</v>
      </c>
      <c r="B667" s="29"/>
      <c r="C667" s="29"/>
      <c r="D667" s="29"/>
      <c r="E667" s="29"/>
      <c r="F667" s="29"/>
      <c r="G667" s="29"/>
    </row>
    <row r="669" customFormat="false" ht="15" hidden="false" customHeight="true" outlineLevel="0" collapsed="false">
      <c r="A669" s="28" t="s">
        <v>325</v>
      </c>
      <c r="B669" s="28"/>
      <c r="C669" s="28"/>
      <c r="D669" s="28"/>
      <c r="E669" s="28"/>
      <c r="F669" s="28"/>
      <c r="G669" s="28"/>
    </row>
    <row r="670" customFormat="false" ht="15" hidden="false" customHeight="true" outlineLevel="0" collapsed="false">
      <c r="A670" s="12" t="s">
        <v>275</v>
      </c>
      <c r="B670" s="12" t="s">
        <v>276</v>
      </c>
      <c r="C670" s="12" t="s">
        <v>277</v>
      </c>
      <c r="D670" s="12" t="s">
        <v>278</v>
      </c>
      <c r="E670" s="12" t="s">
        <v>279</v>
      </c>
      <c r="F670" s="12" t="s">
        <v>280</v>
      </c>
      <c r="G670" s="12" t="s">
        <v>281</v>
      </c>
    </row>
    <row r="671" customFormat="false" ht="15" hidden="false" customHeight="true" outlineLevel="0" collapsed="false">
      <c r="A671" s="30" t="n">
        <v>1</v>
      </c>
      <c r="B671" s="31" t="n">
        <v>9</v>
      </c>
      <c r="C671" s="31" t="n">
        <v>4.78</v>
      </c>
      <c r="D671" s="32" t="s">
        <v>282</v>
      </c>
      <c r="E671" s="33" t="n">
        <v>2.25</v>
      </c>
      <c r="F671" s="32" t="s">
        <v>282</v>
      </c>
      <c r="G671" s="32" t="n">
        <v>0</v>
      </c>
    </row>
    <row r="672" customFormat="false" ht="15" hidden="false" customHeight="true" outlineLevel="0" collapsed="false">
      <c r="A672" s="30" t="n">
        <v>2</v>
      </c>
      <c r="B672" s="31" t="n">
        <v>4</v>
      </c>
      <c r="C672" s="31" t="n">
        <v>7.5</v>
      </c>
      <c r="D672" s="33" t="n">
        <v>0.444444444444444</v>
      </c>
      <c r="E672" s="33" t="n">
        <v>1</v>
      </c>
      <c r="F672" s="32" t="s">
        <v>282</v>
      </c>
      <c r="G672" s="32" t="n">
        <v>0</v>
      </c>
    </row>
    <row r="673" customFormat="false" ht="15" hidden="false" customHeight="true" outlineLevel="0" collapsed="false">
      <c r="A673" s="30" t="n">
        <v>3</v>
      </c>
      <c r="B673" s="31" t="n">
        <v>4</v>
      </c>
      <c r="C673" s="31" t="n">
        <v>7.5</v>
      </c>
      <c r="D673" s="33" t="n">
        <v>1</v>
      </c>
      <c r="E673" s="33" t="n">
        <v>1</v>
      </c>
      <c r="F673" s="32" t="s">
        <v>283</v>
      </c>
      <c r="G673" s="32" t="n">
        <v>7.5</v>
      </c>
    </row>
    <row r="674" customFormat="false" ht="15" hidden="false" customHeight="true" outlineLevel="0" collapsed="false">
      <c r="A674" s="30" t="n">
        <v>4</v>
      </c>
      <c r="B674" s="31" t="n">
        <v>4</v>
      </c>
      <c r="C674" s="31" t="n">
        <v>5</v>
      </c>
      <c r="D674" s="33" t="n">
        <v>1</v>
      </c>
      <c r="E674" s="33" t="n">
        <v>1</v>
      </c>
      <c r="F674" s="32" t="s">
        <v>283</v>
      </c>
      <c r="G674" s="32" t="n">
        <v>5</v>
      </c>
    </row>
    <row r="675" customFormat="false" ht="15" hidden="false" customHeight="true" outlineLevel="0" collapsed="false">
      <c r="A675" s="34" t="s">
        <v>285</v>
      </c>
      <c r="B675" s="35" t="n">
        <v>0.444444444444444</v>
      </c>
    </row>
    <row r="676" customFormat="false" ht="15" hidden="false" customHeight="true" outlineLevel="0" collapsed="false">
      <c r="A676" s="34" t="s">
        <v>286</v>
      </c>
      <c r="B676" s="36" t="n">
        <v>12.5</v>
      </c>
    </row>
    <row r="677" customFormat="false" ht="15" hidden="false" customHeight="true" outlineLevel="0" collapsed="false">
      <c r="A677" s="34" t="s">
        <v>287</v>
      </c>
      <c r="B677" s="36" t="n">
        <v>12.5</v>
      </c>
    </row>
    <row r="678" customFormat="false" ht="15" hidden="false" customHeight="true" outlineLevel="0" collapsed="false">
      <c r="A678" s="34" t="s">
        <v>288</v>
      </c>
      <c r="B678" s="36" t="n">
        <v>24</v>
      </c>
    </row>
    <row r="679" customFormat="false" ht="15" hidden="false" customHeight="true" outlineLevel="0" collapsed="false">
      <c r="A679" s="34" t="s">
        <v>289</v>
      </c>
      <c r="B679" s="35" t="n">
        <v>1</v>
      </c>
    </row>
    <row r="680" customFormat="false" ht="15" hidden="false" customHeight="true" outlineLevel="0" collapsed="false">
      <c r="A680" s="34" t="s">
        <v>260</v>
      </c>
      <c r="B680" s="35" t="n">
        <v>0.444444444444444</v>
      </c>
    </row>
    <row r="681" customFormat="false" ht="15" hidden="false" customHeight="true" outlineLevel="0" collapsed="false">
      <c r="A681" s="34" t="s">
        <v>290</v>
      </c>
      <c r="B681" s="36" t="s">
        <v>262</v>
      </c>
    </row>
    <row r="683" customFormat="false" ht="15" hidden="false" customHeight="true" outlineLevel="0" collapsed="false">
      <c r="A683" s="28" t="s">
        <v>326</v>
      </c>
      <c r="B683" s="28"/>
      <c r="C683" s="28"/>
      <c r="D683" s="28"/>
      <c r="E683" s="28"/>
      <c r="F683" s="28"/>
      <c r="G683" s="28"/>
    </row>
    <row r="684" customFormat="false" ht="15" hidden="false" customHeight="true" outlineLevel="0" collapsed="false">
      <c r="A684" s="12" t="s">
        <v>275</v>
      </c>
      <c r="B684" s="12" t="s">
        <v>276</v>
      </c>
      <c r="C684" s="12" t="s">
        <v>277</v>
      </c>
      <c r="D684" s="12" t="s">
        <v>278</v>
      </c>
      <c r="E684" s="12" t="s">
        <v>279</v>
      </c>
      <c r="F684" s="12" t="s">
        <v>280</v>
      </c>
      <c r="G684" s="12" t="s">
        <v>281</v>
      </c>
    </row>
    <row r="685" customFormat="false" ht="15" hidden="false" customHeight="true" outlineLevel="0" collapsed="false">
      <c r="A685" s="30" t="n">
        <v>1</v>
      </c>
      <c r="B685" s="31" t="n">
        <v>9</v>
      </c>
      <c r="C685" s="31" t="n">
        <v>6.67</v>
      </c>
      <c r="D685" s="32" t="s">
        <v>282</v>
      </c>
      <c r="E685" s="33" t="n">
        <v>3</v>
      </c>
      <c r="F685" s="32" t="s">
        <v>282</v>
      </c>
      <c r="G685" s="32" t="n">
        <v>0</v>
      </c>
    </row>
    <row r="686" customFormat="false" ht="15" hidden="false" customHeight="true" outlineLevel="0" collapsed="false">
      <c r="A686" s="30" t="n">
        <v>2</v>
      </c>
      <c r="B686" s="31" t="n">
        <v>3</v>
      </c>
      <c r="C686" s="31" t="n">
        <v>6</v>
      </c>
      <c r="D686" s="33" t="n">
        <v>0.333333333333333</v>
      </c>
      <c r="E686" s="33" t="n">
        <v>1</v>
      </c>
      <c r="F686" s="32" t="s">
        <v>282</v>
      </c>
      <c r="G686" s="32" t="n">
        <v>0</v>
      </c>
    </row>
    <row r="687" customFormat="false" ht="15" hidden="false" customHeight="true" outlineLevel="0" collapsed="false">
      <c r="A687" s="30" t="n">
        <v>3</v>
      </c>
      <c r="B687" s="31" t="n">
        <v>3</v>
      </c>
      <c r="C687" s="31" t="n">
        <v>6</v>
      </c>
      <c r="D687" s="33" t="n">
        <v>1</v>
      </c>
      <c r="E687" s="33" t="n">
        <v>1</v>
      </c>
      <c r="F687" s="32" t="s">
        <v>283</v>
      </c>
      <c r="G687" s="32" t="n">
        <v>6</v>
      </c>
    </row>
    <row r="688" customFormat="false" ht="15" hidden="false" customHeight="true" outlineLevel="0" collapsed="false">
      <c r="A688" s="30" t="n">
        <v>4</v>
      </c>
      <c r="B688" s="31" t="n">
        <v>3</v>
      </c>
      <c r="C688" s="31" t="n">
        <v>5.33</v>
      </c>
      <c r="D688" s="33" t="n">
        <v>1</v>
      </c>
      <c r="E688" s="33" t="n">
        <v>1</v>
      </c>
      <c r="F688" s="32" t="s">
        <v>283</v>
      </c>
      <c r="G688" s="32" t="n">
        <v>5.333</v>
      </c>
    </row>
    <row r="689" customFormat="false" ht="15" hidden="false" customHeight="true" outlineLevel="0" collapsed="false">
      <c r="A689" s="34" t="s">
        <v>285</v>
      </c>
      <c r="B689" s="35" t="n">
        <v>0.333333333333333</v>
      </c>
    </row>
    <row r="690" customFormat="false" ht="15" hidden="false" customHeight="true" outlineLevel="0" collapsed="false">
      <c r="A690" s="34" t="s">
        <v>286</v>
      </c>
      <c r="B690" s="36" t="n">
        <v>11.333</v>
      </c>
    </row>
    <row r="691" customFormat="false" ht="15" hidden="false" customHeight="true" outlineLevel="0" collapsed="false">
      <c r="A691" s="34" t="s">
        <v>287</v>
      </c>
      <c r="B691" s="36" t="n">
        <v>11.333</v>
      </c>
    </row>
    <row r="692" customFormat="false" ht="15" hidden="false" customHeight="true" outlineLevel="0" collapsed="false">
      <c r="A692" s="34" t="s">
        <v>288</v>
      </c>
      <c r="B692" s="36" t="n">
        <v>24</v>
      </c>
    </row>
    <row r="693" customFormat="false" ht="15" hidden="false" customHeight="true" outlineLevel="0" collapsed="false">
      <c r="A693" s="34" t="s">
        <v>289</v>
      </c>
      <c r="B693" s="35" t="n">
        <v>1</v>
      </c>
    </row>
    <row r="694" customFormat="false" ht="15" hidden="false" customHeight="true" outlineLevel="0" collapsed="false">
      <c r="A694" s="34" t="s">
        <v>260</v>
      </c>
      <c r="B694" s="35" t="n">
        <v>0.333333333333333</v>
      </c>
    </row>
    <row r="695" customFormat="false" ht="15" hidden="false" customHeight="true" outlineLevel="0" collapsed="false">
      <c r="A695" s="34" t="s">
        <v>290</v>
      </c>
      <c r="B695" s="36" t="s">
        <v>262</v>
      </c>
    </row>
    <row r="697" customFormat="false" ht="15" hidden="false" customHeight="true" outlineLevel="0" collapsed="false">
      <c r="A697" s="28" t="s">
        <v>327</v>
      </c>
      <c r="B697" s="28"/>
      <c r="C697" s="28"/>
      <c r="D697" s="28"/>
      <c r="E697" s="28"/>
      <c r="F697" s="28"/>
      <c r="G697" s="28"/>
    </row>
    <row r="698" customFormat="false" ht="15" hidden="false" customHeight="true" outlineLevel="0" collapsed="false">
      <c r="A698" s="12" t="s">
        <v>275</v>
      </c>
      <c r="B698" s="12" t="s">
        <v>276</v>
      </c>
      <c r="C698" s="12" t="s">
        <v>277</v>
      </c>
      <c r="D698" s="12" t="s">
        <v>278</v>
      </c>
      <c r="E698" s="12" t="s">
        <v>279</v>
      </c>
      <c r="F698" s="12" t="s">
        <v>280</v>
      </c>
      <c r="G698" s="12" t="s">
        <v>281</v>
      </c>
    </row>
    <row r="699" customFormat="false" ht="15" hidden="false" customHeight="true" outlineLevel="0" collapsed="false">
      <c r="A699" s="30" t="n">
        <v>1</v>
      </c>
      <c r="B699" s="31" t="n">
        <v>19</v>
      </c>
      <c r="C699" s="31" t="n">
        <v>5.58</v>
      </c>
      <c r="D699" s="32" t="s">
        <v>282</v>
      </c>
      <c r="E699" s="33" t="n">
        <v>2.71428571428571</v>
      </c>
      <c r="F699" s="32" t="s">
        <v>282</v>
      </c>
      <c r="G699" s="32" t="n">
        <v>0</v>
      </c>
    </row>
    <row r="700" customFormat="false" ht="15" hidden="false" customHeight="true" outlineLevel="0" collapsed="false">
      <c r="A700" s="30" t="n">
        <v>2</v>
      </c>
      <c r="B700" s="31" t="n">
        <v>16</v>
      </c>
      <c r="C700" s="31" t="n">
        <v>5.81</v>
      </c>
      <c r="D700" s="33" t="n">
        <v>0.842105263157895</v>
      </c>
      <c r="E700" s="33" t="n">
        <v>2.28571428571429</v>
      </c>
      <c r="F700" s="32" t="s">
        <v>282</v>
      </c>
      <c r="G700" s="32" t="n">
        <v>0</v>
      </c>
    </row>
    <row r="701" customFormat="false" ht="15" hidden="false" customHeight="true" outlineLevel="0" collapsed="false">
      <c r="A701" s="30" t="n">
        <v>3</v>
      </c>
      <c r="B701" s="31" t="n">
        <v>7</v>
      </c>
      <c r="C701" s="31" t="n">
        <v>6</v>
      </c>
      <c r="D701" s="33" t="n">
        <v>0.4375</v>
      </c>
      <c r="E701" s="33" t="n">
        <v>1</v>
      </c>
      <c r="F701" s="32" t="s">
        <v>283</v>
      </c>
      <c r="G701" s="32" t="n">
        <v>6</v>
      </c>
    </row>
    <row r="702" customFormat="false" ht="15" hidden="false" customHeight="true" outlineLevel="0" collapsed="false">
      <c r="A702" s="30" t="n">
        <v>4</v>
      </c>
      <c r="B702" s="31" t="n">
        <v>8</v>
      </c>
      <c r="C702" s="31" t="n">
        <v>6</v>
      </c>
      <c r="D702" s="33" t="n">
        <v>1.14285714285714</v>
      </c>
      <c r="E702" s="33" t="n">
        <v>1.14285714285714</v>
      </c>
      <c r="F702" s="32" t="s">
        <v>283</v>
      </c>
      <c r="G702" s="32" t="n">
        <v>6.857</v>
      </c>
    </row>
    <row r="703" customFormat="false" ht="15" hidden="false" customHeight="true" outlineLevel="0" collapsed="false">
      <c r="A703" s="30" t="n">
        <v>5</v>
      </c>
      <c r="B703" s="31" t="n">
        <v>3</v>
      </c>
      <c r="C703" s="31" t="n">
        <v>5</v>
      </c>
      <c r="D703" s="33" t="n">
        <v>0.375</v>
      </c>
      <c r="E703" s="33" t="n">
        <v>0.428571428571429</v>
      </c>
      <c r="F703" s="32" t="s">
        <v>283</v>
      </c>
      <c r="G703" s="32" t="n">
        <v>2.143</v>
      </c>
    </row>
    <row r="704" customFormat="false" ht="15" hidden="false" customHeight="true" outlineLevel="0" collapsed="false">
      <c r="A704" s="30" t="n">
        <v>6</v>
      </c>
      <c r="B704" s="31" t="n">
        <v>1</v>
      </c>
      <c r="C704" s="31" t="n">
        <v>6</v>
      </c>
      <c r="D704" s="33" t="n">
        <v>0.333333333333333</v>
      </c>
      <c r="E704" s="33" t="n">
        <v>0.142857142857143</v>
      </c>
      <c r="F704" s="32" t="s">
        <v>284</v>
      </c>
      <c r="G704" s="32" t="n">
        <v>0</v>
      </c>
    </row>
    <row r="705" customFormat="false" ht="15" hidden="false" customHeight="true" outlineLevel="0" collapsed="false">
      <c r="A705" s="30" t="n">
        <v>7</v>
      </c>
      <c r="B705" s="31" t="n">
        <v>1</v>
      </c>
      <c r="C705" s="31" t="n">
        <v>3</v>
      </c>
      <c r="D705" s="33" t="n">
        <v>1</v>
      </c>
      <c r="E705" s="33" t="n">
        <v>0.142857142857143</v>
      </c>
      <c r="F705" s="32" t="s">
        <v>284</v>
      </c>
      <c r="G705" s="32" t="n">
        <v>0</v>
      </c>
    </row>
    <row r="706" customFormat="false" ht="15" hidden="false" customHeight="true" outlineLevel="0" collapsed="false">
      <c r="A706" s="30" t="n">
        <v>8</v>
      </c>
      <c r="B706" s="31" t="n">
        <v>1</v>
      </c>
      <c r="C706" s="31" t="n">
        <v>3</v>
      </c>
      <c r="D706" s="33" t="n">
        <v>1</v>
      </c>
      <c r="E706" s="33" t="n">
        <v>0.142857142857143</v>
      </c>
      <c r="F706" s="32" t="s">
        <v>284</v>
      </c>
      <c r="G706" s="32" t="n">
        <v>0</v>
      </c>
    </row>
    <row r="707" customFormat="false" ht="15" hidden="false" customHeight="true" outlineLevel="0" collapsed="false">
      <c r="A707" s="30" t="n">
        <v>9</v>
      </c>
      <c r="B707" s="31" t="n">
        <v>0</v>
      </c>
      <c r="C707" s="31" t="n">
        <v>0</v>
      </c>
      <c r="D707" s="33" t="n">
        <v>0</v>
      </c>
      <c r="E707" s="33" t="n">
        <v>0</v>
      </c>
      <c r="F707" s="32" t="s">
        <v>284</v>
      </c>
      <c r="G707" s="32" t="n">
        <v>0</v>
      </c>
    </row>
    <row r="708" customFormat="false" ht="15" hidden="false" customHeight="true" outlineLevel="0" collapsed="false">
      <c r="A708" s="30" t="n">
        <v>10</v>
      </c>
      <c r="B708" s="31" t="n">
        <v>1</v>
      </c>
      <c r="C708" s="31" t="n">
        <v>3</v>
      </c>
      <c r="D708" s="32" t="s">
        <v>282</v>
      </c>
      <c r="E708" s="33" t="n">
        <v>0.142857142857143</v>
      </c>
      <c r="F708" s="32" t="s">
        <v>284</v>
      </c>
      <c r="G708" s="32" t="n">
        <v>0</v>
      </c>
    </row>
    <row r="709" customFormat="false" ht="15" hidden="false" customHeight="true" outlineLevel="0" collapsed="false">
      <c r="A709" s="34" t="s">
        <v>285</v>
      </c>
      <c r="B709" s="35" t="n">
        <v>0.368421052631579</v>
      </c>
    </row>
    <row r="710" customFormat="false" ht="15" hidden="false" customHeight="true" outlineLevel="0" collapsed="false">
      <c r="A710" s="34" t="s">
        <v>286</v>
      </c>
      <c r="B710" s="36" t="n">
        <v>15</v>
      </c>
    </row>
    <row r="711" customFormat="false" ht="15" hidden="false" customHeight="true" outlineLevel="0" collapsed="false">
      <c r="A711" s="34" t="s">
        <v>287</v>
      </c>
      <c r="B711" s="36" t="n">
        <v>17</v>
      </c>
    </row>
    <row r="712" customFormat="false" ht="15" hidden="false" customHeight="true" outlineLevel="0" collapsed="false">
      <c r="A712" s="34" t="s">
        <v>288</v>
      </c>
      <c r="B712" s="36" t="n">
        <v>25</v>
      </c>
    </row>
    <row r="713" customFormat="false" ht="15" hidden="false" customHeight="true" outlineLevel="0" collapsed="false">
      <c r="A713" s="34" t="s">
        <v>289</v>
      </c>
      <c r="B713" s="35" t="n">
        <v>0.882352941176471</v>
      </c>
    </row>
    <row r="714" customFormat="false" ht="15" hidden="false" customHeight="true" outlineLevel="0" collapsed="false">
      <c r="A714" s="34" t="s">
        <v>260</v>
      </c>
      <c r="B714" s="35" t="n">
        <v>0.325077399380805</v>
      </c>
    </row>
    <row r="715" customFormat="false" ht="15" hidden="false" customHeight="true" outlineLevel="0" collapsed="false">
      <c r="A715" s="34" t="s">
        <v>290</v>
      </c>
      <c r="B715" s="36" t="n">
        <v>6</v>
      </c>
    </row>
    <row r="717" customFormat="false" ht="15" hidden="false" customHeight="true" outlineLevel="0" collapsed="false">
      <c r="A717" s="28" t="s">
        <v>328</v>
      </c>
      <c r="B717" s="28"/>
      <c r="C717" s="28"/>
      <c r="D717" s="28"/>
      <c r="E717" s="28"/>
      <c r="F717" s="28"/>
      <c r="G717" s="28"/>
    </row>
    <row r="718" customFormat="false" ht="15" hidden="false" customHeight="true" outlineLevel="0" collapsed="false">
      <c r="A718" s="12" t="s">
        <v>275</v>
      </c>
      <c r="B718" s="12" t="s">
        <v>276</v>
      </c>
      <c r="C718" s="12" t="s">
        <v>277</v>
      </c>
      <c r="D718" s="12" t="s">
        <v>278</v>
      </c>
      <c r="E718" s="12" t="s">
        <v>279</v>
      </c>
      <c r="F718" s="12" t="s">
        <v>280</v>
      </c>
      <c r="G718" s="12" t="s">
        <v>281</v>
      </c>
    </row>
    <row r="719" customFormat="false" ht="15" hidden="false" customHeight="true" outlineLevel="0" collapsed="false">
      <c r="A719" s="30" t="n">
        <v>1</v>
      </c>
      <c r="B719" s="31" t="n">
        <v>2</v>
      </c>
      <c r="C719" s="31" t="n">
        <v>6.5</v>
      </c>
      <c r="D719" s="32" t="s">
        <v>282</v>
      </c>
      <c r="E719" s="33" t="n">
        <v>2</v>
      </c>
      <c r="F719" s="32" t="s">
        <v>282</v>
      </c>
      <c r="G719" s="32" t="n">
        <v>0</v>
      </c>
    </row>
    <row r="720" customFormat="false" ht="15" hidden="false" customHeight="true" outlineLevel="0" collapsed="false">
      <c r="A720" s="30" t="n">
        <v>2</v>
      </c>
      <c r="B720" s="31" t="n">
        <v>2</v>
      </c>
      <c r="C720" s="31" t="n">
        <v>4.5</v>
      </c>
      <c r="D720" s="33" t="n">
        <v>1</v>
      </c>
      <c r="E720" s="33" t="n">
        <v>2</v>
      </c>
      <c r="F720" s="32" t="s">
        <v>282</v>
      </c>
      <c r="G720" s="32" t="n">
        <v>0</v>
      </c>
    </row>
    <row r="721" customFormat="false" ht="15" hidden="false" customHeight="true" outlineLevel="0" collapsed="false">
      <c r="A721" s="30" t="n">
        <v>3</v>
      </c>
      <c r="B721" s="31" t="n">
        <v>1</v>
      </c>
      <c r="C721" s="31" t="n">
        <v>5</v>
      </c>
      <c r="D721" s="33" t="n">
        <v>0.5</v>
      </c>
      <c r="E721" s="33" t="n">
        <v>1</v>
      </c>
      <c r="F721" s="32" t="s">
        <v>283</v>
      </c>
      <c r="G721" s="32" t="n">
        <v>5</v>
      </c>
    </row>
    <row r="722" customFormat="false" ht="15" hidden="false" customHeight="true" outlineLevel="0" collapsed="false">
      <c r="A722" s="30" t="n">
        <v>4</v>
      </c>
      <c r="B722" s="31" t="n">
        <v>0</v>
      </c>
      <c r="C722" s="31" t="n">
        <v>0</v>
      </c>
      <c r="D722" s="33" t="n">
        <v>0</v>
      </c>
      <c r="E722" s="33" t="n">
        <v>0</v>
      </c>
      <c r="F722" s="32" t="s">
        <v>284</v>
      </c>
      <c r="G722" s="32" t="n">
        <v>0</v>
      </c>
    </row>
    <row r="723" customFormat="false" ht="15" hidden="false" customHeight="true" outlineLevel="0" collapsed="false">
      <c r="A723" s="34" t="s">
        <v>285</v>
      </c>
      <c r="B723" s="35" t="n">
        <v>0.5</v>
      </c>
    </row>
    <row r="724" customFormat="false" ht="15" hidden="false" customHeight="true" outlineLevel="0" collapsed="false">
      <c r="A724" s="34" t="s">
        <v>286</v>
      </c>
      <c r="B724" s="36" t="n">
        <v>5</v>
      </c>
    </row>
    <row r="725" customFormat="false" ht="15" hidden="false" customHeight="true" outlineLevel="0" collapsed="false">
      <c r="A725" s="34" t="s">
        <v>287</v>
      </c>
      <c r="B725" s="36" t="n">
        <v>5</v>
      </c>
    </row>
    <row r="726" customFormat="false" ht="15" hidden="false" customHeight="true" outlineLevel="0" collapsed="false">
      <c r="A726" s="34" t="s">
        <v>288</v>
      </c>
      <c r="B726" s="36" t="n">
        <v>24</v>
      </c>
    </row>
    <row r="727" customFormat="false" ht="15" hidden="false" customHeight="true" outlineLevel="0" collapsed="false">
      <c r="A727" s="34" t="s">
        <v>289</v>
      </c>
      <c r="B727" s="35" t="n">
        <v>1</v>
      </c>
    </row>
    <row r="728" customFormat="false" ht="15" hidden="false" customHeight="true" outlineLevel="0" collapsed="false">
      <c r="A728" s="34" t="s">
        <v>260</v>
      </c>
      <c r="B728" s="35" t="n">
        <v>0.5</v>
      </c>
    </row>
    <row r="729" customFormat="false" ht="15" hidden="false" customHeight="true" outlineLevel="0" collapsed="false">
      <c r="A729" s="34" t="s">
        <v>290</v>
      </c>
      <c r="B729" s="36" t="n">
        <v>4</v>
      </c>
    </row>
  </sheetData>
  <mergeCells count="50">
    <mergeCell ref="A1:G1"/>
    <mergeCell ref="A2:G2"/>
    <mergeCell ref="A4:G4"/>
    <mergeCell ref="A5:G5"/>
    <mergeCell ref="A7:G7"/>
    <mergeCell ref="A28:G28"/>
    <mergeCell ref="A29:G29"/>
    <mergeCell ref="A31:G31"/>
    <mergeCell ref="A57:G57"/>
    <mergeCell ref="A80:G80"/>
    <mergeCell ref="A99:G99"/>
    <mergeCell ref="A126:G126"/>
    <mergeCell ref="A151:G151"/>
    <mergeCell ref="A178:G178"/>
    <mergeCell ref="A204:G204"/>
    <mergeCell ref="A226:G226"/>
    <mergeCell ref="A251:G251"/>
    <mergeCell ref="A252:G252"/>
    <mergeCell ref="A254:G254"/>
    <mergeCell ref="A255:G255"/>
    <mergeCell ref="A257:G257"/>
    <mergeCell ref="A283:G283"/>
    <mergeCell ref="A306:G306"/>
    <mergeCell ref="A307:G307"/>
    <mergeCell ref="A309:G309"/>
    <mergeCell ref="A332:G332"/>
    <mergeCell ref="A360:G360"/>
    <mergeCell ref="A380:G380"/>
    <mergeCell ref="A381:G381"/>
    <mergeCell ref="A383:G383"/>
    <mergeCell ref="A402:G402"/>
    <mergeCell ref="A422:G422"/>
    <mergeCell ref="A448:G448"/>
    <mergeCell ref="A471:G471"/>
    <mergeCell ref="A472:G472"/>
    <mergeCell ref="A474:G474"/>
    <mergeCell ref="A491:G491"/>
    <mergeCell ref="A515:G515"/>
    <mergeCell ref="A536:G536"/>
    <mergeCell ref="A560:G560"/>
    <mergeCell ref="A583:G583"/>
    <mergeCell ref="A603:G603"/>
    <mergeCell ref="A621:G621"/>
    <mergeCell ref="A638:G638"/>
    <mergeCell ref="A666:G666"/>
    <mergeCell ref="A667:G667"/>
    <mergeCell ref="A669:G669"/>
    <mergeCell ref="A683:G683"/>
    <mergeCell ref="A697:G697"/>
    <mergeCell ref="A717:G7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2"/>
    <col collapsed="false" customWidth="true" hidden="false" outlineLevel="0" max="4" min="2" style="0" width="8"/>
    <col collapsed="false" customWidth="true" hidden="false" outlineLevel="0" max="24" min="5" style="0" width="6.53"/>
  </cols>
  <sheetData>
    <row r="1" customFormat="false" ht="15" hidden="false" customHeight="true" outlineLevel="0" collapsed="false">
      <c r="A1" s="28" t="s">
        <v>271</v>
      </c>
      <c r="B1" s="28"/>
      <c r="C1" s="28"/>
      <c r="D1" s="28"/>
      <c r="E1" s="28"/>
      <c r="F1" s="28"/>
      <c r="G1" s="28"/>
      <c r="H1" s="28"/>
    </row>
    <row r="2" customFormat="false" ht="15" hidden="false" customHeight="true" outlineLevel="0" collapsed="false">
      <c r="A2" s="29" t="s">
        <v>329</v>
      </c>
      <c r="B2" s="29"/>
      <c r="C2" s="29"/>
      <c r="D2" s="29"/>
      <c r="E2" s="29"/>
      <c r="F2" s="29"/>
      <c r="G2" s="29"/>
      <c r="H2" s="29"/>
    </row>
    <row r="4" customFormat="false" ht="15" hidden="false" customHeight="true" outlineLevel="0" collapsed="false">
      <c r="A4" s="28" t="s">
        <v>273</v>
      </c>
      <c r="B4" s="28"/>
      <c r="C4" s="28"/>
      <c r="D4" s="28"/>
      <c r="E4" s="28"/>
      <c r="F4" s="28"/>
      <c r="G4" s="28"/>
      <c r="H4" s="28"/>
      <c r="I4" s="28"/>
      <c r="J4" s="28"/>
      <c r="K4" s="28"/>
      <c r="L4" s="28"/>
    </row>
    <row r="5" customFormat="false" ht="15" hidden="false" customHeight="true" outlineLevel="0" collapsed="false">
      <c r="A5" s="12" t="s">
        <v>330</v>
      </c>
      <c r="B5" s="12" t="s">
        <v>331</v>
      </c>
      <c r="C5" s="12" t="s">
        <v>332</v>
      </c>
      <c r="D5" s="12" t="s">
        <v>333</v>
      </c>
      <c r="E5" s="37" t="n">
        <v>1</v>
      </c>
      <c r="F5" s="37" t="n">
        <v>2</v>
      </c>
      <c r="G5" s="37" t="n">
        <v>3</v>
      </c>
      <c r="H5" s="37" t="n">
        <v>4</v>
      </c>
      <c r="I5" s="37" t="n">
        <v>5</v>
      </c>
      <c r="J5" s="37" t="n">
        <v>6</v>
      </c>
      <c r="K5" s="37" t="n">
        <v>7</v>
      </c>
      <c r="L5" s="37" t="n">
        <v>8</v>
      </c>
    </row>
    <row r="6" customFormat="false" ht="15" hidden="false" customHeight="true" outlineLevel="0" collapsed="false">
      <c r="A6" s="38" t="s">
        <v>125</v>
      </c>
      <c r="B6" s="31" t="n">
        <v>13</v>
      </c>
      <c r="C6" s="39" t="s">
        <v>334</v>
      </c>
      <c r="D6" s="31" t="n">
        <v>64</v>
      </c>
      <c r="E6" s="40" t="n">
        <v>1</v>
      </c>
      <c r="F6" s="40" t="n">
        <v>0.953125</v>
      </c>
      <c r="G6" s="40" t="n">
        <v>0.90625</v>
      </c>
      <c r="H6" s="40" t="n">
        <v>0.859375</v>
      </c>
      <c r="I6" s="40" t="n">
        <v>0.875</v>
      </c>
      <c r="J6" s="40" t="n">
        <v>0.890625</v>
      </c>
      <c r="K6" s="40" t="n">
        <v>0.90625</v>
      </c>
      <c r="L6" s="40" t="n">
        <v>0.84375</v>
      </c>
    </row>
    <row r="7" customFormat="false" ht="15" hidden="false" customHeight="true" outlineLevel="0" collapsed="false">
      <c r="A7" s="38" t="s">
        <v>126</v>
      </c>
      <c r="B7" s="31" t="n">
        <v>14</v>
      </c>
      <c r="C7" s="39" t="s">
        <v>334</v>
      </c>
      <c r="D7" s="31" t="n">
        <v>8</v>
      </c>
      <c r="E7" s="40" t="n">
        <v>1</v>
      </c>
      <c r="F7" s="40" t="n">
        <v>1</v>
      </c>
      <c r="G7" s="40" t="n">
        <v>1</v>
      </c>
      <c r="H7" s="40" t="n">
        <v>1</v>
      </c>
      <c r="I7" s="40" t="n">
        <v>1</v>
      </c>
      <c r="J7" s="40" t="n">
        <v>1</v>
      </c>
      <c r="K7" s="40" t="n">
        <v>0.875</v>
      </c>
      <c r="L7" s="32"/>
    </row>
    <row r="8" customFormat="false" ht="15" hidden="false" customHeight="true" outlineLevel="0" collapsed="false">
      <c r="A8" s="38" t="s">
        <v>128</v>
      </c>
      <c r="B8" s="31" t="n">
        <v>16</v>
      </c>
      <c r="C8" s="39" t="s">
        <v>334</v>
      </c>
      <c r="D8" s="31" t="n">
        <v>67</v>
      </c>
      <c r="E8" s="40" t="n">
        <v>1</v>
      </c>
      <c r="F8" s="40" t="n">
        <v>0.925373134328358</v>
      </c>
      <c r="G8" s="40" t="n">
        <v>0.895522388059702</v>
      </c>
      <c r="H8" s="40" t="n">
        <v>0.865671641791045</v>
      </c>
      <c r="I8" s="40" t="n">
        <v>0.850746268656716</v>
      </c>
      <c r="J8" s="32"/>
      <c r="K8" s="32"/>
      <c r="L8" s="32"/>
    </row>
    <row r="9" customFormat="false" ht="15" hidden="false" customHeight="true" outlineLevel="0" collapsed="false">
      <c r="A9" s="38" t="s">
        <v>131</v>
      </c>
      <c r="B9" s="31" t="n">
        <v>19</v>
      </c>
      <c r="C9" s="39" t="s">
        <v>334</v>
      </c>
      <c r="D9" s="31" t="n">
        <v>69</v>
      </c>
      <c r="E9" s="40" t="n">
        <v>1</v>
      </c>
      <c r="F9" s="40" t="n">
        <v>0.927536231884058</v>
      </c>
      <c r="G9" s="32"/>
      <c r="H9" s="32"/>
      <c r="I9" s="32"/>
      <c r="J9" s="32"/>
      <c r="K9" s="32"/>
      <c r="L9" s="32"/>
    </row>
    <row r="10" customFormat="false" ht="15" hidden="false" customHeight="true" outlineLevel="0" collapsed="false">
      <c r="A10" s="34" t="s">
        <v>335</v>
      </c>
      <c r="B10" s="36"/>
      <c r="C10" s="36"/>
      <c r="D10" s="36"/>
      <c r="E10" s="36"/>
      <c r="F10" s="36"/>
      <c r="G10" s="36"/>
      <c r="H10" s="36"/>
      <c r="I10" s="36"/>
      <c r="J10" s="36"/>
      <c r="K10" s="36"/>
      <c r="L10" s="36"/>
    </row>
    <row r="11" customFormat="false" ht="15" hidden="false" customHeight="true" outlineLevel="0" collapsed="false">
      <c r="A11" s="34" t="s">
        <v>336</v>
      </c>
      <c r="B11" s="36"/>
      <c r="C11" s="36"/>
      <c r="D11" s="36"/>
      <c r="E11" s="36"/>
      <c r="F11" s="36"/>
      <c r="G11" s="36"/>
      <c r="H11" s="36"/>
      <c r="I11" s="36"/>
      <c r="J11" s="36"/>
      <c r="K11" s="36"/>
      <c r="L11" s="36"/>
    </row>
    <row r="12" customFormat="false" ht="15" hidden="false" customHeight="true" outlineLevel="0" collapsed="false">
      <c r="A12" s="41" t="s">
        <v>337</v>
      </c>
      <c r="B12" s="41"/>
      <c r="C12" s="41"/>
      <c r="D12" s="41"/>
      <c r="E12" s="41"/>
      <c r="F12" s="41"/>
      <c r="G12" s="41"/>
      <c r="H12" s="41"/>
      <c r="I12" s="41"/>
      <c r="J12" s="41"/>
      <c r="K12" s="41"/>
      <c r="L12" s="41"/>
    </row>
    <row r="14" customFormat="false" ht="15" hidden="false" customHeight="true" outlineLevel="0" collapsed="false">
      <c r="A14" s="28" t="s">
        <v>274</v>
      </c>
      <c r="B14" s="28"/>
      <c r="C14" s="28"/>
      <c r="D14" s="28"/>
      <c r="E14" s="28"/>
      <c r="F14" s="28"/>
      <c r="G14" s="28"/>
      <c r="H14" s="28"/>
      <c r="I14" s="28"/>
      <c r="J14" s="28"/>
      <c r="K14" s="28"/>
      <c r="L14" s="28"/>
      <c r="M14" s="28"/>
      <c r="N14" s="28"/>
      <c r="O14" s="28"/>
    </row>
    <row r="15" customFormat="false" ht="15" hidden="false" customHeight="true" outlineLevel="0" collapsed="false">
      <c r="A15" s="12" t="s">
        <v>330</v>
      </c>
      <c r="B15" s="12" t="s">
        <v>331</v>
      </c>
      <c r="C15" s="12" t="s">
        <v>332</v>
      </c>
      <c r="D15" s="12" t="s">
        <v>333</v>
      </c>
      <c r="E15" s="37" t="n">
        <v>1</v>
      </c>
      <c r="F15" s="37" t="n">
        <v>2</v>
      </c>
      <c r="G15" s="37" t="n">
        <v>3</v>
      </c>
      <c r="H15" s="37" t="n">
        <v>4</v>
      </c>
      <c r="I15" s="37" t="n">
        <v>5</v>
      </c>
      <c r="J15" s="37" t="n">
        <v>6</v>
      </c>
      <c r="K15" s="37" t="n">
        <v>7</v>
      </c>
      <c r="L15" s="37" t="n">
        <v>8</v>
      </c>
      <c r="M15" s="37" t="n">
        <v>9</v>
      </c>
      <c r="N15" s="37" t="n">
        <v>10</v>
      </c>
      <c r="O15" s="37" t="n">
        <v>11</v>
      </c>
    </row>
    <row r="16" customFormat="false" ht="15" hidden="false" customHeight="true" outlineLevel="0" collapsed="false">
      <c r="A16" s="42" t="s">
        <v>114</v>
      </c>
      <c r="B16" s="31" t="n">
        <v>2</v>
      </c>
      <c r="C16" s="43" t="s">
        <v>338</v>
      </c>
      <c r="D16" s="31" t="n">
        <v>17</v>
      </c>
      <c r="E16" s="40" t="n">
        <v>1</v>
      </c>
      <c r="F16" s="40" t="n">
        <v>1</v>
      </c>
      <c r="G16" s="40" t="n">
        <v>1</v>
      </c>
      <c r="H16" s="40" t="n">
        <v>1</v>
      </c>
      <c r="I16" s="40" t="n">
        <v>0</v>
      </c>
      <c r="J16" s="40" t="n">
        <v>0.0588235294117647</v>
      </c>
      <c r="K16" s="40" t="n">
        <v>0</v>
      </c>
      <c r="L16" s="40" t="n">
        <v>0</v>
      </c>
      <c r="M16" s="40" t="n">
        <v>0</v>
      </c>
      <c r="N16" s="40" t="n">
        <v>0</v>
      </c>
      <c r="O16" s="40" t="n">
        <v>0</v>
      </c>
    </row>
    <row r="17" customFormat="false" ht="15" hidden="false" customHeight="true" outlineLevel="0" collapsed="false">
      <c r="A17" s="42" t="s">
        <v>115</v>
      </c>
      <c r="B17" s="31" t="n">
        <v>3</v>
      </c>
      <c r="C17" s="43" t="s">
        <v>338</v>
      </c>
      <c r="D17" s="31" t="n">
        <v>10</v>
      </c>
      <c r="E17" s="40" t="n">
        <v>1</v>
      </c>
      <c r="F17" s="40" t="n">
        <v>1</v>
      </c>
      <c r="G17" s="40" t="n">
        <v>1</v>
      </c>
      <c r="H17" s="40" t="n">
        <v>1</v>
      </c>
      <c r="I17" s="40" t="n">
        <v>0</v>
      </c>
      <c r="J17" s="40" t="n">
        <v>0</v>
      </c>
      <c r="K17" s="40" t="n">
        <v>0</v>
      </c>
      <c r="L17" s="40" t="n">
        <v>0</v>
      </c>
      <c r="M17" s="40" t="n">
        <v>0</v>
      </c>
      <c r="N17" s="40" t="n">
        <v>0</v>
      </c>
      <c r="O17" s="40" t="n">
        <v>0</v>
      </c>
    </row>
    <row r="18" customFormat="false" ht="15" hidden="false" customHeight="true" outlineLevel="0" collapsed="false">
      <c r="A18" s="42" t="s">
        <v>116</v>
      </c>
      <c r="B18" s="31" t="n">
        <v>4</v>
      </c>
      <c r="C18" s="43" t="s">
        <v>338</v>
      </c>
      <c r="D18" s="31" t="n">
        <v>11</v>
      </c>
      <c r="E18" s="40" t="n">
        <v>1</v>
      </c>
      <c r="F18" s="40" t="n">
        <v>1</v>
      </c>
      <c r="G18" s="40" t="n">
        <v>0.909090909090909</v>
      </c>
      <c r="H18" s="40" t="n">
        <v>0.909090909090909</v>
      </c>
      <c r="I18" s="40" t="n">
        <v>0.818181818181818</v>
      </c>
      <c r="J18" s="40" t="n">
        <v>0</v>
      </c>
      <c r="K18" s="40" t="n">
        <v>0.0909090909090909</v>
      </c>
      <c r="L18" s="40" t="n">
        <v>0</v>
      </c>
      <c r="M18" s="40" t="n">
        <v>0</v>
      </c>
      <c r="N18" s="40" t="n">
        <v>0</v>
      </c>
      <c r="O18" s="40" t="n">
        <v>0</v>
      </c>
    </row>
    <row r="19" customFormat="false" ht="15" hidden="false" customHeight="true" outlineLevel="0" collapsed="false">
      <c r="A19" s="42" t="s">
        <v>117</v>
      </c>
      <c r="B19" s="31" t="n">
        <v>5</v>
      </c>
      <c r="C19" s="43" t="s">
        <v>338</v>
      </c>
      <c r="D19" s="31" t="n">
        <v>9</v>
      </c>
      <c r="E19" s="40" t="n">
        <v>1</v>
      </c>
      <c r="F19" s="40" t="n">
        <v>1</v>
      </c>
      <c r="G19" s="40" t="n">
        <v>0.888888888888889</v>
      </c>
      <c r="H19" s="40" t="n">
        <v>0.888888888888889</v>
      </c>
      <c r="I19" s="40" t="n">
        <v>0.888888888888889</v>
      </c>
      <c r="J19" s="40" t="n">
        <v>0</v>
      </c>
      <c r="K19" s="40" t="n">
        <v>0</v>
      </c>
      <c r="L19" s="40" t="n">
        <v>0</v>
      </c>
      <c r="M19" s="40" t="n">
        <v>0</v>
      </c>
      <c r="N19" s="40" t="n">
        <v>0</v>
      </c>
      <c r="O19" s="40" t="n">
        <v>0</v>
      </c>
    </row>
    <row r="20" customFormat="false" ht="15" hidden="false" customHeight="true" outlineLevel="0" collapsed="false">
      <c r="A20" s="42" t="s">
        <v>119</v>
      </c>
      <c r="B20" s="31" t="n">
        <v>7</v>
      </c>
      <c r="C20" s="43" t="s">
        <v>338</v>
      </c>
      <c r="D20" s="31" t="n">
        <v>20</v>
      </c>
      <c r="E20" s="40" t="n">
        <v>1</v>
      </c>
      <c r="F20" s="40" t="n">
        <v>1</v>
      </c>
      <c r="G20" s="40" t="n">
        <v>1</v>
      </c>
      <c r="H20" s="40" t="n">
        <v>0.95</v>
      </c>
      <c r="I20" s="40" t="n">
        <v>0.95</v>
      </c>
      <c r="J20" s="40" t="n">
        <v>0</v>
      </c>
      <c r="K20" s="40" t="n">
        <v>0</v>
      </c>
      <c r="L20" s="40" t="n">
        <v>0</v>
      </c>
      <c r="M20" s="40" t="n">
        <v>0</v>
      </c>
      <c r="N20" s="40" t="n">
        <v>0</v>
      </c>
      <c r="O20" s="40" t="n">
        <v>0</v>
      </c>
    </row>
    <row r="21" customFormat="false" ht="15" hidden="false" customHeight="true" outlineLevel="0" collapsed="false">
      <c r="A21" s="42" t="s">
        <v>120</v>
      </c>
      <c r="B21" s="31" t="n">
        <v>8</v>
      </c>
      <c r="C21" s="43" t="s">
        <v>338</v>
      </c>
      <c r="D21" s="31" t="n">
        <v>18</v>
      </c>
      <c r="E21" s="40" t="n">
        <v>1</v>
      </c>
      <c r="F21" s="40" t="n">
        <v>1</v>
      </c>
      <c r="G21" s="40" t="n">
        <v>0.944444444444444</v>
      </c>
      <c r="H21" s="40" t="n">
        <v>0.944444444444444</v>
      </c>
      <c r="I21" s="40" t="n">
        <v>0.944444444444444</v>
      </c>
      <c r="J21" s="40" t="n">
        <v>0.0555555555555556</v>
      </c>
      <c r="K21" s="40" t="n">
        <v>0.0555555555555556</v>
      </c>
      <c r="L21" s="40" t="n">
        <v>0</v>
      </c>
      <c r="M21" s="40" t="n">
        <v>0.0555555555555556</v>
      </c>
      <c r="N21" s="40" t="n">
        <v>0.0555555555555556</v>
      </c>
      <c r="O21" s="40" t="n">
        <v>0.0555555555555556</v>
      </c>
    </row>
    <row r="22" customFormat="false" ht="15" hidden="false" customHeight="true" outlineLevel="0" collapsed="false">
      <c r="A22" s="42" t="s">
        <v>122</v>
      </c>
      <c r="B22" s="31" t="n">
        <v>10</v>
      </c>
      <c r="C22" s="43" t="s">
        <v>338</v>
      </c>
      <c r="D22" s="31" t="n">
        <v>12</v>
      </c>
      <c r="E22" s="40" t="n">
        <v>1</v>
      </c>
      <c r="F22" s="40" t="n">
        <v>1</v>
      </c>
      <c r="G22" s="40" t="n">
        <v>1</v>
      </c>
      <c r="H22" s="40" t="n">
        <v>1</v>
      </c>
      <c r="I22" s="40" t="n">
        <v>1</v>
      </c>
      <c r="J22" s="40" t="n">
        <v>0.0833333333333333</v>
      </c>
      <c r="K22" s="40" t="n">
        <v>0</v>
      </c>
      <c r="L22" s="40" t="n">
        <v>0</v>
      </c>
      <c r="M22" s="40" t="n">
        <v>0</v>
      </c>
      <c r="N22" s="40" t="n">
        <v>0</v>
      </c>
      <c r="O22" s="40" t="n">
        <v>0</v>
      </c>
    </row>
    <row r="23" customFormat="false" ht="15" hidden="false" customHeight="true" outlineLevel="0" collapsed="false">
      <c r="A23" s="42" t="s">
        <v>123</v>
      </c>
      <c r="B23" s="31" t="n">
        <v>11</v>
      </c>
      <c r="C23" s="43" t="s">
        <v>338</v>
      </c>
      <c r="D23" s="31" t="n">
        <v>15</v>
      </c>
      <c r="E23" s="40" t="n">
        <v>1</v>
      </c>
      <c r="F23" s="40" t="n">
        <v>1</v>
      </c>
      <c r="G23" s="40" t="n">
        <v>1</v>
      </c>
      <c r="H23" s="40" t="n">
        <v>1</v>
      </c>
      <c r="I23" s="40" t="n">
        <v>1</v>
      </c>
      <c r="J23" s="40" t="n">
        <v>0.133333333333333</v>
      </c>
      <c r="K23" s="40" t="n">
        <v>0</v>
      </c>
      <c r="L23" s="40" t="n">
        <v>0</v>
      </c>
      <c r="M23" s="40" t="n">
        <v>0</v>
      </c>
      <c r="N23" s="40" t="n">
        <v>0</v>
      </c>
      <c r="O23" s="32"/>
    </row>
    <row r="24" customFormat="false" ht="15" hidden="false" customHeight="true" outlineLevel="0" collapsed="false">
      <c r="A24" s="38" t="s">
        <v>125</v>
      </c>
      <c r="B24" s="31" t="n">
        <v>13</v>
      </c>
      <c r="C24" s="39" t="s">
        <v>334</v>
      </c>
      <c r="D24" s="31" t="n">
        <v>12</v>
      </c>
      <c r="E24" s="40" t="n">
        <v>1</v>
      </c>
      <c r="F24" s="40" t="n">
        <v>1</v>
      </c>
      <c r="G24" s="40" t="n">
        <v>1</v>
      </c>
      <c r="H24" s="40" t="n">
        <v>1</v>
      </c>
      <c r="I24" s="40" t="n">
        <v>1</v>
      </c>
      <c r="J24" s="40" t="n">
        <v>0.0833333333333333</v>
      </c>
      <c r="K24" s="40" t="n">
        <v>0</v>
      </c>
      <c r="L24" s="40" t="n">
        <v>0</v>
      </c>
      <c r="M24" s="32"/>
      <c r="N24" s="32"/>
      <c r="O24" s="32"/>
    </row>
    <row r="25" customFormat="false" ht="15" hidden="false" customHeight="true" outlineLevel="0" collapsed="false">
      <c r="A25" s="38" t="s">
        <v>126</v>
      </c>
      <c r="B25" s="31" t="n">
        <v>14</v>
      </c>
      <c r="C25" s="39" t="s">
        <v>334</v>
      </c>
      <c r="D25" s="31" t="n">
        <v>12</v>
      </c>
      <c r="E25" s="40" t="n">
        <v>1</v>
      </c>
      <c r="F25" s="40" t="n">
        <v>0.916666666666667</v>
      </c>
      <c r="G25" s="40" t="n">
        <v>0.916666666666667</v>
      </c>
      <c r="H25" s="40" t="n">
        <v>0.916666666666667</v>
      </c>
      <c r="I25" s="40" t="n">
        <v>0.916666666666667</v>
      </c>
      <c r="J25" s="40" t="n">
        <v>0</v>
      </c>
      <c r="K25" s="40" t="n">
        <v>0</v>
      </c>
      <c r="L25" s="32"/>
      <c r="M25" s="32"/>
      <c r="N25" s="32"/>
      <c r="O25" s="32"/>
    </row>
    <row r="26" customFormat="false" ht="15" hidden="false" customHeight="true" outlineLevel="0" collapsed="false">
      <c r="A26" s="38" t="s">
        <v>128</v>
      </c>
      <c r="B26" s="31" t="n">
        <v>16</v>
      </c>
      <c r="C26" s="39" t="s">
        <v>334</v>
      </c>
      <c r="D26" s="31" t="n">
        <v>6</v>
      </c>
      <c r="E26" s="40" t="n">
        <v>1</v>
      </c>
      <c r="F26" s="40" t="n">
        <v>1</v>
      </c>
      <c r="G26" s="40" t="n">
        <v>1</v>
      </c>
      <c r="H26" s="40" t="n">
        <v>1</v>
      </c>
      <c r="I26" s="40" t="n">
        <v>1</v>
      </c>
      <c r="J26" s="32"/>
      <c r="K26" s="32"/>
      <c r="L26" s="32"/>
      <c r="M26" s="32"/>
      <c r="N26" s="32"/>
      <c r="O26" s="32"/>
    </row>
    <row r="27" customFormat="false" ht="15" hidden="false" customHeight="true" outlineLevel="0" collapsed="false">
      <c r="A27" s="38" t="s">
        <v>129</v>
      </c>
      <c r="B27" s="31" t="n">
        <v>17</v>
      </c>
      <c r="C27" s="39" t="s">
        <v>334</v>
      </c>
      <c r="D27" s="31" t="n">
        <v>9</v>
      </c>
      <c r="E27" s="40" t="n">
        <v>1</v>
      </c>
      <c r="F27" s="40" t="n">
        <v>1</v>
      </c>
      <c r="G27" s="40" t="n">
        <v>0.888888888888889</v>
      </c>
      <c r="H27" s="40" t="n">
        <v>1</v>
      </c>
      <c r="I27" s="32"/>
      <c r="J27" s="32"/>
      <c r="K27" s="32"/>
      <c r="L27" s="32"/>
      <c r="M27" s="32"/>
      <c r="N27" s="32"/>
      <c r="O27" s="32"/>
    </row>
    <row r="28" customFormat="false" ht="15" hidden="false" customHeight="true" outlineLevel="0" collapsed="false">
      <c r="A28" s="38" t="s">
        <v>130</v>
      </c>
      <c r="B28" s="31" t="n">
        <v>18</v>
      </c>
      <c r="C28" s="39" t="s">
        <v>334</v>
      </c>
      <c r="D28" s="31" t="n">
        <v>1</v>
      </c>
      <c r="E28" s="40" t="n">
        <v>1</v>
      </c>
      <c r="F28" s="40" t="n">
        <v>1</v>
      </c>
      <c r="G28" s="40" t="n">
        <v>1</v>
      </c>
      <c r="H28" s="32"/>
      <c r="I28" s="32"/>
      <c r="J28" s="32"/>
      <c r="K28" s="32"/>
      <c r="L28" s="32"/>
      <c r="M28" s="32"/>
      <c r="N28" s="32"/>
      <c r="O28" s="32"/>
    </row>
    <row r="29" customFormat="false" ht="15" hidden="false" customHeight="true" outlineLevel="0" collapsed="false">
      <c r="A29" s="38" t="s">
        <v>131</v>
      </c>
      <c r="B29" s="31" t="n">
        <v>19</v>
      </c>
      <c r="C29" s="39" t="s">
        <v>334</v>
      </c>
      <c r="D29" s="31" t="n">
        <v>5</v>
      </c>
      <c r="E29" s="40" t="n">
        <v>1</v>
      </c>
      <c r="F29" s="40" t="n">
        <v>1</v>
      </c>
      <c r="G29" s="32"/>
      <c r="H29" s="32"/>
      <c r="I29" s="32"/>
      <c r="J29" s="32"/>
      <c r="K29" s="32"/>
      <c r="L29" s="32"/>
      <c r="M29" s="32"/>
      <c r="N29" s="32"/>
      <c r="O29" s="32"/>
    </row>
    <row r="30" customFormat="false" ht="15" hidden="false" customHeight="true" outlineLevel="0" collapsed="false">
      <c r="A30" s="34" t="s">
        <v>335</v>
      </c>
      <c r="B30" s="36"/>
      <c r="C30" s="36"/>
      <c r="D30" s="36"/>
      <c r="E30" s="44" t="n">
        <v>1</v>
      </c>
      <c r="F30" s="44" t="n">
        <v>1</v>
      </c>
      <c r="G30" s="44" t="n">
        <v>0.973214285714286</v>
      </c>
      <c r="H30" s="44" t="n">
        <v>0.964285714285714</v>
      </c>
      <c r="I30" s="44" t="n">
        <v>0.714285714285714</v>
      </c>
      <c r="J30" s="44" t="n">
        <v>0.0446428571428571</v>
      </c>
      <c r="K30" s="44" t="n">
        <v>0.0178571428571429</v>
      </c>
      <c r="L30" s="44" t="n">
        <v>0</v>
      </c>
      <c r="M30" s="44" t="n">
        <v>0.00892857142857143</v>
      </c>
      <c r="N30" s="44" t="n">
        <v>0.00892857142857143</v>
      </c>
      <c r="O30" s="44" t="n">
        <v>0.00892857142857143</v>
      </c>
    </row>
    <row r="31" customFormat="false" ht="15" hidden="false" customHeight="true" outlineLevel="0" collapsed="false">
      <c r="A31" s="34" t="s">
        <v>336</v>
      </c>
      <c r="B31" s="36"/>
      <c r="C31" s="36"/>
      <c r="D31" s="36"/>
      <c r="E31" s="44" t="n">
        <v>1</v>
      </c>
      <c r="F31" s="44" t="n">
        <v>1</v>
      </c>
      <c r="G31" s="44" t="n">
        <v>0.96780303030303</v>
      </c>
      <c r="H31" s="44" t="n">
        <v>0.96155303030303</v>
      </c>
      <c r="I31" s="44" t="n">
        <v>0.700189393939394</v>
      </c>
      <c r="J31" s="44" t="n">
        <v>0.0413807189542484</v>
      </c>
      <c r="K31" s="44" t="n">
        <v>0.0183080808080808</v>
      </c>
      <c r="L31" s="44" t="n">
        <v>0</v>
      </c>
      <c r="M31" s="44" t="n">
        <v>0.00694444444444444</v>
      </c>
      <c r="N31" s="44" t="n">
        <v>0.00694444444444444</v>
      </c>
      <c r="O31" s="44" t="n">
        <v>0.00793650793650794</v>
      </c>
    </row>
    <row r="32" customFormat="false" ht="15" hidden="false" customHeight="true" outlineLevel="0" collapsed="false">
      <c r="A32" s="45" t="s">
        <v>339</v>
      </c>
      <c r="B32" s="45"/>
      <c r="C32" s="45"/>
      <c r="D32" s="45"/>
      <c r="E32" s="45"/>
      <c r="F32" s="45"/>
      <c r="G32" s="45"/>
      <c r="H32" s="45"/>
      <c r="I32" s="45"/>
      <c r="J32" s="45"/>
      <c r="K32" s="45"/>
      <c r="L32" s="45"/>
      <c r="M32" s="45"/>
      <c r="N32" s="45"/>
      <c r="O32" s="45"/>
    </row>
    <row r="34" customFormat="false" ht="15" hidden="false" customHeight="true" outlineLevel="0" collapsed="false">
      <c r="A34" s="28" t="s">
        <v>291</v>
      </c>
      <c r="B34" s="28"/>
      <c r="C34" s="28"/>
      <c r="D34" s="28"/>
      <c r="E34" s="28"/>
      <c r="F34" s="28"/>
      <c r="G34" s="28"/>
      <c r="H34" s="28"/>
    </row>
    <row r="35" customFormat="false" ht="15" hidden="false" customHeight="true" outlineLevel="0" collapsed="false">
      <c r="A35" s="29" t="s">
        <v>329</v>
      </c>
      <c r="B35" s="29"/>
      <c r="C35" s="29"/>
      <c r="D35" s="29"/>
      <c r="E35" s="29"/>
      <c r="F35" s="29"/>
      <c r="G35" s="29"/>
      <c r="H35" s="29"/>
    </row>
    <row r="37" customFormat="false" ht="15" hidden="false" customHeight="true" outlineLevel="0" collapsed="false">
      <c r="A37" s="28" t="s">
        <v>292</v>
      </c>
      <c r="B37" s="28"/>
      <c r="C37" s="28"/>
      <c r="D37" s="28"/>
      <c r="E37" s="28"/>
      <c r="F37" s="28"/>
      <c r="G37" s="28"/>
      <c r="H37" s="28"/>
      <c r="I37" s="28"/>
      <c r="J37" s="28"/>
      <c r="K37" s="28"/>
      <c r="L37" s="28"/>
      <c r="M37" s="28"/>
      <c r="N37" s="28"/>
      <c r="O37" s="28"/>
      <c r="P37" s="28"/>
      <c r="Q37" s="28"/>
      <c r="R37" s="28"/>
      <c r="S37" s="28"/>
      <c r="T37" s="28"/>
    </row>
    <row r="38" customFormat="false" ht="15" hidden="false" customHeight="true" outlineLevel="0" collapsed="false">
      <c r="A38" s="12" t="s">
        <v>330</v>
      </c>
      <c r="B38" s="12" t="s">
        <v>331</v>
      </c>
      <c r="C38" s="12" t="s">
        <v>332</v>
      </c>
      <c r="D38" s="12" t="s">
        <v>333</v>
      </c>
      <c r="E38" s="37" t="n">
        <v>1</v>
      </c>
      <c r="F38" s="37" t="n">
        <v>2</v>
      </c>
      <c r="G38" s="37" t="n">
        <v>3</v>
      </c>
      <c r="H38" s="37" t="n">
        <v>4</v>
      </c>
      <c r="I38" s="37" t="n">
        <v>5</v>
      </c>
      <c r="J38" s="37" t="n">
        <v>6</v>
      </c>
      <c r="K38" s="37" t="n">
        <v>7</v>
      </c>
      <c r="L38" s="37" t="n">
        <v>8</v>
      </c>
      <c r="M38" s="37" t="n">
        <v>9</v>
      </c>
      <c r="N38" s="37" t="n">
        <v>10</v>
      </c>
      <c r="O38" s="37" t="n">
        <v>11</v>
      </c>
      <c r="P38" s="37" t="n">
        <v>12</v>
      </c>
      <c r="Q38" s="37" t="n">
        <v>13</v>
      </c>
      <c r="R38" s="37" t="n">
        <v>14</v>
      </c>
      <c r="S38" s="37" t="n">
        <v>15</v>
      </c>
      <c r="T38" s="37" t="n">
        <v>16</v>
      </c>
    </row>
    <row r="39" customFormat="false" ht="15" hidden="false" customHeight="true" outlineLevel="0" collapsed="false">
      <c r="A39" s="42" t="s">
        <v>113</v>
      </c>
      <c r="B39" s="31" t="n">
        <v>1</v>
      </c>
      <c r="C39" s="43" t="s">
        <v>338</v>
      </c>
      <c r="D39" s="31" t="n">
        <v>8</v>
      </c>
      <c r="E39" s="40" t="n">
        <v>1</v>
      </c>
      <c r="F39" s="40" t="n">
        <v>0.875</v>
      </c>
      <c r="G39" s="40" t="n">
        <v>0.75</v>
      </c>
      <c r="H39" s="40" t="n">
        <v>0.125</v>
      </c>
      <c r="I39" s="40" t="n">
        <v>0.375</v>
      </c>
      <c r="J39" s="40" t="n">
        <v>0.25</v>
      </c>
      <c r="K39" s="40" t="n">
        <v>0</v>
      </c>
      <c r="L39" s="40" t="n">
        <v>0.125</v>
      </c>
      <c r="M39" s="40" t="n">
        <v>0</v>
      </c>
      <c r="N39" s="40" t="n">
        <v>0</v>
      </c>
      <c r="O39" s="40" t="n">
        <v>0</v>
      </c>
      <c r="P39" s="40" t="n">
        <v>0</v>
      </c>
      <c r="Q39" s="40" t="n">
        <v>0</v>
      </c>
      <c r="R39" s="40" t="n">
        <v>0</v>
      </c>
      <c r="S39" s="40" t="n">
        <v>0</v>
      </c>
      <c r="T39" s="40" t="n">
        <v>0</v>
      </c>
    </row>
    <row r="40" customFormat="false" ht="15" hidden="false" customHeight="true" outlineLevel="0" collapsed="false">
      <c r="A40" s="42" t="s">
        <v>114</v>
      </c>
      <c r="B40" s="31" t="n">
        <v>2</v>
      </c>
      <c r="C40" s="43" t="s">
        <v>338</v>
      </c>
      <c r="D40" s="31" t="n">
        <v>31</v>
      </c>
      <c r="E40" s="40" t="n">
        <v>1</v>
      </c>
      <c r="F40" s="40" t="n">
        <v>0.870967741935484</v>
      </c>
      <c r="G40" s="40" t="n">
        <v>0.709677419354839</v>
      </c>
      <c r="H40" s="40" t="n">
        <v>0.645161290322581</v>
      </c>
      <c r="I40" s="40" t="n">
        <v>0.580645161290323</v>
      </c>
      <c r="J40" s="40" t="n">
        <v>0.32258064516129</v>
      </c>
      <c r="K40" s="40" t="n">
        <v>0.290322580645161</v>
      </c>
      <c r="L40" s="40" t="n">
        <v>0.258064516129032</v>
      </c>
      <c r="M40" s="40" t="n">
        <v>0.0967741935483871</v>
      </c>
      <c r="N40" s="40" t="n">
        <v>0.129032258064516</v>
      </c>
      <c r="O40" s="40" t="n">
        <v>0.0645161290322581</v>
      </c>
      <c r="P40" s="40" t="n">
        <v>0.032258064516129</v>
      </c>
      <c r="Q40" s="40" t="n">
        <v>0.0645161290322581</v>
      </c>
      <c r="R40" s="40" t="n">
        <v>0.032258064516129</v>
      </c>
      <c r="S40" s="40" t="n">
        <v>0</v>
      </c>
      <c r="T40" s="40" t="n">
        <v>0</v>
      </c>
    </row>
    <row r="41" customFormat="false" ht="15" hidden="false" customHeight="true" outlineLevel="0" collapsed="false">
      <c r="A41" s="42" t="s">
        <v>115</v>
      </c>
      <c r="B41" s="31" t="n">
        <v>3</v>
      </c>
      <c r="C41" s="43" t="s">
        <v>338</v>
      </c>
      <c r="D41" s="31" t="n">
        <v>41</v>
      </c>
      <c r="E41" s="40" t="n">
        <v>1</v>
      </c>
      <c r="F41" s="40" t="n">
        <v>0.75609756097561</v>
      </c>
      <c r="G41" s="40" t="n">
        <v>0.731707317073171</v>
      </c>
      <c r="H41" s="40" t="n">
        <v>0.707317073170732</v>
      </c>
      <c r="I41" s="40" t="n">
        <v>0.292682926829268</v>
      </c>
      <c r="J41" s="40" t="n">
        <v>0.414634146341463</v>
      </c>
      <c r="K41" s="40" t="n">
        <v>0.268292682926829</v>
      </c>
      <c r="L41" s="40" t="n">
        <v>0.121951219512195</v>
      </c>
      <c r="M41" s="40" t="n">
        <v>0.146341463414634</v>
      </c>
      <c r="N41" s="40" t="n">
        <v>0.121951219512195</v>
      </c>
      <c r="O41" s="40" t="n">
        <v>0.024390243902439</v>
      </c>
      <c r="P41" s="40" t="n">
        <v>0.024390243902439</v>
      </c>
      <c r="Q41" s="40" t="n">
        <v>0.024390243902439</v>
      </c>
      <c r="R41" s="40" t="n">
        <v>0</v>
      </c>
      <c r="S41" s="40" t="n">
        <v>0</v>
      </c>
      <c r="T41" s="40" t="n">
        <v>0</v>
      </c>
    </row>
    <row r="42" customFormat="false" ht="15" hidden="false" customHeight="true" outlineLevel="0" collapsed="false">
      <c r="A42" s="42" t="s">
        <v>116</v>
      </c>
      <c r="B42" s="31" t="n">
        <v>4</v>
      </c>
      <c r="C42" s="43" t="s">
        <v>338</v>
      </c>
      <c r="D42" s="31" t="n">
        <v>12</v>
      </c>
      <c r="E42" s="40" t="n">
        <v>1</v>
      </c>
      <c r="F42" s="40" t="n">
        <v>0.75</v>
      </c>
      <c r="G42" s="40" t="n">
        <v>0.75</v>
      </c>
      <c r="H42" s="40" t="n">
        <v>0.5</v>
      </c>
      <c r="I42" s="40" t="n">
        <v>0.5</v>
      </c>
      <c r="J42" s="40" t="n">
        <v>0.25</v>
      </c>
      <c r="K42" s="40" t="n">
        <v>0.0833333333333333</v>
      </c>
      <c r="L42" s="40" t="n">
        <v>0.0833333333333333</v>
      </c>
      <c r="M42" s="40" t="n">
        <v>0.0833333333333333</v>
      </c>
      <c r="N42" s="40" t="n">
        <v>0.0833333333333333</v>
      </c>
      <c r="O42" s="40" t="n">
        <v>0.0833333333333333</v>
      </c>
      <c r="P42" s="40" t="n">
        <v>0</v>
      </c>
      <c r="Q42" s="40" t="n">
        <v>0</v>
      </c>
      <c r="R42" s="40" t="n">
        <v>0</v>
      </c>
      <c r="S42" s="40" t="n">
        <v>0</v>
      </c>
      <c r="T42" s="40" t="n">
        <v>0</v>
      </c>
    </row>
    <row r="43" customFormat="false" ht="15" hidden="false" customHeight="true" outlineLevel="0" collapsed="false">
      <c r="A43" s="42" t="s">
        <v>117</v>
      </c>
      <c r="B43" s="31" t="n">
        <v>5</v>
      </c>
      <c r="C43" s="43" t="s">
        <v>338</v>
      </c>
      <c r="D43" s="31" t="n">
        <v>28</v>
      </c>
      <c r="E43" s="40" t="n">
        <v>1</v>
      </c>
      <c r="F43" s="40" t="n">
        <v>0.928571428571429</v>
      </c>
      <c r="G43" s="40" t="n">
        <v>0.678571428571429</v>
      </c>
      <c r="H43" s="40" t="n">
        <v>0.75</v>
      </c>
      <c r="I43" s="40" t="n">
        <v>0.607142857142857</v>
      </c>
      <c r="J43" s="40" t="n">
        <v>0.321428571428572</v>
      </c>
      <c r="K43" s="40" t="n">
        <v>0.321428571428572</v>
      </c>
      <c r="L43" s="40" t="n">
        <v>0.214285714285714</v>
      </c>
      <c r="M43" s="40" t="n">
        <v>0.107142857142857</v>
      </c>
      <c r="N43" s="40" t="n">
        <v>0.107142857142857</v>
      </c>
      <c r="O43" s="40" t="n">
        <v>0.0714285714285714</v>
      </c>
      <c r="P43" s="40" t="n">
        <v>0</v>
      </c>
      <c r="Q43" s="40" t="n">
        <v>0.0357142857142857</v>
      </c>
      <c r="R43" s="40" t="n">
        <v>0.0357142857142857</v>
      </c>
      <c r="S43" s="40" t="n">
        <v>0</v>
      </c>
      <c r="T43" s="40" t="n">
        <v>0.0357142857142857</v>
      </c>
    </row>
    <row r="44" customFormat="false" ht="15" hidden="false" customHeight="true" outlineLevel="0" collapsed="false">
      <c r="A44" s="42" t="s">
        <v>118</v>
      </c>
      <c r="B44" s="31" t="n">
        <v>6</v>
      </c>
      <c r="C44" s="43" t="s">
        <v>338</v>
      </c>
      <c r="D44" s="31" t="n">
        <v>29</v>
      </c>
      <c r="E44" s="40" t="n">
        <v>1</v>
      </c>
      <c r="F44" s="40" t="n">
        <v>0.758620689655172</v>
      </c>
      <c r="G44" s="40" t="n">
        <v>0.758620689655172</v>
      </c>
      <c r="H44" s="40" t="n">
        <v>0.689655172413793</v>
      </c>
      <c r="I44" s="40" t="n">
        <v>0.413793103448276</v>
      </c>
      <c r="J44" s="40" t="n">
        <v>0.517241379310345</v>
      </c>
      <c r="K44" s="40" t="n">
        <v>0.344827586206897</v>
      </c>
      <c r="L44" s="40" t="n">
        <v>0.206896551724138</v>
      </c>
      <c r="M44" s="40" t="n">
        <v>0.206896551724138</v>
      </c>
      <c r="N44" s="40" t="n">
        <v>0.103448275862069</v>
      </c>
      <c r="O44" s="40" t="n">
        <v>0.0344827586206897</v>
      </c>
      <c r="P44" s="40" t="n">
        <v>0.103448275862069</v>
      </c>
      <c r="Q44" s="40" t="n">
        <v>0.0344827586206897</v>
      </c>
      <c r="R44" s="40" t="n">
        <v>0</v>
      </c>
      <c r="S44" s="40" t="n">
        <v>0</v>
      </c>
      <c r="T44" s="32"/>
    </row>
    <row r="45" customFormat="false" ht="15" hidden="false" customHeight="true" outlineLevel="0" collapsed="false">
      <c r="A45" s="42" t="s">
        <v>119</v>
      </c>
      <c r="B45" s="31" t="n">
        <v>7</v>
      </c>
      <c r="C45" s="43" t="s">
        <v>338</v>
      </c>
      <c r="D45" s="31" t="n">
        <v>7</v>
      </c>
      <c r="E45" s="40" t="n">
        <v>1</v>
      </c>
      <c r="F45" s="40" t="n">
        <v>1</v>
      </c>
      <c r="G45" s="40" t="n">
        <v>0.857142857142857</v>
      </c>
      <c r="H45" s="40" t="n">
        <v>0.428571428571429</v>
      </c>
      <c r="I45" s="40" t="n">
        <v>0.714285714285714</v>
      </c>
      <c r="J45" s="40" t="n">
        <v>0.428571428571429</v>
      </c>
      <c r="K45" s="40" t="n">
        <v>0.285714285714286</v>
      </c>
      <c r="L45" s="40" t="n">
        <v>0.285714285714286</v>
      </c>
      <c r="M45" s="40" t="n">
        <v>0.142857142857143</v>
      </c>
      <c r="N45" s="40" t="n">
        <v>0</v>
      </c>
      <c r="O45" s="40" t="n">
        <v>0</v>
      </c>
      <c r="P45" s="40" t="n">
        <v>0</v>
      </c>
      <c r="Q45" s="40" t="n">
        <v>0</v>
      </c>
      <c r="R45" s="40" t="n">
        <v>0</v>
      </c>
      <c r="S45" s="32"/>
      <c r="T45" s="32"/>
    </row>
    <row r="46" customFormat="false" ht="15" hidden="false" customHeight="true" outlineLevel="0" collapsed="false">
      <c r="A46" s="42" t="s">
        <v>120</v>
      </c>
      <c r="B46" s="31" t="n">
        <v>8</v>
      </c>
      <c r="C46" s="43" t="s">
        <v>338</v>
      </c>
      <c r="D46" s="31" t="n">
        <v>29</v>
      </c>
      <c r="E46" s="40" t="n">
        <v>1</v>
      </c>
      <c r="F46" s="40" t="n">
        <v>0.896551724137931</v>
      </c>
      <c r="G46" s="40" t="n">
        <v>0.655172413793103</v>
      </c>
      <c r="H46" s="40" t="n">
        <v>0.586206896551724</v>
      </c>
      <c r="I46" s="40" t="n">
        <v>0.482758620689655</v>
      </c>
      <c r="J46" s="40" t="n">
        <v>0.275862068965517</v>
      </c>
      <c r="K46" s="40" t="n">
        <v>0.137931034482759</v>
      </c>
      <c r="L46" s="40" t="n">
        <v>0.137931034482759</v>
      </c>
      <c r="M46" s="40" t="n">
        <v>0.0344827586206897</v>
      </c>
      <c r="N46" s="40" t="n">
        <v>0.0689655172413793</v>
      </c>
      <c r="O46" s="40" t="n">
        <v>0.0344827586206897</v>
      </c>
      <c r="P46" s="40" t="n">
        <v>0.0344827586206897</v>
      </c>
      <c r="Q46" s="40" t="n">
        <v>0.0344827586206897</v>
      </c>
      <c r="R46" s="32"/>
      <c r="S46" s="32"/>
      <c r="T46" s="32"/>
    </row>
    <row r="47" customFormat="false" ht="15" hidden="false" customHeight="true" outlineLevel="0" collapsed="false">
      <c r="A47" s="42" t="s">
        <v>121</v>
      </c>
      <c r="B47" s="31" t="n">
        <v>9</v>
      </c>
      <c r="C47" s="43" t="s">
        <v>338</v>
      </c>
      <c r="D47" s="31" t="n">
        <v>16</v>
      </c>
      <c r="E47" s="40" t="n">
        <v>1</v>
      </c>
      <c r="F47" s="40" t="n">
        <v>0.625</v>
      </c>
      <c r="G47" s="40" t="n">
        <v>0.5625</v>
      </c>
      <c r="H47" s="40" t="n">
        <v>0.4375</v>
      </c>
      <c r="I47" s="40" t="n">
        <v>0.3125</v>
      </c>
      <c r="J47" s="40" t="n">
        <v>0.375</v>
      </c>
      <c r="K47" s="40" t="n">
        <v>0.25</v>
      </c>
      <c r="L47" s="40" t="n">
        <v>0.125</v>
      </c>
      <c r="M47" s="40" t="n">
        <v>0.1875</v>
      </c>
      <c r="N47" s="40" t="n">
        <v>0.0625</v>
      </c>
      <c r="O47" s="40" t="n">
        <v>0.125</v>
      </c>
      <c r="P47" s="40" t="n">
        <v>0</v>
      </c>
      <c r="Q47" s="32"/>
      <c r="R47" s="32"/>
      <c r="S47" s="32"/>
      <c r="T47" s="32"/>
    </row>
    <row r="48" customFormat="false" ht="15" hidden="false" customHeight="true" outlineLevel="0" collapsed="false">
      <c r="A48" s="42" t="s">
        <v>122</v>
      </c>
      <c r="B48" s="31" t="n">
        <v>10</v>
      </c>
      <c r="C48" s="43" t="s">
        <v>338</v>
      </c>
      <c r="D48" s="31" t="n">
        <v>17</v>
      </c>
      <c r="E48" s="40" t="n">
        <v>1</v>
      </c>
      <c r="F48" s="40" t="n">
        <v>0.588235294117647</v>
      </c>
      <c r="G48" s="40" t="n">
        <v>0.470588235294118</v>
      </c>
      <c r="H48" s="40" t="n">
        <v>0.352941176470588</v>
      </c>
      <c r="I48" s="40" t="n">
        <v>0.411764705882353</v>
      </c>
      <c r="J48" s="40" t="n">
        <v>0.352941176470588</v>
      </c>
      <c r="K48" s="40" t="n">
        <v>0.0588235294117647</v>
      </c>
      <c r="L48" s="40" t="n">
        <v>0.117647058823529</v>
      </c>
      <c r="M48" s="40" t="n">
        <v>0.0588235294117647</v>
      </c>
      <c r="N48" s="40" t="n">
        <v>0.0588235294117647</v>
      </c>
      <c r="O48" s="40" t="n">
        <v>0.0588235294117647</v>
      </c>
      <c r="P48" s="32"/>
      <c r="Q48" s="32"/>
      <c r="R48" s="32"/>
      <c r="S48" s="32"/>
      <c r="T48" s="32"/>
    </row>
    <row r="49" customFormat="false" ht="15" hidden="false" customHeight="true" outlineLevel="0" collapsed="false">
      <c r="A49" s="42" t="s">
        <v>123</v>
      </c>
      <c r="B49" s="31" t="n">
        <v>11</v>
      </c>
      <c r="C49" s="43" t="s">
        <v>338</v>
      </c>
      <c r="D49" s="31" t="n">
        <v>30</v>
      </c>
      <c r="E49" s="40" t="n">
        <v>1</v>
      </c>
      <c r="F49" s="40" t="n">
        <v>0.8</v>
      </c>
      <c r="G49" s="40" t="n">
        <v>0.6</v>
      </c>
      <c r="H49" s="40" t="n">
        <v>0.566666666666667</v>
      </c>
      <c r="I49" s="40" t="n">
        <v>0.5</v>
      </c>
      <c r="J49" s="40" t="n">
        <v>0.266666666666667</v>
      </c>
      <c r="K49" s="40" t="n">
        <v>0.333333333333333</v>
      </c>
      <c r="L49" s="40" t="n">
        <v>0.166666666666667</v>
      </c>
      <c r="M49" s="40" t="n">
        <v>0.0666666666666667</v>
      </c>
      <c r="N49" s="40" t="n">
        <v>0.133333333333333</v>
      </c>
      <c r="O49" s="32"/>
      <c r="P49" s="32"/>
      <c r="Q49" s="32"/>
      <c r="R49" s="32"/>
      <c r="S49" s="32"/>
      <c r="T49" s="32"/>
    </row>
    <row r="50" customFormat="false" ht="15" hidden="false" customHeight="true" outlineLevel="0" collapsed="false">
      <c r="A50" s="42" t="s">
        <v>124</v>
      </c>
      <c r="B50" s="31" t="n">
        <v>12</v>
      </c>
      <c r="C50" s="43" t="s">
        <v>338</v>
      </c>
      <c r="D50" s="31" t="n">
        <v>24</v>
      </c>
      <c r="E50" s="40" t="n">
        <v>1</v>
      </c>
      <c r="F50" s="40" t="n">
        <v>0.666666666666667</v>
      </c>
      <c r="G50" s="40" t="n">
        <v>0.833333333333333</v>
      </c>
      <c r="H50" s="40" t="n">
        <v>0.541666666666667</v>
      </c>
      <c r="I50" s="40" t="n">
        <v>0.25</v>
      </c>
      <c r="J50" s="40" t="n">
        <v>0.333333333333333</v>
      </c>
      <c r="K50" s="40" t="n">
        <v>0.166666666666667</v>
      </c>
      <c r="L50" s="40" t="n">
        <v>0.166666666666667</v>
      </c>
      <c r="M50" s="40" t="n">
        <v>0</v>
      </c>
      <c r="N50" s="32"/>
      <c r="O50" s="32"/>
      <c r="P50" s="32"/>
      <c r="Q50" s="32"/>
      <c r="R50" s="32"/>
      <c r="S50" s="32"/>
      <c r="T50" s="32"/>
    </row>
    <row r="51" customFormat="false" ht="15" hidden="false" customHeight="true" outlineLevel="0" collapsed="false">
      <c r="A51" s="38" t="s">
        <v>125</v>
      </c>
      <c r="B51" s="31" t="n">
        <v>13</v>
      </c>
      <c r="C51" s="39" t="s">
        <v>334</v>
      </c>
      <c r="D51" s="31" t="n">
        <v>9</v>
      </c>
      <c r="E51" s="40" t="n">
        <v>1</v>
      </c>
      <c r="F51" s="40" t="n">
        <v>1</v>
      </c>
      <c r="G51" s="40" t="n">
        <v>0.666666666666667</v>
      </c>
      <c r="H51" s="40" t="n">
        <v>0.555555555555556</v>
      </c>
      <c r="I51" s="40" t="n">
        <v>0.666666666666667</v>
      </c>
      <c r="J51" s="40" t="n">
        <v>0.333333333333333</v>
      </c>
      <c r="K51" s="40" t="n">
        <v>0</v>
      </c>
      <c r="L51" s="40" t="n">
        <v>0.111111111111111</v>
      </c>
      <c r="M51" s="32"/>
      <c r="N51" s="32"/>
      <c r="O51" s="32"/>
      <c r="P51" s="32"/>
      <c r="Q51" s="32"/>
      <c r="R51" s="32"/>
      <c r="S51" s="32"/>
      <c r="T51" s="32"/>
    </row>
    <row r="52" customFormat="false" ht="15" hidden="false" customHeight="true" outlineLevel="0" collapsed="false">
      <c r="A52" s="38" t="s">
        <v>126</v>
      </c>
      <c r="B52" s="31" t="n">
        <v>14</v>
      </c>
      <c r="C52" s="39" t="s">
        <v>334</v>
      </c>
      <c r="D52" s="31" t="n">
        <v>30</v>
      </c>
      <c r="E52" s="40" t="n">
        <v>1</v>
      </c>
      <c r="F52" s="40" t="n">
        <v>0.833333333333333</v>
      </c>
      <c r="G52" s="40" t="n">
        <v>0.766666666666667</v>
      </c>
      <c r="H52" s="40" t="n">
        <v>0.8</v>
      </c>
      <c r="I52" s="40" t="n">
        <v>0.666666666666667</v>
      </c>
      <c r="J52" s="40" t="n">
        <v>0.333333333333333</v>
      </c>
      <c r="K52" s="40" t="n">
        <v>0.166666666666667</v>
      </c>
      <c r="L52" s="32"/>
      <c r="M52" s="32"/>
      <c r="N52" s="32"/>
      <c r="O52" s="32"/>
      <c r="P52" s="32"/>
      <c r="Q52" s="32"/>
      <c r="R52" s="32"/>
      <c r="S52" s="32"/>
      <c r="T52" s="32"/>
    </row>
    <row r="53" customFormat="false" ht="15" hidden="false" customHeight="true" outlineLevel="0" collapsed="false">
      <c r="A53" s="38" t="s">
        <v>127</v>
      </c>
      <c r="B53" s="31" t="n">
        <v>15</v>
      </c>
      <c r="C53" s="39" t="s">
        <v>334</v>
      </c>
      <c r="D53" s="31" t="n">
        <v>15</v>
      </c>
      <c r="E53" s="40" t="n">
        <v>1</v>
      </c>
      <c r="F53" s="40" t="n">
        <v>0.6</v>
      </c>
      <c r="G53" s="40" t="n">
        <v>0.866666666666667</v>
      </c>
      <c r="H53" s="40" t="n">
        <v>0.6</v>
      </c>
      <c r="I53" s="40" t="n">
        <v>0.466666666666667</v>
      </c>
      <c r="J53" s="40" t="n">
        <v>0.4</v>
      </c>
      <c r="K53" s="32"/>
      <c r="L53" s="32"/>
      <c r="M53" s="32"/>
      <c r="N53" s="32"/>
      <c r="O53" s="32"/>
      <c r="P53" s="32"/>
      <c r="Q53" s="32"/>
      <c r="R53" s="32"/>
      <c r="S53" s="32"/>
      <c r="T53" s="32"/>
    </row>
    <row r="54" customFormat="false" ht="15" hidden="false" customHeight="true" outlineLevel="0" collapsed="false">
      <c r="A54" s="38" t="s">
        <v>128</v>
      </c>
      <c r="B54" s="31" t="n">
        <v>16</v>
      </c>
      <c r="C54" s="39" t="s">
        <v>334</v>
      </c>
      <c r="D54" s="31" t="n">
        <v>14</v>
      </c>
      <c r="E54" s="40" t="n">
        <v>1</v>
      </c>
      <c r="F54" s="40" t="n">
        <v>1</v>
      </c>
      <c r="G54" s="40" t="n">
        <v>0.857142857142857</v>
      </c>
      <c r="H54" s="40" t="n">
        <v>0.714285714285714</v>
      </c>
      <c r="I54" s="40" t="n">
        <v>0.714285714285714</v>
      </c>
      <c r="J54" s="32"/>
      <c r="K54" s="32"/>
      <c r="L54" s="32"/>
      <c r="M54" s="32"/>
      <c r="N54" s="32"/>
      <c r="O54" s="32"/>
      <c r="P54" s="32"/>
      <c r="Q54" s="32"/>
      <c r="R54" s="32"/>
      <c r="S54" s="32"/>
      <c r="T54" s="32"/>
    </row>
    <row r="55" customFormat="false" ht="15" hidden="false" customHeight="true" outlineLevel="0" collapsed="false">
      <c r="A55" s="38" t="s">
        <v>129</v>
      </c>
      <c r="B55" s="31" t="n">
        <v>17</v>
      </c>
      <c r="C55" s="39" t="s">
        <v>334</v>
      </c>
      <c r="D55" s="31" t="n">
        <v>29</v>
      </c>
      <c r="E55" s="40" t="n">
        <v>1</v>
      </c>
      <c r="F55" s="40" t="n">
        <v>0.862068965517241</v>
      </c>
      <c r="G55" s="40" t="n">
        <v>0.517241379310345</v>
      </c>
      <c r="H55" s="40" t="n">
        <v>0.620689655172414</v>
      </c>
      <c r="I55" s="32"/>
      <c r="J55" s="32"/>
      <c r="K55" s="32"/>
      <c r="L55" s="32"/>
      <c r="M55" s="32"/>
      <c r="N55" s="32"/>
      <c r="O55" s="32"/>
      <c r="P55" s="32"/>
      <c r="Q55" s="32"/>
      <c r="R55" s="32"/>
      <c r="S55" s="32"/>
      <c r="T55" s="32"/>
    </row>
    <row r="56" customFormat="false" ht="15" hidden="false" customHeight="true" outlineLevel="0" collapsed="false">
      <c r="A56" s="38" t="s">
        <v>130</v>
      </c>
      <c r="B56" s="31" t="n">
        <v>18</v>
      </c>
      <c r="C56" s="39" t="s">
        <v>334</v>
      </c>
      <c r="D56" s="31" t="n">
        <v>23</v>
      </c>
      <c r="E56" s="40" t="n">
        <v>1</v>
      </c>
      <c r="F56" s="40" t="n">
        <v>0.782608695652174</v>
      </c>
      <c r="G56" s="40" t="n">
        <v>0.695652173913044</v>
      </c>
      <c r="H56" s="32"/>
      <c r="I56" s="32"/>
      <c r="J56" s="32"/>
      <c r="K56" s="32"/>
      <c r="L56" s="32"/>
      <c r="M56" s="32"/>
      <c r="N56" s="32"/>
      <c r="O56" s="32"/>
      <c r="P56" s="32"/>
      <c r="Q56" s="32"/>
      <c r="R56" s="32"/>
      <c r="S56" s="32"/>
      <c r="T56" s="32"/>
    </row>
    <row r="57" customFormat="false" ht="15" hidden="false" customHeight="true" outlineLevel="0" collapsed="false">
      <c r="A57" s="38" t="s">
        <v>131</v>
      </c>
      <c r="B57" s="31" t="n">
        <v>19</v>
      </c>
      <c r="C57" s="39" t="s">
        <v>334</v>
      </c>
      <c r="D57" s="31" t="n">
        <v>10</v>
      </c>
      <c r="E57" s="40" t="n">
        <v>1</v>
      </c>
      <c r="F57" s="40" t="n">
        <v>0.9</v>
      </c>
      <c r="G57" s="32"/>
      <c r="H57" s="32"/>
      <c r="I57" s="32"/>
      <c r="J57" s="32"/>
      <c r="K57" s="32"/>
      <c r="L57" s="32"/>
      <c r="M57" s="32"/>
      <c r="N57" s="32"/>
      <c r="O57" s="32"/>
      <c r="P57" s="32"/>
      <c r="Q57" s="32"/>
      <c r="R57" s="32"/>
      <c r="S57" s="32"/>
      <c r="T57" s="32"/>
    </row>
    <row r="58" customFormat="false" ht="15" hidden="false" customHeight="true" outlineLevel="0" collapsed="false">
      <c r="A58" s="38" t="s">
        <v>132</v>
      </c>
      <c r="B58" s="31" t="n">
        <v>20</v>
      </c>
      <c r="C58" s="39" t="s">
        <v>334</v>
      </c>
      <c r="D58" s="31" t="n">
        <v>24</v>
      </c>
      <c r="E58" s="40" t="n">
        <v>1</v>
      </c>
      <c r="F58" s="32"/>
      <c r="G58" s="32"/>
      <c r="H58" s="32"/>
      <c r="I58" s="32"/>
      <c r="J58" s="32"/>
      <c r="K58" s="32"/>
      <c r="L58" s="32"/>
      <c r="M58" s="32"/>
      <c r="N58" s="32"/>
      <c r="O58" s="32"/>
      <c r="P58" s="32"/>
      <c r="Q58" s="32"/>
      <c r="R58" s="32"/>
      <c r="S58" s="32"/>
      <c r="T58" s="32"/>
    </row>
    <row r="59" customFormat="false" ht="15" hidden="false" customHeight="true" outlineLevel="0" collapsed="false">
      <c r="A59" s="34" t="s">
        <v>335</v>
      </c>
      <c r="B59" s="36"/>
      <c r="C59" s="36"/>
      <c r="D59" s="36"/>
      <c r="E59" s="44" t="n">
        <v>1</v>
      </c>
      <c r="F59" s="44" t="n">
        <v>0.790441176470588</v>
      </c>
      <c r="G59" s="44" t="n">
        <v>0.691176470588235</v>
      </c>
      <c r="H59" s="44" t="n">
        <v>0.588235294117647</v>
      </c>
      <c r="I59" s="44" t="n">
        <v>0.441176470588235</v>
      </c>
      <c r="J59" s="44" t="n">
        <v>0.349264705882353</v>
      </c>
      <c r="K59" s="44" t="n">
        <v>0.238970588235294</v>
      </c>
      <c r="L59" s="44" t="n">
        <v>0.169117647058824</v>
      </c>
      <c r="M59" s="44" t="n">
        <v>0.0992647058823529</v>
      </c>
      <c r="N59" s="44" t="n">
        <v>0.0882352941176471</v>
      </c>
      <c r="O59" s="44" t="n">
        <v>0.0404411764705882</v>
      </c>
      <c r="P59" s="44" t="n">
        <v>0.0220588235294118</v>
      </c>
      <c r="Q59" s="44" t="n">
        <v>0.0220588235294118</v>
      </c>
      <c r="R59" s="44" t="n">
        <v>0.00735294117647059</v>
      </c>
      <c r="S59" s="44" t="n">
        <v>0</v>
      </c>
      <c r="T59" s="44" t="n">
        <v>0.00367647058823529</v>
      </c>
    </row>
    <row r="60" customFormat="false" ht="15" hidden="false" customHeight="true" outlineLevel="0" collapsed="false">
      <c r="A60" s="34" t="s">
        <v>336</v>
      </c>
      <c r="B60" s="36"/>
      <c r="C60" s="36"/>
      <c r="D60" s="36"/>
      <c r="E60" s="44" t="n">
        <v>1</v>
      </c>
      <c r="F60" s="44" t="n">
        <v>0.792975925504995</v>
      </c>
      <c r="G60" s="44" t="n">
        <v>0.696442807851502</v>
      </c>
      <c r="H60" s="44" t="n">
        <v>0.527557197569515</v>
      </c>
      <c r="I60" s="44" t="n">
        <v>0.453381090797371</v>
      </c>
      <c r="J60" s="44" t="n">
        <v>0.3423549513541</v>
      </c>
      <c r="K60" s="44" t="n">
        <v>0.2117228003458</v>
      </c>
      <c r="L60" s="44" t="n">
        <v>0.16742975394486</v>
      </c>
      <c r="M60" s="44" t="n">
        <v>0.0942348747266345</v>
      </c>
      <c r="N60" s="44" t="n">
        <v>0.0789573021728589</v>
      </c>
      <c r="O60" s="44" t="n">
        <v>0.0496457324349746</v>
      </c>
      <c r="P60" s="44" t="n">
        <v>0.0216199269890363</v>
      </c>
      <c r="Q60" s="44" t="n">
        <v>0.0241982719862953</v>
      </c>
      <c r="R60" s="44" t="n">
        <v>0.00971033574720211</v>
      </c>
      <c r="S60" s="44" t="n">
        <v>0</v>
      </c>
      <c r="T60" s="44" t="n">
        <v>0.00714285714285714</v>
      </c>
    </row>
    <row r="61" customFormat="false" ht="15" hidden="false" customHeight="true" outlineLevel="0" collapsed="false">
      <c r="A61" s="45" t="s">
        <v>340</v>
      </c>
      <c r="B61" s="45"/>
      <c r="C61" s="45"/>
      <c r="D61" s="45"/>
      <c r="E61" s="45"/>
      <c r="F61" s="45"/>
      <c r="G61" s="45"/>
      <c r="H61" s="45"/>
      <c r="I61" s="45"/>
      <c r="J61" s="45"/>
      <c r="K61" s="45"/>
      <c r="L61" s="45"/>
      <c r="M61" s="45"/>
      <c r="N61" s="45"/>
      <c r="O61" s="45"/>
      <c r="P61" s="45"/>
      <c r="Q61" s="45"/>
      <c r="R61" s="45"/>
      <c r="S61" s="45"/>
      <c r="T61" s="45"/>
    </row>
    <row r="63" customFormat="false" ht="15" hidden="false" customHeight="true" outlineLevel="0" collapsed="false">
      <c r="A63" s="28" t="s">
        <v>293</v>
      </c>
      <c r="B63" s="28"/>
      <c r="C63" s="28"/>
      <c r="D63" s="28"/>
      <c r="E63" s="28"/>
      <c r="F63" s="28"/>
      <c r="G63" s="28"/>
      <c r="H63" s="28"/>
      <c r="I63" s="28"/>
      <c r="J63" s="28"/>
      <c r="K63" s="28"/>
      <c r="L63" s="28"/>
      <c r="M63" s="28"/>
      <c r="N63" s="28"/>
      <c r="O63" s="28"/>
      <c r="P63" s="28"/>
      <c r="Q63" s="28"/>
    </row>
    <row r="64" customFormat="false" ht="15" hidden="false" customHeight="true" outlineLevel="0" collapsed="false">
      <c r="A64" s="12" t="s">
        <v>330</v>
      </c>
      <c r="B64" s="12" t="s">
        <v>331</v>
      </c>
      <c r="C64" s="12" t="s">
        <v>332</v>
      </c>
      <c r="D64" s="12" t="s">
        <v>333</v>
      </c>
      <c r="E64" s="37" t="n">
        <v>1</v>
      </c>
      <c r="F64" s="37" t="n">
        <v>2</v>
      </c>
      <c r="G64" s="37" t="n">
        <v>3</v>
      </c>
      <c r="H64" s="37" t="n">
        <v>4</v>
      </c>
      <c r="I64" s="37" t="n">
        <v>5</v>
      </c>
      <c r="J64" s="37" t="n">
        <v>6</v>
      </c>
      <c r="K64" s="37" t="n">
        <v>7</v>
      </c>
      <c r="L64" s="37" t="n">
        <v>8</v>
      </c>
      <c r="M64" s="37" t="n">
        <v>9</v>
      </c>
      <c r="N64" s="37" t="n">
        <v>10</v>
      </c>
      <c r="O64" s="37" t="n">
        <v>11</v>
      </c>
      <c r="P64" s="37" t="n">
        <v>12</v>
      </c>
      <c r="Q64" s="37" t="n">
        <v>13</v>
      </c>
    </row>
    <row r="65" customFormat="false" ht="15" hidden="false" customHeight="true" outlineLevel="0" collapsed="false">
      <c r="A65" s="42" t="s">
        <v>117</v>
      </c>
      <c r="B65" s="31" t="n">
        <v>5</v>
      </c>
      <c r="C65" s="43" t="s">
        <v>338</v>
      </c>
      <c r="D65" s="31" t="n">
        <v>23</v>
      </c>
      <c r="E65" s="40" t="n">
        <v>1</v>
      </c>
      <c r="F65" s="40" t="n">
        <v>0.869565217391304</v>
      </c>
      <c r="G65" s="40" t="n">
        <v>0.739130434782609</v>
      </c>
      <c r="H65" s="40" t="n">
        <v>0.826086956521739</v>
      </c>
      <c r="I65" s="40" t="n">
        <v>0.695652173913044</v>
      </c>
      <c r="J65" s="40" t="n">
        <v>0.0869565217391304</v>
      </c>
      <c r="K65" s="40" t="n">
        <v>0</v>
      </c>
      <c r="L65" s="40" t="n">
        <v>0</v>
      </c>
      <c r="M65" s="40" t="n">
        <v>0</v>
      </c>
      <c r="N65" s="40" t="n">
        <v>0</v>
      </c>
      <c r="O65" s="40" t="n">
        <v>0</v>
      </c>
      <c r="P65" s="40" t="n">
        <v>0</v>
      </c>
      <c r="Q65" s="40" t="n">
        <v>0</v>
      </c>
    </row>
    <row r="66" customFormat="false" ht="15" hidden="false" customHeight="true" outlineLevel="0" collapsed="false">
      <c r="A66" s="42" t="s">
        <v>118</v>
      </c>
      <c r="B66" s="31" t="n">
        <v>6</v>
      </c>
      <c r="C66" s="43" t="s">
        <v>338</v>
      </c>
      <c r="D66" s="31" t="n">
        <v>27</v>
      </c>
      <c r="E66" s="40" t="n">
        <v>1</v>
      </c>
      <c r="F66" s="40" t="n">
        <v>0.555555555555556</v>
      </c>
      <c r="G66" s="40" t="n">
        <v>0.555555555555556</v>
      </c>
      <c r="H66" s="40" t="n">
        <v>0.481481481481482</v>
      </c>
      <c r="I66" s="40" t="n">
        <v>0.407407407407407</v>
      </c>
      <c r="J66" s="40" t="n">
        <v>0.037037037037037</v>
      </c>
      <c r="K66" s="40" t="n">
        <v>0.111111111111111</v>
      </c>
      <c r="L66" s="40" t="n">
        <v>0</v>
      </c>
      <c r="M66" s="40" t="n">
        <v>0</v>
      </c>
      <c r="N66" s="40" t="n">
        <v>0</v>
      </c>
      <c r="O66" s="40" t="n">
        <v>0</v>
      </c>
      <c r="P66" s="40" t="n">
        <v>0</v>
      </c>
      <c r="Q66" s="40" t="n">
        <v>0</v>
      </c>
    </row>
    <row r="67" customFormat="false" ht="15" hidden="false" customHeight="true" outlineLevel="0" collapsed="false">
      <c r="A67" s="42" t="s">
        <v>120</v>
      </c>
      <c r="B67" s="31" t="n">
        <v>8</v>
      </c>
      <c r="C67" s="43" t="s">
        <v>338</v>
      </c>
      <c r="D67" s="31" t="n">
        <v>31</v>
      </c>
      <c r="E67" s="40" t="n">
        <v>1</v>
      </c>
      <c r="F67" s="40" t="n">
        <v>0.870967741935484</v>
      </c>
      <c r="G67" s="40" t="n">
        <v>0.709677419354839</v>
      </c>
      <c r="H67" s="40" t="n">
        <v>0.645161290322581</v>
      </c>
      <c r="I67" s="40" t="n">
        <v>0.645161290322581</v>
      </c>
      <c r="J67" s="40" t="n">
        <v>0.0645161290322581</v>
      </c>
      <c r="K67" s="40" t="n">
        <v>0.032258064516129</v>
      </c>
      <c r="L67" s="40" t="n">
        <v>0.032258064516129</v>
      </c>
      <c r="M67" s="40" t="n">
        <v>0</v>
      </c>
      <c r="N67" s="40" t="n">
        <v>0</v>
      </c>
      <c r="O67" s="40" t="n">
        <v>0.032258064516129</v>
      </c>
      <c r="P67" s="40" t="n">
        <v>0.032258064516129</v>
      </c>
      <c r="Q67" s="40" t="n">
        <v>0.032258064516129</v>
      </c>
    </row>
    <row r="68" customFormat="false" ht="15" hidden="false" customHeight="true" outlineLevel="0" collapsed="false">
      <c r="A68" s="42" t="s">
        <v>121</v>
      </c>
      <c r="B68" s="31" t="n">
        <v>9</v>
      </c>
      <c r="C68" s="43" t="s">
        <v>338</v>
      </c>
      <c r="D68" s="31" t="n">
        <v>17</v>
      </c>
      <c r="E68" s="40" t="n">
        <v>1</v>
      </c>
      <c r="F68" s="40" t="n">
        <v>0.941176470588235</v>
      </c>
      <c r="G68" s="40" t="n">
        <v>0.941176470588235</v>
      </c>
      <c r="H68" s="40" t="n">
        <v>0.823529411764706</v>
      </c>
      <c r="I68" s="40" t="n">
        <v>0.705882352941177</v>
      </c>
      <c r="J68" s="40" t="n">
        <v>0.0588235294117647</v>
      </c>
      <c r="K68" s="40" t="n">
        <v>0.0588235294117647</v>
      </c>
      <c r="L68" s="40" t="n">
        <v>0</v>
      </c>
      <c r="M68" s="40" t="n">
        <v>0.117647058823529</v>
      </c>
      <c r="N68" s="40" t="n">
        <v>0.117647058823529</v>
      </c>
      <c r="O68" s="40" t="n">
        <v>0.0588235294117647</v>
      </c>
      <c r="P68" s="40" t="n">
        <v>0</v>
      </c>
      <c r="Q68" s="32"/>
    </row>
    <row r="69" customFormat="false" ht="15" hidden="false" customHeight="true" outlineLevel="0" collapsed="false">
      <c r="A69" s="42" t="s">
        <v>123</v>
      </c>
      <c r="B69" s="31" t="n">
        <v>11</v>
      </c>
      <c r="C69" s="43" t="s">
        <v>338</v>
      </c>
      <c r="D69" s="31" t="n">
        <v>31</v>
      </c>
      <c r="E69" s="40" t="n">
        <v>1</v>
      </c>
      <c r="F69" s="40" t="n">
        <v>0.838709677419355</v>
      </c>
      <c r="G69" s="40" t="n">
        <v>0.612903225806452</v>
      </c>
      <c r="H69" s="40" t="n">
        <v>0.580645161290323</v>
      </c>
      <c r="I69" s="40" t="n">
        <v>0.548387096774194</v>
      </c>
      <c r="J69" s="40" t="n">
        <v>0.0967741935483871</v>
      </c>
      <c r="K69" s="40" t="n">
        <v>0.0645161290322581</v>
      </c>
      <c r="L69" s="40" t="n">
        <v>0.032258064516129</v>
      </c>
      <c r="M69" s="40" t="n">
        <v>0.0645161290322581</v>
      </c>
      <c r="N69" s="40" t="n">
        <v>0.032258064516129</v>
      </c>
      <c r="O69" s="32"/>
      <c r="P69" s="32"/>
      <c r="Q69" s="32"/>
    </row>
    <row r="70" customFormat="false" ht="15" hidden="false" customHeight="true" outlineLevel="0" collapsed="false">
      <c r="A70" s="42" t="s">
        <v>124</v>
      </c>
      <c r="B70" s="31" t="n">
        <v>12</v>
      </c>
      <c r="C70" s="43" t="s">
        <v>338</v>
      </c>
      <c r="D70" s="31" t="n">
        <v>17</v>
      </c>
      <c r="E70" s="40" t="n">
        <v>1</v>
      </c>
      <c r="F70" s="40" t="n">
        <v>0.823529411764706</v>
      </c>
      <c r="G70" s="40" t="n">
        <v>0.705882352941177</v>
      </c>
      <c r="H70" s="40" t="n">
        <v>0.764705882352941</v>
      </c>
      <c r="I70" s="40" t="n">
        <v>0.647058823529412</v>
      </c>
      <c r="J70" s="40" t="n">
        <v>0</v>
      </c>
      <c r="K70" s="40" t="n">
        <v>0</v>
      </c>
      <c r="L70" s="40" t="n">
        <v>0</v>
      </c>
      <c r="M70" s="40" t="n">
        <v>0</v>
      </c>
      <c r="N70" s="32"/>
      <c r="O70" s="32"/>
      <c r="P70" s="32"/>
      <c r="Q70" s="32"/>
    </row>
    <row r="71" customFormat="false" ht="15" hidden="false" customHeight="true" outlineLevel="0" collapsed="false">
      <c r="A71" s="38" t="s">
        <v>126</v>
      </c>
      <c r="B71" s="31" t="n">
        <v>14</v>
      </c>
      <c r="C71" s="39" t="s">
        <v>334</v>
      </c>
      <c r="D71" s="31" t="n">
        <v>30</v>
      </c>
      <c r="E71" s="40" t="n">
        <v>1</v>
      </c>
      <c r="F71" s="40" t="n">
        <v>0.833333333333333</v>
      </c>
      <c r="G71" s="40" t="n">
        <v>0.7</v>
      </c>
      <c r="H71" s="40" t="n">
        <v>0.6</v>
      </c>
      <c r="I71" s="40" t="n">
        <v>0.533333333333333</v>
      </c>
      <c r="J71" s="40" t="n">
        <v>0.233333333333333</v>
      </c>
      <c r="K71" s="40" t="n">
        <v>0.133333333333333</v>
      </c>
      <c r="L71" s="32"/>
      <c r="M71" s="32"/>
      <c r="N71" s="32"/>
      <c r="O71" s="32"/>
      <c r="P71" s="32"/>
      <c r="Q71" s="32"/>
    </row>
    <row r="72" customFormat="false" ht="15" hidden="false" customHeight="true" outlineLevel="0" collapsed="false">
      <c r="A72" s="38" t="s">
        <v>127</v>
      </c>
      <c r="B72" s="31" t="n">
        <v>15</v>
      </c>
      <c r="C72" s="39" t="s">
        <v>334</v>
      </c>
      <c r="D72" s="31" t="n">
        <v>15</v>
      </c>
      <c r="E72" s="40" t="n">
        <v>1</v>
      </c>
      <c r="F72" s="40" t="n">
        <v>0.666666666666667</v>
      </c>
      <c r="G72" s="40" t="n">
        <v>0.666666666666667</v>
      </c>
      <c r="H72" s="40" t="n">
        <v>0.6</v>
      </c>
      <c r="I72" s="40" t="n">
        <v>0.6</v>
      </c>
      <c r="J72" s="40" t="n">
        <v>0.266666666666667</v>
      </c>
      <c r="K72" s="32"/>
      <c r="L72" s="32"/>
      <c r="M72" s="32"/>
      <c r="N72" s="32"/>
      <c r="O72" s="32"/>
      <c r="P72" s="32"/>
      <c r="Q72" s="32"/>
    </row>
    <row r="73" customFormat="false" ht="15" hidden="false" customHeight="true" outlineLevel="0" collapsed="false">
      <c r="A73" s="38" t="s">
        <v>129</v>
      </c>
      <c r="B73" s="31" t="n">
        <v>17</v>
      </c>
      <c r="C73" s="39" t="s">
        <v>334</v>
      </c>
      <c r="D73" s="31" t="n">
        <v>18</v>
      </c>
      <c r="E73" s="40" t="n">
        <v>1</v>
      </c>
      <c r="F73" s="40" t="n">
        <v>1</v>
      </c>
      <c r="G73" s="40" t="n">
        <v>0.555555555555556</v>
      </c>
      <c r="H73" s="40" t="n">
        <v>0.611111111111111</v>
      </c>
      <c r="I73" s="32"/>
      <c r="J73" s="32"/>
      <c r="K73" s="32"/>
      <c r="L73" s="32"/>
      <c r="M73" s="32"/>
      <c r="N73" s="32"/>
      <c r="O73" s="32"/>
      <c r="P73" s="32"/>
      <c r="Q73" s="32"/>
    </row>
    <row r="74" customFormat="false" ht="15" hidden="false" customHeight="true" outlineLevel="0" collapsed="false">
      <c r="A74" s="38" t="s">
        <v>130</v>
      </c>
      <c r="B74" s="31" t="n">
        <v>18</v>
      </c>
      <c r="C74" s="39" t="s">
        <v>334</v>
      </c>
      <c r="D74" s="31" t="n">
        <v>15</v>
      </c>
      <c r="E74" s="40" t="n">
        <v>1</v>
      </c>
      <c r="F74" s="40" t="n">
        <v>0.933333333333333</v>
      </c>
      <c r="G74" s="40" t="n">
        <v>0.733333333333333</v>
      </c>
      <c r="H74" s="32"/>
      <c r="I74" s="32"/>
      <c r="J74" s="32"/>
      <c r="K74" s="32"/>
      <c r="L74" s="32"/>
      <c r="M74" s="32"/>
      <c r="N74" s="32"/>
      <c r="O74" s="32"/>
      <c r="P74" s="32"/>
      <c r="Q74" s="32"/>
    </row>
    <row r="75" customFormat="false" ht="15" hidden="false" customHeight="true" outlineLevel="0" collapsed="false">
      <c r="A75" s="38" t="s">
        <v>132</v>
      </c>
      <c r="B75" s="31" t="n">
        <v>20</v>
      </c>
      <c r="C75" s="39" t="s">
        <v>334</v>
      </c>
      <c r="D75" s="31" t="n">
        <v>11</v>
      </c>
      <c r="E75" s="40" t="n">
        <v>1</v>
      </c>
      <c r="F75" s="32"/>
      <c r="G75" s="32"/>
      <c r="H75" s="32"/>
      <c r="I75" s="32"/>
      <c r="J75" s="32"/>
      <c r="K75" s="32"/>
      <c r="L75" s="32"/>
      <c r="M75" s="32"/>
      <c r="N75" s="32"/>
      <c r="O75" s="32"/>
      <c r="P75" s="32"/>
      <c r="Q75" s="32"/>
    </row>
    <row r="76" customFormat="false" ht="15" hidden="false" customHeight="true" outlineLevel="0" collapsed="false">
      <c r="A76" s="34" t="s">
        <v>335</v>
      </c>
      <c r="B76" s="36"/>
      <c r="C76" s="36"/>
      <c r="D76" s="36"/>
      <c r="E76" s="44" t="n">
        <v>1</v>
      </c>
      <c r="F76" s="44" t="n">
        <v>0.808219178082192</v>
      </c>
      <c r="G76" s="44" t="n">
        <v>0.691780821917808</v>
      </c>
      <c r="H76" s="44" t="n">
        <v>0.664383561643836</v>
      </c>
      <c r="I76" s="44" t="n">
        <v>0.595890410958904</v>
      </c>
      <c r="J76" s="44" t="n">
        <v>0.0616438356164384</v>
      </c>
      <c r="K76" s="44" t="n">
        <v>0.0479452054794521</v>
      </c>
      <c r="L76" s="44" t="n">
        <v>0.0136986301369863</v>
      </c>
      <c r="M76" s="44" t="n">
        <v>0.0273972602739726</v>
      </c>
      <c r="N76" s="44" t="n">
        <v>0.0205479452054795</v>
      </c>
      <c r="O76" s="44" t="n">
        <v>0.0136986301369863</v>
      </c>
      <c r="P76" s="44" t="n">
        <v>0.00684931506849315</v>
      </c>
      <c r="Q76" s="44" t="n">
        <v>0.00684931506849315</v>
      </c>
    </row>
    <row r="77" customFormat="false" ht="15" hidden="false" customHeight="true" outlineLevel="0" collapsed="false">
      <c r="A77" s="34" t="s">
        <v>336</v>
      </c>
      <c r="B77" s="36"/>
      <c r="C77" s="36"/>
      <c r="D77" s="36"/>
      <c r="E77" s="44" t="n">
        <v>1</v>
      </c>
      <c r="F77" s="44" t="n">
        <v>0.81658401244244</v>
      </c>
      <c r="G77" s="44" t="n">
        <v>0.710720909838144</v>
      </c>
      <c r="H77" s="44" t="n">
        <v>0.686935030622295</v>
      </c>
      <c r="I77" s="44" t="n">
        <v>0.608258190814636</v>
      </c>
      <c r="J77" s="44" t="n">
        <v>0.0573512351280962</v>
      </c>
      <c r="K77" s="44" t="n">
        <v>0.0444514723452105</v>
      </c>
      <c r="L77" s="44" t="n">
        <v>0.010752688172043</v>
      </c>
      <c r="M77" s="44" t="n">
        <v>0.0303605313092979</v>
      </c>
      <c r="N77" s="44" t="n">
        <v>0.0299810246679317</v>
      </c>
      <c r="O77" s="44" t="n">
        <v>0.0227703984819734</v>
      </c>
      <c r="P77" s="44" t="n">
        <v>0.00806451612903226</v>
      </c>
      <c r="Q77" s="44" t="n">
        <v>0.010752688172043</v>
      </c>
    </row>
    <row r="78" customFormat="false" ht="15" hidden="false" customHeight="true" outlineLevel="0" collapsed="false">
      <c r="A78" s="45" t="s">
        <v>341</v>
      </c>
      <c r="B78" s="45"/>
      <c r="C78" s="45"/>
      <c r="D78" s="45"/>
      <c r="E78" s="45"/>
      <c r="F78" s="45"/>
      <c r="G78" s="45"/>
      <c r="H78" s="45"/>
      <c r="I78" s="45"/>
      <c r="J78" s="45"/>
      <c r="K78" s="45"/>
      <c r="L78" s="45"/>
      <c r="M78" s="45"/>
      <c r="N78" s="45"/>
      <c r="O78" s="45"/>
      <c r="P78" s="45"/>
      <c r="Q78" s="45"/>
    </row>
    <row r="80" customFormat="false" ht="15" hidden="false" customHeight="true" outlineLevel="0" collapsed="false">
      <c r="A80" s="28" t="s">
        <v>294</v>
      </c>
      <c r="B80" s="28"/>
      <c r="C80" s="28"/>
      <c r="D80" s="28"/>
      <c r="E80" s="28"/>
      <c r="F80" s="28"/>
      <c r="G80" s="28"/>
      <c r="H80" s="28"/>
      <c r="I80" s="28"/>
      <c r="J80" s="28"/>
      <c r="K80" s="28"/>
      <c r="L80" s="28"/>
      <c r="M80" s="28"/>
    </row>
    <row r="81" customFormat="false" ht="15" hidden="false" customHeight="true" outlineLevel="0" collapsed="false">
      <c r="A81" s="12" t="s">
        <v>330</v>
      </c>
      <c r="B81" s="12" t="s">
        <v>331</v>
      </c>
      <c r="C81" s="12" t="s">
        <v>332</v>
      </c>
      <c r="D81" s="12" t="s">
        <v>333</v>
      </c>
      <c r="E81" s="37" t="n">
        <v>1</v>
      </c>
      <c r="F81" s="37" t="n">
        <v>2</v>
      </c>
      <c r="G81" s="37" t="n">
        <v>3</v>
      </c>
      <c r="H81" s="37" t="n">
        <v>4</v>
      </c>
      <c r="I81" s="37" t="n">
        <v>5</v>
      </c>
      <c r="J81" s="37" t="n">
        <v>6</v>
      </c>
      <c r="K81" s="37" t="n">
        <v>7</v>
      </c>
      <c r="L81" s="37" t="n">
        <v>8</v>
      </c>
      <c r="M81" s="37" t="n">
        <v>9</v>
      </c>
    </row>
    <row r="82" customFormat="false" ht="15" hidden="false" customHeight="true" outlineLevel="0" collapsed="false">
      <c r="A82" s="42" t="s">
        <v>121</v>
      </c>
      <c r="B82" s="31" t="n">
        <v>9</v>
      </c>
      <c r="C82" s="43" t="s">
        <v>338</v>
      </c>
      <c r="D82" s="31" t="n">
        <v>6</v>
      </c>
      <c r="E82" s="40" t="n">
        <v>1</v>
      </c>
      <c r="F82" s="40" t="n">
        <v>1</v>
      </c>
      <c r="G82" s="40" t="n">
        <v>1</v>
      </c>
      <c r="H82" s="40" t="n">
        <v>0.833333333333333</v>
      </c>
      <c r="I82" s="40" t="n">
        <v>0.166666666666667</v>
      </c>
      <c r="J82" s="40" t="n">
        <v>0.333333333333333</v>
      </c>
      <c r="K82" s="40" t="n">
        <v>0.166666666666667</v>
      </c>
      <c r="L82" s="40" t="n">
        <v>0</v>
      </c>
      <c r="M82" s="40" t="n">
        <v>0</v>
      </c>
    </row>
    <row r="83" customFormat="false" ht="15" hidden="false" customHeight="true" outlineLevel="0" collapsed="false">
      <c r="A83" s="42" t="s">
        <v>122</v>
      </c>
      <c r="B83" s="31" t="n">
        <v>10</v>
      </c>
      <c r="C83" s="43" t="s">
        <v>338</v>
      </c>
      <c r="D83" s="31" t="n">
        <v>1</v>
      </c>
      <c r="E83" s="40" t="n">
        <v>1</v>
      </c>
      <c r="F83" s="40" t="n">
        <v>1</v>
      </c>
      <c r="G83" s="40" t="n">
        <v>1</v>
      </c>
      <c r="H83" s="40" t="n">
        <v>1</v>
      </c>
      <c r="I83" s="40" t="n">
        <v>1</v>
      </c>
      <c r="J83" s="40" t="n">
        <v>0</v>
      </c>
      <c r="K83" s="40" t="n">
        <v>0</v>
      </c>
      <c r="L83" s="40" t="n">
        <v>0</v>
      </c>
      <c r="M83" s="40" t="n">
        <v>0</v>
      </c>
    </row>
    <row r="84" customFormat="false" ht="15" hidden="false" customHeight="true" outlineLevel="0" collapsed="false">
      <c r="A84" s="42" t="s">
        <v>123</v>
      </c>
      <c r="B84" s="31" t="n">
        <v>11</v>
      </c>
      <c r="C84" s="43" t="s">
        <v>338</v>
      </c>
      <c r="D84" s="31" t="n">
        <v>31</v>
      </c>
      <c r="E84" s="40" t="n">
        <v>1</v>
      </c>
      <c r="F84" s="40" t="n">
        <v>0.870967741935484</v>
      </c>
      <c r="G84" s="40" t="n">
        <v>0.774193548387097</v>
      </c>
      <c r="H84" s="40" t="n">
        <v>0.806451612903226</v>
      </c>
      <c r="I84" s="40" t="n">
        <v>0.193548387096774</v>
      </c>
      <c r="J84" s="40" t="n">
        <v>0.0645161290322581</v>
      </c>
      <c r="K84" s="40" t="n">
        <v>0.032258064516129</v>
      </c>
      <c r="L84" s="40" t="n">
        <v>0</v>
      </c>
      <c r="M84" s="40" t="n">
        <v>0</v>
      </c>
    </row>
    <row r="85" customFormat="false" ht="15" hidden="false" customHeight="true" outlineLevel="0" collapsed="false">
      <c r="A85" s="42" t="s">
        <v>124</v>
      </c>
      <c r="B85" s="31" t="n">
        <v>12</v>
      </c>
      <c r="C85" s="43" t="s">
        <v>338</v>
      </c>
      <c r="D85" s="31" t="n">
        <v>42</v>
      </c>
      <c r="E85" s="40" t="n">
        <v>1</v>
      </c>
      <c r="F85" s="40" t="n">
        <v>0.80952380952381</v>
      </c>
      <c r="G85" s="40" t="n">
        <v>0.738095238095238</v>
      </c>
      <c r="H85" s="40" t="n">
        <v>0.714285714285714</v>
      </c>
      <c r="I85" s="40" t="n">
        <v>0.0952380952380952</v>
      </c>
      <c r="J85" s="40" t="n">
        <v>0.0714285714285714</v>
      </c>
      <c r="K85" s="40" t="n">
        <v>0.119047619047619</v>
      </c>
      <c r="L85" s="40" t="n">
        <v>0</v>
      </c>
      <c r="M85" s="40" t="n">
        <v>0.0476190476190476</v>
      </c>
    </row>
    <row r="86" customFormat="false" ht="15" hidden="false" customHeight="true" outlineLevel="0" collapsed="false">
      <c r="A86" s="38" t="s">
        <v>126</v>
      </c>
      <c r="B86" s="31" t="n">
        <v>14</v>
      </c>
      <c r="C86" s="39" t="s">
        <v>334</v>
      </c>
      <c r="D86" s="31" t="n">
        <v>28</v>
      </c>
      <c r="E86" s="40" t="n">
        <v>1</v>
      </c>
      <c r="F86" s="40" t="n">
        <v>0.892857142857143</v>
      </c>
      <c r="G86" s="40" t="n">
        <v>0.821428571428571</v>
      </c>
      <c r="H86" s="40" t="n">
        <v>0.75</v>
      </c>
      <c r="I86" s="40" t="n">
        <v>0.25</v>
      </c>
      <c r="J86" s="40" t="n">
        <v>0.214285714285714</v>
      </c>
      <c r="K86" s="40" t="n">
        <v>0.178571428571429</v>
      </c>
      <c r="L86" s="32"/>
      <c r="M86" s="32"/>
    </row>
    <row r="87" customFormat="false" ht="15" hidden="false" customHeight="true" outlineLevel="0" collapsed="false">
      <c r="A87" s="38" t="s">
        <v>127</v>
      </c>
      <c r="B87" s="31" t="n">
        <v>15</v>
      </c>
      <c r="C87" s="39" t="s">
        <v>334</v>
      </c>
      <c r="D87" s="31" t="n">
        <v>31</v>
      </c>
      <c r="E87" s="40" t="n">
        <v>1</v>
      </c>
      <c r="F87" s="40" t="n">
        <v>0.774193548387097</v>
      </c>
      <c r="G87" s="40" t="n">
        <v>0.870967741935484</v>
      </c>
      <c r="H87" s="40" t="n">
        <v>0.838709677419355</v>
      </c>
      <c r="I87" s="40" t="n">
        <v>0.225806451612903</v>
      </c>
      <c r="J87" s="40" t="n">
        <v>0.129032258064516</v>
      </c>
      <c r="K87" s="32"/>
      <c r="L87" s="32"/>
      <c r="M87" s="32"/>
    </row>
    <row r="88" customFormat="false" ht="15" hidden="false" customHeight="true" outlineLevel="0" collapsed="false">
      <c r="A88" s="38" t="s">
        <v>129</v>
      </c>
      <c r="B88" s="31" t="n">
        <v>17</v>
      </c>
      <c r="C88" s="39" t="s">
        <v>334</v>
      </c>
      <c r="D88" s="31" t="n">
        <v>39</v>
      </c>
      <c r="E88" s="40" t="n">
        <v>1</v>
      </c>
      <c r="F88" s="40" t="n">
        <v>0.846153846153846</v>
      </c>
      <c r="G88" s="40" t="n">
        <v>0.743589743589744</v>
      </c>
      <c r="H88" s="40" t="n">
        <v>0.615384615384615</v>
      </c>
      <c r="I88" s="32"/>
      <c r="J88" s="32"/>
      <c r="K88" s="32"/>
      <c r="L88" s="32"/>
      <c r="M88" s="32"/>
    </row>
    <row r="89" customFormat="false" ht="15" hidden="false" customHeight="true" outlineLevel="0" collapsed="false">
      <c r="A89" s="38" t="s">
        <v>130</v>
      </c>
      <c r="B89" s="31" t="n">
        <v>18</v>
      </c>
      <c r="C89" s="39" t="s">
        <v>334</v>
      </c>
      <c r="D89" s="31" t="n">
        <v>16</v>
      </c>
      <c r="E89" s="40" t="n">
        <v>1</v>
      </c>
      <c r="F89" s="40" t="n">
        <v>0.6875</v>
      </c>
      <c r="G89" s="40" t="n">
        <v>0.8125</v>
      </c>
      <c r="H89" s="32"/>
      <c r="I89" s="32"/>
      <c r="J89" s="32"/>
      <c r="K89" s="32"/>
      <c r="L89" s="32"/>
      <c r="M89" s="32"/>
    </row>
    <row r="90" customFormat="false" ht="15" hidden="false" customHeight="true" outlineLevel="0" collapsed="false">
      <c r="A90" s="38" t="s">
        <v>132</v>
      </c>
      <c r="B90" s="31" t="n">
        <v>20</v>
      </c>
      <c r="C90" s="39" t="s">
        <v>334</v>
      </c>
      <c r="D90" s="31" t="n">
        <v>23</v>
      </c>
      <c r="E90" s="40" t="n">
        <v>1</v>
      </c>
      <c r="F90" s="32"/>
      <c r="G90" s="32"/>
      <c r="H90" s="32"/>
      <c r="I90" s="32"/>
      <c r="J90" s="32"/>
      <c r="K90" s="32"/>
      <c r="L90" s="32"/>
      <c r="M90" s="32"/>
    </row>
    <row r="91" customFormat="false" ht="15" hidden="false" customHeight="true" outlineLevel="0" collapsed="false">
      <c r="A91" s="34" t="s">
        <v>335</v>
      </c>
      <c r="B91" s="36"/>
      <c r="C91" s="36"/>
      <c r="D91" s="36"/>
      <c r="E91" s="44" t="n">
        <v>1</v>
      </c>
      <c r="F91" s="44" t="n">
        <v>0.85</v>
      </c>
      <c r="G91" s="44" t="n">
        <v>0.775</v>
      </c>
      <c r="H91" s="44" t="n">
        <v>0.7625</v>
      </c>
      <c r="I91" s="44" t="n">
        <v>0.15</v>
      </c>
      <c r="J91" s="44" t="n">
        <v>0.0875</v>
      </c>
      <c r="K91" s="44" t="n">
        <v>0.0875</v>
      </c>
      <c r="L91" s="44" t="n">
        <v>0</v>
      </c>
      <c r="M91" s="44" t="n">
        <v>0.025</v>
      </c>
    </row>
    <row r="92" customFormat="false" ht="15" hidden="false" customHeight="true" outlineLevel="0" collapsed="false">
      <c r="A92" s="34" t="s">
        <v>336</v>
      </c>
      <c r="B92" s="36"/>
      <c r="C92" s="36"/>
      <c r="D92" s="36"/>
      <c r="E92" s="44" t="n">
        <v>1</v>
      </c>
      <c r="F92" s="44" t="n">
        <v>0.920122887864823</v>
      </c>
      <c r="G92" s="44" t="n">
        <v>0.878072196620584</v>
      </c>
      <c r="H92" s="44" t="n">
        <v>0.838517665130568</v>
      </c>
      <c r="I92" s="44" t="n">
        <v>0.363863287250384</v>
      </c>
      <c r="J92" s="44" t="n">
        <v>0.117319508448541</v>
      </c>
      <c r="K92" s="44" t="n">
        <v>0.0794930875576037</v>
      </c>
      <c r="L92" s="44" t="n">
        <v>0</v>
      </c>
      <c r="M92" s="44" t="n">
        <v>0.0119047619047619</v>
      </c>
    </row>
    <row r="93" customFormat="false" ht="15" hidden="false" customHeight="true" outlineLevel="0" collapsed="false">
      <c r="A93" s="45" t="s">
        <v>342</v>
      </c>
      <c r="B93" s="45"/>
      <c r="C93" s="45"/>
      <c r="D93" s="45"/>
      <c r="E93" s="45"/>
      <c r="F93" s="45"/>
      <c r="G93" s="45"/>
      <c r="H93" s="45"/>
      <c r="I93" s="45"/>
      <c r="J93" s="45"/>
      <c r="K93" s="45"/>
      <c r="L93" s="45"/>
      <c r="M93" s="45"/>
    </row>
    <row r="95" customFormat="false" ht="15" hidden="false" customHeight="true" outlineLevel="0" collapsed="false">
      <c r="A95" s="28" t="s">
        <v>295</v>
      </c>
      <c r="B95" s="28"/>
      <c r="C95" s="28"/>
      <c r="D95" s="28"/>
      <c r="E95" s="28"/>
      <c r="F95" s="28"/>
      <c r="G95" s="28"/>
      <c r="H95" s="28"/>
      <c r="I95" s="28"/>
      <c r="J95" s="28"/>
      <c r="K95" s="28"/>
      <c r="L95" s="28"/>
      <c r="M95" s="28"/>
      <c r="N95" s="28"/>
      <c r="O95" s="28"/>
      <c r="P95" s="28"/>
      <c r="Q95" s="28"/>
      <c r="R95" s="28"/>
      <c r="S95" s="28"/>
      <c r="T95" s="28"/>
      <c r="U95" s="28"/>
    </row>
    <row r="96" customFormat="false" ht="15" hidden="false" customHeight="true" outlineLevel="0" collapsed="false">
      <c r="A96" s="12" t="s">
        <v>330</v>
      </c>
      <c r="B96" s="12" t="s">
        <v>331</v>
      </c>
      <c r="C96" s="12" t="s">
        <v>332</v>
      </c>
      <c r="D96" s="12" t="s">
        <v>333</v>
      </c>
      <c r="E96" s="37" t="n">
        <v>1</v>
      </c>
      <c r="F96" s="37" t="n">
        <v>2</v>
      </c>
      <c r="G96" s="37" t="n">
        <v>3</v>
      </c>
      <c r="H96" s="37" t="n">
        <v>4</v>
      </c>
      <c r="I96" s="37" t="n">
        <v>5</v>
      </c>
      <c r="J96" s="37" t="n">
        <v>6</v>
      </c>
      <c r="K96" s="37" t="n">
        <v>7</v>
      </c>
      <c r="L96" s="37" t="n">
        <v>8</v>
      </c>
      <c r="M96" s="37" t="n">
        <v>9</v>
      </c>
      <c r="N96" s="37" t="n">
        <v>10</v>
      </c>
      <c r="O96" s="37" t="n">
        <v>11</v>
      </c>
      <c r="P96" s="37" t="n">
        <v>12</v>
      </c>
      <c r="Q96" s="37" t="n">
        <v>13</v>
      </c>
      <c r="R96" s="37" t="n">
        <v>14</v>
      </c>
      <c r="S96" s="37" t="n">
        <v>15</v>
      </c>
      <c r="T96" s="37" t="n">
        <v>16</v>
      </c>
      <c r="U96" s="37" t="n">
        <v>17</v>
      </c>
    </row>
    <row r="97" customFormat="false" ht="15" hidden="false" customHeight="true" outlineLevel="0" collapsed="false">
      <c r="A97" s="42" t="s">
        <v>113</v>
      </c>
      <c r="B97" s="31" t="n">
        <v>1</v>
      </c>
      <c r="C97" s="43" t="s">
        <v>338</v>
      </c>
      <c r="D97" s="31" t="n">
        <v>4</v>
      </c>
      <c r="E97" s="40" t="n">
        <v>1</v>
      </c>
      <c r="F97" s="40" t="n">
        <v>0.5</v>
      </c>
      <c r="G97" s="40" t="n">
        <v>0.5</v>
      </c>
      <c r="H97" s="40" t="n">
        <v>0.25</v>
      </c>
      <c r="I97" s="40" t="n">
        <v>0.5</v>
      </c>
      <c r="J97" s="40" t="n">
        <v>0.5</v>
      </c>
      <c r="K97" s="40" t="n">
        <v>0.25</v>
      </c>
      <c r="L97" s="40" t="n">
        <v>0.25</v>
      </c>
      <c r="M97" s="40" t="n">
        <v>0.25</v>
      </c>
      <c r="N97" s="40" t="n">
        <v>0</v>
      </c>
      <c r="O97" s="40" t="n">
        <v>0</v>
      </c>
      <c r="P97" s="40" t="n">
        <v>0</v>
      </c>
      <c r="Q97" s="40" t="n">
        <v>0</v>
      </c>
      <c r="R97" s="40" t="n">
        <v>0</v>
      </c>
      <c r="S97" s="40" t="n">
        <v>0</v>
      </c>
      <c r="T97" s="40" t="n">
        <v>0</v>
      </c>
      <c r="U97" s="40" t="n">
        <v>0</v>
      </c>
    </row>
    <row r="98" customFormat="false" ht="15" hidden="false" customHeight="true" outlineLevel="0" collapsed="false">
      <c r="A98" s="42" t="s">
        <v>114</v>
      </c>
      <c r="B98" s="31" t="n">
        <v>2</v>
      </c>
      <c r="C98" s="43" t="s">
        <v>338</v>
      </c>
      <c r="D98" s="31" t="n">
        <v>27</v>
      </c>
      <c r="E98" s="40" t="n">
        <v>1</v>
      </c>
      <c r="F98" s="40" t="n">
        <v>0.740740740740741</v>
      </c>
      <c r="G98" s="40" t="n">
        <v>0.222222222222222</v>
      </c>
      <c r="H98" s="40" t="n">
        <v>0.592592592592593</v>
      </c>
      <c r="I98" s="40" t="n">
        <v>0.444444444444444</v>
      </c>
      <c r="J98" s="40" t="n">
        <v>0.37037037037037</v>
      </c>
      <c r="K98" s="40" t="n">
        <v>0.222222222222222</v>
      </c>
      <c r="L98" s="40" t="n">
        <v>0.111111111111111</v>
      </c>
      <c r="M98" s="40" t="n">
        <v>0.111111111111111</v>
      </c>
      <c r="N98" s="40" t="n">
        <v>0.037037037037037</v>
      </c>
      <c r="O98" s="40" t="n">
        <v>0</v>
      </c>
      <c r="P98" s="40" t="n">
        <v>0</v>
      </c>
      <c r="Q98" s="40" t="n">
        <v>0</v>
      </c>
      <c r="R98" s="40" t="n">
        <v>0</v>
      </c>
      <c r="S98" s="40" t="n">
        <v>0</v>
      </c>
      <c r="T98" s="40" t="n">
        <v>0</v>
      </c>
      <c r="U98" s="40" t="n">
        <v>0</v>
      </c>
    </row>
    <row r="99" customFormat="false" ht="15" hidden="false" customHeight="true" outlineLevel="0" collapsed="false">
      <c r="A99" s="42" t="s">
        <v>115</v>
      </c>
      <c r="B99" s="31" t="n">
        <v>3</v>
      </c>
      <c r="C99" s="43" t="s">
        <v>338</v>
      </c>
      <c r="D99" s="31" t="n">
        <v>25</v>
      </c>
      <c r="E99" s="40" t="n">
        <v>1</v>
      </c>
      <c r="F99" s="40" t="n">
        <v>0.36</v>
      </c>
      <c r="G99" s="40" t="n">
        <v>0.72</v>
      </c>
      <c r="H99" s="40" t="n">
        <v>0.68</v>
      </c>
      <c r="I99" s="40" t="n">
        <v>0.44</v>
      </c>
      <c r="J99" s="40" t="n">
        <v>0.52</v>
      </c>
      <c r="K99" s="40" t="n">
        <v>0.4</v>
      </c>
      <c r="L99" s="40" t="n">
        <v>0.08</v>
      </c>
      <c r="M99" s="40" t="n">
        <v>0.04</v>
      </c>
      <c r="N99" s="40" t="n">
        <v>0.08</v>
      </c>
      <c r="O99" s="40" t="n">
        <v>0</v>
      </c>
      <c r="P99" s="40" t="n">
        <v>0.08</v>
      </c>
      <c r="Q99" s="40" t="n">
        <v>0.04</v>
      </c>
      <c r="R99" s="40" t="n">
        <v>0</v>
      </c>
      <c r="S99" s="40" t="n">
        <v>0</v>
      </c>
      <c r="T99" s="40" t="n">
        <v>0</v>
      </c>
      <c r="U99" s="40" t="n">
        <v>0</v>
      </c>
    </row>
    <row r="100" customFormat="false" ht="15" hidden="false" customHeight="true" outlineLevel="0" collapsed="false">
      <c r="A100" s="42" t="s">
        <v>116</v>
      </c>
      <c r="B100" s="31" t="n">
        <v>4</v>
      </c>
      <c r="C100" s="43" t="s">
        <v>338</v>
      </c>
      <c r="D100" s="31" t="n">
        <v>10</v>
      </c>
      <c r="E100" s="40" t="n">
        <v>1</v>
      </c>
      <c r="F100" s="40" t="n">
        <v>0.9</v>
      </c>
      <c r="G100" s="40" t="n">
        <v>0.6</v>
      </c>
      <c r="H100" s="40" t="n">
        <v>0.5</v>
      </c>
      <c r="I100" s="40" t="n">
        <v>0.5</v>
      </c>
      <c r="J100" s="40" t="n">
        <v>0.3</v>
      </c>
      <c r="K100" s="40" t="n">
        <v>0.2</v>
      </c>
      <c r="L100" s="40" t="n">
        <v>0.2</v>
      </c>
      <c r="M100" s="40" t="n">
        <v>0</v>
      </c>
      <c r="N100" s="40" t="n">
        <v>0</v>
      </c>
      <c r="O100" s="40" t="n">
        <v>0</v>
      </c>
      <c r="P100" s="40" t="n">
        <v>0</v>
      </c>
      <c r="Q100" s="40" t="n">
        <v>0.1</v>
      </c>
      <c r="R100" s="40" t="n">
        <v>0.2</v>
      </c>
      <c r="S100" s="40" t="n">
        <v>0.2</v>
      </c>
      <c r="T100" s="40" t="n">
        <v>0.1</v>
      </c>
      <c r="U100" s="40" t="n">
        <v>0.1</v>
      </c>
    </row>
    <row r="101" customFormat="false" ht="15" hidden="false" customHeight="true" outlineLevel="0" collapsed="false">
      <c r="A101" s="42" t="s">
        <v>117</v>
      </c>
      <c r="B101" s="31" t="n">
        <v>5</v>
      </c>
      <c r="C101" s="43" t="s">
        <v>338</v>
      </c>
      <c r="D101" s="31" t="n">
        <v>21</v>
      </c>
      <c r="E101" s="40" t="n">
        <v>1</v>
      </c>
      <c r="F101" s="40" t="n">
        <v>0.857142857142857</v>
      </c>
      <c r="G101" s="40" t="n">
        <v>0.238095238095238</v>
      </c>
      <c r="H101" s="40" t="n">
        <v>0.761904761904762</v>
      </c>
      <c r="I101" s="40" t="n">
        <v>0.714285714285714</v>
      </c>
      <c r="J101" s="40" t="n">
        <v>0.666666666666667</v>
      </c>
      <c r="K101" s="40" t="n">
        <v>0.428571428571429</v>
      </c>
      <c r="L101" s="40" t="n">
        <v>0.333333333333333</v>
      </c>
      <c r="M101" s="40" t="n">
        <v>0.0952380952380952</v>
      </c>
      <c r="N101" s="40" t="n">
        <v>0.0952380952380952</v>
      </c>
      <c r="O101" s="40" t="n">
        <v>0</v>
      </c>
      <c r="P101" s="40" t="n">
        <v>0</v>
      </c>
      <c r="Q101" s="40" t="n">
        <v>0</v>
      </c>
      <c r="R101" s="40" t="n">
        <v>0</v>
      </c>
      <c r="S101" s="40" t="n">
        <v>0</v>
      </c>
      <c r="T101" s="40" t="n">
        <v>0</v>
      </c>
      <c r="U101" s="32"/>
    </row>
    <row r="102" customFormat="false" ht="15" hidden="false" customHeight="true" outlineLevel="0" collapsed="false">
      <c r="A102" s="42" t="s">
        <v>118</v>
      </c>
      <c r="B102" s="31" t="n">
        <v>6</v>
      </c>
      <c r="C102" s="43" t="s">
        <v>338</v>
      </c>
      <c r="D102" s="31" t="n">
        <v>15</v>
      </c>
      <c r="E102" s="40" t="n">
        <v>1</v>
      </c>
      <c r="F102" s="40" t="n">
        <v>0.466666666666667</v>
      </c>
      <c r="G102" s="40" t="n">
        <v>0.8</v>
      </c>
      <c r="H102" s="40" t="n">
        <v>0.666666666666667</v>
      </c>
      <c r="I102" s="40" t="n">
        <v>0.533333333333333</v>
      </c>
      <c r="J102" s="40" t="n">
        <v>0.466666666666667</v>
      </c>
      <c r="K102" s="40" t="n">
        <v>0.333333333333333</v>
      </c>
      <c r="L102" s="40" t="n">
        <v>0.133333333333333</v>
      </c>
      <c r="M102" s="40" t="n">
        <v>0.133333333333333</v>
      </c>
      <c r="N102" s="40" t="n">
        <v>0.0666666666666667</v>
      </c>
      <c r="O102" s="40" t="n">
        <v>0</v>
      </c>
      <c r="P102" s="40" t="n">
        <v>0.133333333333333</v>
      </c>
      <c r="Q102" s="40" t="n">
        <v>0.0666666666666667</v>
      </c>
      <c r="R102" s="40" t="n">
        <v>0.0666666666666667</v>
      </c>
      <c r="S102" s="40" t="n">
        <v>0</v>
      </c>
      <c r="T102" s="32"/>
      <c r="U102" s="32"/>
    </row>
    <row r="103" customFormat="false" ht="15" hidden="false" customHeight="true" outlineLevel="0" collapsed="false">
      <c r="A103" s="42" t="s">
        <v>119</v>
      </c>
      <c r="B103" s="31" t="n">
        <v>7</v>
      </c>
      <c r="C103" s="43" t="s">
        <v>338</v>
      </c>
      <c r="D103" s="31" t="n">
        <v>5</v>
      </c>
      <c r="E103" s="40" t="n">
        <v>1</v>
      </c>
      <c r="F103" s="40" t="n">
        <v>1</v>
      </c>
      <c r="G103" s="40" t="n">
        <v>0.6</v>
      </c>
      <c r="H103" s="40" t="n">
        <v>0.4</v>
      </c>
      <c r="I103" s="40" t="n">
        <v>0.6</v>
      </c>
      <c r="J103" s="40" t="n">
        <v>0.4</v>
      </c>
      <c r="K103" s="40" t="n">
        <v>0</v>
      </c>
      <c r="L103" s="40" t="n">
        <v>0.2</v>
      </c>
      <c r="M103" s="40" t="n">
        <v>0</v>
      </c>
      <c r="N103" s="40" t="n">
        <v>0</v>
      </c>
      <c r="O103" s="40" t="n">
        <v>0</v>
      </c>
      <c r="P103" s="40" t="n">
        <v>0</v>
      </c>
      <c r="Q103" s="40" t="n">
        <v>0</v>
      </c>
      <c r="R103" s="40" t="n">
        <v>0</v>
      </c>
      <c r="S103" s="32"/>
      <c r="T103" s="32"/>
      <c r="U103" s="32"/>
    </row>
    <row r="104" customFormat="false" ht="15" hidden="false" customHeight="true" outlineLevel="0" collapsed="false">
      <c r="A104" s="42" t="s">
        <v>120</v>
      </c>
      <c r="B104" s="31" t="n">
        <v>8</v>
      </c>
      <c r="C104" s="43" t="s">
        <v>338</v>
      </c>
      <c r="D104" s="31" t="n">
        <v>32</v>
      </c>
      <c r="E104" s="40" t="n">
        <v>1</v>
      </c>
      <c r="F104" s="40" t="n">
        <v>0.8125</v>
      </c>
      <c r="G104" s="40" t="n">
        <v>0.375</v>
      </c>
      <c r="H104" s="40" t="n">
        <v>0.65625</v>
      </c>
      <c r="I104" s="40" t="n">
        <v>0.53125</v>
      </c>
      <c r="J104" s="40" t="n">
        <v>0.1875</v>
      </c>
      <c r="K104" s="40" t="n">
        <v>0.25</v>
      </c>
      <c r="L104" s="40" t="n">
        <v>0.1875</v>
      </c>
      <c r="M104" s="40" t="n">
        <v>0.0625</v>
      </c>
      <c r="N104" s="40" t="n">
        <v>0.09375</v>
      </c>
      <c r="O104" s="40" t="n">
        <v>0.0625</v>
      </c>
      <c r="P104" s="40" t="n">
        <v>0</v>
      </c>
      <c r="Q104" s="40" t="n">
        <v>0.03125</v>
      </c>
      <c r="R104" s="32"/>
      <c r="S104" s="32"/>
      <c r="T104" s="32"/>
      <c r="U104" s="32"/>
    </row>
    <row r="105" customFormat="false" ht="15" hidden="false" customHeight="true" outlineLevel="0" collapsed="false">
      <c r="A105" s="42" t="s">
        <v>121</v>
      </c>
      <c r="B105" s="31" t="n">
        <v>9</v>
      </c>
      <c r="C105" s="43" t="s">
        <v>338</v>
      </c>
      <c r="D105" s="31" t="n">
        <v>25</v>
      </c>
      <c r="E105" s="40" t="n">
        <v>1</v>
      </c>
      <c r="F105" s="40" t="n">
        <v>0.4</v>
      </c>
      <c r="G105" s="40" t="n">
        <v>0.56</v>
      </c>
      <c r="H105" s="40" t="n">
        <v>0.6</v>
      </c>
      <c r="I105" s="40" t="n">
        <v>0.44</v>
      </c>
      <c r="J105" s="40" t="n">
        <v>0.48</v>
      </c>
      <c r="K105" s="40" t="n">
        <v>0.28</v>
      </c>
      <c r="L105" s="40" t="n">
        <v>0.12</v>
      </c>
      <c r="M105" s="40" t="n">
        <v>0.08</v>
      </c>
      <c r="N105" s="40" t="n">
        <v>0.04</v>
      </c>
      <c r="O105" s="40" t="n">
        <v>0.08</v>
      </c>
      <c r="P105" s="40" t="n">
        <v>0.12</v>
      </c>
      <c r="Q105" s="32"/>
      <c r="R105" s="32"/>
      <c r="S105" s="32"/>
      <c r="T105" s="32"/>
      <c r="U105" s="32"/>
    </row>
    <row r="106" customFormat="false" ht="15" hidden="false" customHeight="true" outlineLevel="0" collapsed="false">
      <c r="A106" s="42" t="s">
        <v>122</v>
      </c>
      <c r="B106" s="31" t="n">
        <v>10</v>
      </c>
      <c r="C106" s="43" t="s">
        <v>338</v>
      </c>
      <c r="D106" s="31" t="n">
        <v>15</v>
      </c>
      <c r="E106" s="40" t="n">
        <v>1</v>
      </c>
      <c r="F106" s="40" t="n">
        <v>0.8</v>
      </c>
      <c r="G106" s="40" t="n">
        <v>0.8</v>
      </c>
      <c r="H106" s="40" t="n">
        <v>0.533333333333333</v>
      </c>
      <c r="I106" s="40" t="n">
        <v>0.666666666666667</v>
      </c>
      <c r="J106" s="40" t="n">
        <v>0.466666666666667</v>
      </c>
      <c r="K106" s="40" t="n">
        <v>0.333333333333333</v>
      </c>
      <c r="L106" s="40" t="n">
        <v>0.266666666666667</v>
      </c>
      <c r="M106" s="40" t="n">
        <v>0.133333333333333</v>
      </c>
      <c r="N106" s="40" t="n">
        <v>0</v>
      </c>
      <c r="O106" s="40" t="n">
        <v>0.0666666666666667</v>
      </c>
      <c r="P106" s="32"/>
      <c r="Q106" s="32"/>
      <c r="R106" s="32"/>
      <c r="S106" s="32"/>
      <c r="T106" s="32"/>
      <c r="U106" s="32"/>
    </row>
    <row r="107" customFormat="false" ht="15" hidden="false" customHeight="true" outlineLevel="0" collapsed="false">
      <c r="A107" s="42" t="s">
        <v>123</v>
      </c>
      <c r="B107" s="31" t="n">
        <v>11</v>
      </c>
      <c r="C107" s="43" t="s">
        <v>338</v>
      </c>
      <c r="D107" s="31" t="n">
        <v>27</v>
      </c>
      <c r="E107" s="40" t="n">
        <v>1</v>
      </c>
      <c r="F107" s="40" t="n">
        <v>0.851851851851852</v>
      </c>
      <c r="G107" s="40" t="n">
        <v>0.37037037037037</v>
      </c>
      <c r="H107" s="40" t="n">
        <v>0.703703703703704</v>
      </c>
      <c r="I107" s="40" t="n">
        <v>0.740740740740741</v>
      </c>
      <c r="J107" s="40" t="n">
        <v>0.518518518518519</v>
      </c>
      <c r="K107" s="40" t="n">
        <v>0.444444444444444</v>
      </c>
      <c r="L107" s="40" t="n">
        <v>0.259259259259259</v>
      </c>
      <c r="M107" s="40" t="n">
        <v>0.185185185185185</v>
      </c>
      <c r="N107" s="40" t="n">
        <v>0.037037037037037</v>
      </c>
      <c r="O107" s="32"/>
      <c r="P107" s="32"/>
      <c r="Q107" s="32"/>
      <c r="R107" s="32"/>
      <c r="S107" s="32"/>
      <c r="T107" s="32"/>
      <c r="U107" s="32"/>
    </row>
    <row r="108" customFormat="false" ht="15" hidden="false" customHeight="true" outlineLevel="0" collapsed="false">
      <c r="A108" s="42" t="s">
        <v>124</v>
      </c>
      <c r="B108" s="31" t="n">
        <v>12</v>
      </c>
      <c r="C108" s="43" t="s">
        <v>338</v>
      </c>
      <c r="D108" s="31" t="n">
        <v>42</v>
      </c>
      <c r="E108" s="40" t="n">
        <v>1</v>
      </c>
      <c r="F108" s="40" t="n">
        <v>0.619047619047619</v>
      </c>
      <c r="G108" s="40" t="n">
        <v>0.761904761904762</v>
      </c>
      <c r="H108" s="40" t="n">
        <v>0.571428571428571</v>
      </c>
      <c r="I108" s="40" t="n">
        <v>0.452380952380952</v>
      </c>
      <c r="J108" s="40" t="n">
        <v>0.5</v>
      </c>
      <c r="K108" s="40" t="n">
        <v>0.214285714285714</v>
      </c>
      <c r="L108" s="40" t="n">
        <v>0.119047619047619</v>
      </c>
      <c r="M108" s="40" t="n">
        <v>0.0952380952380952</v>
      </c>
      <c r="N108" s="32"/>
      <c r="O108" s="32"/>
      <c r="P108" s="32"/>
      <c r="Q108" s="32"/>
      <c r="R108" s="32"/>
      <c r="S108" s="32"/>
      <c r="T108" s="32"/>
      <c r="U108" s="32"/>
    </row>
    <row r="109" customFormat="false" ht="15" hidden="false" customHeight="true" outlineLevel="0" collapsed="false">
      <c r="A109" s="38" t="s">
        <v>125</v>
      </c>
      <c r="B109" s="31" t="n">
        <v>13</v>
      </c>
      <c r="C109" s="39" t="s">
        <v>334</v>
      </c>
      <c r="D109" s="31" t="n">
        <v>11</v>
      </c>
      <c r="E109" s="40" t="n">
        <v>1</v>
      </c>
      <c r="F109" s="40" t="n">
        <v>0.909090909090909</v>
      </c>
      <c r="G109" s="40" t="n">
        <v>0.545454545454545</v>
      </c>
      <c r="H109" s="40" t="n">
        <v>0.636363636363636</v>
      </c>
      <c r="I109" s="40" t="n">
        <v>0.818181818181818</v>
      </c>
      <c r="J109" s="40" t="n">
        <v>0.272727272727273</v>
      </c>
      <c r="K109" s="40" t="n">
        <v>0.181818181818182</v>
      </c>
      <c r="L109" s="40" t="n">
        <v>0.181818181818182</v>
      </c>
      <c r="M109" s="32"/>
      <c r="N109" s="32"/>
      <c r="O109" s="32"/>
      <c r="P109" s="32"/>
      <c r="Q109" s="32"/>
      <c r="R109" s="32"/>
      <c r="S109" s="32"/>
      <c r="T109" s="32"/>
      <c r="U109" s="32"/>
    </row>
    <row r="110" customFormat="false" ht="15" hidden="false" customHeight="true" outlineLevel="0" collapsed="false">
      <c r="A110" s="38" t="s">
        <v>126</v>
      </c>
      <c r="B110" s="31" t="n">
        <v>14</v>
      </c>
      <c r="C110" s="39" t="s">
        <v>334</v>
      </c>
      <c r="D110" s="31" t="n">
        <v>38</v>
      </c>
      <c r="E110" s="40" t="n">
        <v>1</v>
      </c>
      <c r="F110" s="40" t="n">
        <v>0.631578947368421</v>
      </c>
      <c r="G110" s="40" t="n">
        <v>0.289473684210526</v>
      </c>
      <c r="H110" s="40" t="n">
        <v>0.526315789473684</v>
      </c>
      <c r="I110" s="40" t="n">
        <v>0.473684210526316</v>
      </c>
      <c r="J110" s="40" t="n">
        <v>0.263157894736842</v>
      </c>
      <c r="K110" s="40" t="n">
        <v>0.263157894736842</v>
      </c>
      <c r="L110" s="32"/>
      <c r="M110" s="32"/>
      <c r="N110" s="32"/>
      <c r="O110" s="32"/>
      <c r="P110" s="32"/>
      <c r="Q110" s="32"/>
      <c r="R110" s="32"/>
      <c r="S110" s="32"/>
      <c r="T110" s="32"/>
      <c r="U110" s="32"/>
    </row>
    <row r="111" customFormat="false" ht="15" hidden="false" customHeight="true" outlineLevel="0" collapsed="false">
      <c r="A111" s="38" t="s">
        <v>127</v>
      </c>
      <c r="B111" s="31" t="n">
        <v>15</v>
      </c>
      <c r="C111" s="39" t="s">
        <v>334</v>
      </c>
      <c r="D111" s="31" t="n">
        <v>35</v>
      </c>
      <c r="E111" s="40" t="n">
        <v>1</v>
      </c>
      <c r="F111" s="40" t="n">
        <v>0.342857142857143</v>
      </c>
      <c r="G111" s="40" t="n">
        <v>0.857142857142857</v>
      </c>
      <c r="H111" s="40" t="n">
        <v>0.685714285714286</v>
      </c>
      <c r="I111" s="40" t="n">
        <v>0.485714285714286</v>
      </c>
      <c r="J111" s="40" t="n">
        <v>0.4</v>
      </c>
      <c r="K111" s="32"/>
      <c r="L111" s="32"/>
      <c r="M111" s="32"/>
      <c r="N111" s="32"/>
      <c r="O111" s="32"/>
      <c r="P111" s="32"/>
      <c r="Q111" s="32"/>
      <c r="R111" s="32"/>
      <c r="S111" s="32"/>
      <c r="T111" s="32"/>
      <c r="U111" s="32"/>
    </row>
    <row r="112" customFormat="false" ht="15" hidden="false" customHeight="true" outlineLevel="0" collapsed="false">
      <c r="A112" s="38" t="s">
        <v>128</v>
      </c>
      <c r="B112" s="31" t="n">
        <v>16</v>
      </c>
      <c r="C112" s="39" t="s">
        <v>334</v>
      </c>
      <c r="D112" s="31" t="n">
        <v>8</v>
      </c>
      <c r="E112" s="40" t="n">
        <v>1</v>
      </c>
      <c r="F112" s="40" t="n">
        <v>0.75</v>
      </c>
      <c r="G112" s="40" t="n">
        <v>0.375</v>
      </c>
      <c r="H112" s="40" t="n">
        <v>0.375</v>
      </c>
      <c r="I112" s="40" t="n">
        <v>0.625</v>
      </c>
      <c r="J112" s="32"/>
      <c r="K112" s="32"/>
      <c r="L112" s="32"/>
      <c r="M112" s="32"/>
      <c r="N112" s="32"/>
      <c r="O112" s="32"/>
      <c r="P112" s="32"/>
      <c r="Q112" s="32"/>
      <c r="R112" s="32"/>
      <c r="S112" s="32"/>
      <c r="T112" s="32"/>
      <c r="U112" s="32"/>
    </row>
    <row r="113" customFormat="false" ht="15" hidden="false" customHeight="true" outlineLevel="0" collapsed="false">
      <c r="A113" s="38" t="s">
        <v>129</v>
      </c>
      <c r="B113" s="31" t="n">
        <v>17</v>
      </c>
      <c r="C113" s="39" t="s">
        <v>334</v>
      </c>
      <c r="D113" s="31" t="n">
        <v>29</v>
      </c>
      <c r="E113" s="40" t="n">
        <v>1</v>
      </c>
      <c r="F113" s="40" t="n">
        <v>0.689655172413793</v>
      </c>
      <c r="G113" s="40" t="n">
        <v>0.344827586206897</v>
      </c>
      <c r="H113" s="40" t="n">
        <v>0.724137931034483</v>
      </c>
      <c r="I113" s="32"/>
      <c r="J113" s="32"/>
      <c r="K113" s="32"/>
      <c r="L113" s="32"/>
      <c r="M113" s="32"/>
      <c r="N113" s="32"/>
      <c r="O113" s="32"/>
      <c r="P113" s="32"/>
      <c r="Q113" s="32"/>
      <c r="R113" s="32"/>
      <c r="S113" s="32"/>
      <c r="T113" s="32"/>
      <c r="U113" s="32"/>
    </row>
    <row r="114" customFormat="false" ht="15" hidden="false" customHeight="true" outlineLevel="0" collapsed="false">
      <c r="A114" s="38" t="s">
        <v>130</v>
      </c>
      <c r="B114" s="31" t="n">
        <v>18</v>
      </c>
      <c r="C114" s="39" t="s">
        <v>334</v>
      </c>
      <c r="D114" s="31" t="n">
        <v>21</v>
      </c>
      <c r="E114" s="40" t="n">
        <v>1</v>
      </c>
      <c r="F114" s="40" t="n">
        <v>0.619047619047619</v>
      </c>
      <c r="G114" s="40" t="n">
        <v>0.714285714285714</v>
      </c>
      <c r="H114" s="32"/>
      <c r="I114" s="32"/>
      <c r="J114" s="32"/>
      <c r="K114" s="32"/>
      <c r="L114" s="32"/>
      <c r="M114" s="32"/>
      <c r="N114" s="32"/>
      <c r="O114" s="32"/>
      <c r="P114" s="32"/>
      <c r="Q114" s="32"/>
      <c r="R114" s="32"/>
      <c r="S114" s="32"/>
      <c r="T114" s="32"/>
      <c r="U114" s="32"/>
    </row>
    <row r="115" customFormat="false" ht="15" hidden="false" customHeight="true" outlineLevel="0" collapsed="false">
      <c r="A115" s="38" t="s">
        <v>131</v>
      </c>
      <c r="B115" s="31" t="n">
        <v>19</v>
      </c>
      <c r="C115" s="39" t="s">
        <v>334</v>
      </c>
      <c r="D115" s="31" t="n">
        <v>9</v>
      </c>
      <c r="E115" s="40" t="n">
        <v>1</v>
      </c>
      <c r="F115" s="40" t="n">
        <v>1</v>
      </c>
      <c r="G115" s="32"/>
      <c r="H115" s="32"/>
      <c r="I115" s="32"/>
      <c r="J115" s="32"/>
      <c r="K115" s="32"/>
      <c r="L115" s="32"/>
      <c r="M115" s="32"/>
      <c r="N115" s="32"/>
      <c r="O115" s="32"/>
      <c r="P115" s="32"/>
      <c r="Q115" s="32"/>
      <c r="R115" s="32"/>
      <c r="S115" s="32"/>
      <c r="T115" s="32"/>
      <c r="U115" s="32"/>
    </row>
    <row r="116" customFormat="false" ht="15" hidden="false" customHeight="true" outlineLevel="0" collapsed="false">
      <c r="A116" s="38" t="s">
        <v>132</v>
      </c>
      <c r="B116" s="31" t="n">
        <v>20</v>
      </c>
      <c r="C116" s="39" t="s">
        <v>334</v>
      </c>
      <c r="D116" s="31" t="n">
        <v>13</v>
      </c>
      <c r="E116" s="40" t="n">
        <v>1</v>
      </c>
      <c r="F116" s="32"/>
      <c r="G116" s="32"/>
      <c r="H116" s="32"/>
      <c r="I116" s="32"/>
      <c r="J116" s="32"/>
      <c r="K116" s="32"/>
      <c r="L116" s="32"/>
      <c r="M116" s="32"/>
      <c r="N116" s="32"/>
      <c r="O116" s="32"/>
      <c r="P116" s="32"/>
      <c r="Q116" s="32"/>
      <c r="R116" s="32"/>
      <c r="S116" s="32"/>
      <c r="T116" s="32"/>
      <c r="U116" s="32"/>
    </row>
    <row r="117" customFormat="false" ht="15" hidden="false" customHeight="true" outlineLevel="0" collapsed="false">
      <c r="A117" s="34" t="s">
        <v>335</v>
      </c>
      <c r="B117" s="36"/>
      <c r="C117" s="36"/>
      <c r="D117" s="36"/>
      <c r="E117" s="44" t="n">
        <v>1</v>
      </c>
      <c r="F117" s="44" t="n">
        <v>0.673387096774194</v>
      </c>
      <c r="G117" s="44" t="n">
        <v>0.532258064516129</v>
      </c>
      <c r="H117" s="44" t="n">
        <v>0.620967741935484</v>
      </c>
      <c r="I117" s="44" t="n">
        <v>0.536290322580645</v>
      </c>
      <c r="J117" s="44" t="n">
        <v>0.44758064516129</v>
      </c>
      <c r="K117" s="44" t="n">
        <v>0.298387096774194</v>
      </c>
      <c r="L117" s="44" t="n">
        <v>0.173387096774194</v>
      </c>
      <c r="M117" s="44" t="n">
        <v>0.0967741935483871</v>
      </c>
      <c r="N117" s="44" t="n">
        <v>0.0443548387096774</v>
      </c>
      <c r="O117" s="44" t="n">
        <v>0.0201612903225806</v>
      </c>
      <c r="P117" s="44" t="n">
        <v>0.0282258064516129</v>
      </c>
      <c r="Q117" s="44" t="n">
        <v>0.0161290322580645</v>
      </c>
      <c r="R117" s="44" t="n">
        <v>0.0120967741935484</v>
      </c>
      <c r="S117" s="44" t="n">
        <v>0.00806451612903226</v>
      </c>
      <c r="T117" s="44" t="n">
        <v>0.00403225806451613</v>
      </c>
      <c r="U117" s="44" t="n">
        <v>0.00403225806451613</v>
      </c>
    </row>
    <row r="118" customFormat="false" ht="15" hidden="false" customHeight="true" outlineLevel="0" collapsed="false">
      <c r="A118" s="34" t="s">
        <v>336</v>
      </c>
      <c r="B118" s="36"/>
      <c r="C118" s="36"/>
      <c r="D118" s="36"/>
      <c r="E118" s="44" t="n">
        <v>1</v>
      </c>
      <c r="F118" s="44" t="n">
        <v>0.692329144620811</v>
      </c>
      <c r="G118" s="44" t="n">
        <v>0.545632716049383</v>
      </c>
      <c r="H118" s="44" t="n">
        <v>0.576323302469136</v>
      </c>
      <c r="I118" s="44" t="n">
        <v>0.546925154320988</v>
      </c>
      <c r="J118" s="44" t="n">
        <v>0.448032407407407</v>
      </c>
      <c r="K118" s="44" t="n">
        <v>0.27968253968254</v>
      </c>
      <c r="L118" s="44" t="n">
        <v>0.188354276895944</v>
      </c>
      <c r="M118" s="44" t="n">
        <v>0.0988282627865961</v>
      </c>
      <c r="N118" s="44" t="n">
        <v>0.0408844396344396</v>
      </c>
      <c r="O118" s="44" t="n">
        <v>0.0209166666666667</v>
      </c>
      <c r="P118" s="44" t="n">
        <v>0.037037037037037</v>
      </c>
      <c r="Q118" s="44" t="n">
        <v>0.0297395833333333</v>
      </c>
      <c r="R118" s="44" t="n">
        <v>0.0380952380952381</v>
      </c>
      <c r="S118" s="44" t="n">
        <v>0.0333333333333333</v>
      </c>
      <c r="T118" s="44" t="n">
        <v>0.02</v>
      </c>
      <c r="U118" s="44" t="n">
        <v>0.025</v>
      </c>
    </row>
    <row r="119" customFormat="false" ht="15" hidden="false" customHeight="true" outlineLevel="0" collapsed="false">
      <c r="A119" s="45" t="s">
        <v>343</v>
      </c>
      <c r="B119" s="45"/>
      <c r="C119" s="45"/>
      <c r="D119" s="45"/>
      <c r="E119" s="45"/>
      <c r="F119" s="45"/>
      <c r="G119" s="45"/>
      <c r="H119" s="45"/>
      <c r="I119" s="45"/>
      <c r="J119" s="45"/>
      <c r="K119" s="45"/>
      <c r="L119" s="45"/>
      <c r="M119" s="45"/>
      <c r="N119" s="45"/>
      <c r="O119" s="45"/>
      <c r="P119" s="45"/>
      <c r="Q119" s="45"/>
      <c r="R119" s="45"/>
      <c r="S119" s="45"/>
      <c r="T119" s="45"/>
      <c r="U119" s="45"/>
    </row>
    <row r="121" customFormat="false" ht="15" hidden="false" customHeight="true" outlineLevel="0" collapsed="false">
      <c r="A121" s="28" t="s">
        <v>296</v>
      </c>
      <c r="B121" s="28"/>
      <c r="C121" s="28"/>
      <c r="D121" s="28"/>
      <c r="E121" s="28"/>
      <c r="F121" s="28"/>
      <c r="G121" s="28"/>
      <c r="H121" s="28"/>
      <c r="I121" s="28"/>
      <c r="J121" s="28"/>
      <c r="K121" s="28"/>
      <c r="L121" s="28"/>
      <c r="M121" s="28"/>
      <c r="N121" s="28"/>
      <c r="O121" s="28"/>
      <c r="P121" s="28"/>
      <c r="Q121" s="28"/>
      <c r="R121" s="28"/>
      <c r="S121" s="28"/>
    </row>
    <row r="122" customFormat="false" ht="15" hidden="false" customHeight="true" outlineLevel="0" collapsed="false">
      <c r="A122" s="12" t="s">
        <v>330</v>
      </c>
      <c r="B122" s="12" t="s">
        <v>331</v>
      </c>
      <c r="C122" s="12" t="s">
        <v>332</v>
      </c>
      <c r="D122" s="12" t="s">
        <v>333</v>
      </c>
      <c r="E122" s="37" t="n">
        <v>1</v>
      </c>
      <c r="F122" s="37" t="n">
        <v>2</v>
      </c>
      <c r="G122" s="37" t="n">
        <v>3</v>
      </c>
      <c r="H122" s="37" t="n">
        <v>4</v>
      </c>
      <c r="I122" s="37" t="n">
        <v>5</v>
      </c>
      <c r="J122" s="37" t="n">
        <v>6</v>
      </c>
      <c r="K122" s="37" t="n">
        <v>7</v>
      </c>
      <c r="L122" s="37" t="n">
        <v>8</v>
      </c>
      <c r="M122" s="37" t="n">
        <v>9</v>
      </c>
      <c r="N122" s="37" t="n">
        <v>10</v>
      </c>
      <c r="O122" s="37" t="n">
        <v>11</v>
      </c>
      <c r="P122" s="37" t="n">
        <v>12</v>
      </c>
      <c r="Q122" s="37" t="n">
        <v>13</v>
      </c>
      <c r="R122" s="37" t="n">
        <v>14</v>
      </c>
      <c r="S122" s="37" t="n">
        <v>15</v>
      </c>
    </row>
    <row r="123" customFormat="false" ht="15" hidden="false" customHeight="true" outlineLevel="0" collapsed="false">
      <c r="A123" s="42" t="s">
        <v>113</v>
      </c>
      <c r="B123" s="31" t="n">
        <v>1</v>
      </c>
      <c r="C123" s="43" t="s">
        <v>338</v>
      </c>
      <c r="D123" s="31" t="n">
        <v>7</v>
      </c>
      <c r="E123" s="40" t="n">
        <v>1</v>
      </c>
      <c r="F123" s="40" t="n">
        <v>0.857142857142857</v>
      </c>
      <c r="G123" s="40" t="n">
        <v>0.857142857142857</v>
      </c>
      <c r="H123" s="40" t="n">
        <v>0.428571428571429</v>
      </c>
      <c r="I123" s="40" t="n">
        <v>0.714285714285714</v>
      </c>
      <c r="J123" s="40" t="n">
        <v>0.714285714285714</v>
      </c>
      <c r="K123" s="40" t="n">
        <v>0.571428571428571</v>
      </c>
      <c r="L123" s="40" t="n">
        <v>0.428571428571429</v>
      </c>
      <c r="M123" s="40" t="n">
        <v>0.285714285714286</v>
      </c>
      <c r="N123" s="40" t="n">
        <v>0</v>
      </c>
      <c r="O123" s="40" t="n">
        <v>0.142857142857143</v>
      </c>
      <c r="P123" s="40" t="n">
        <v>0.142857142857143</v>
      </c>
      <c r="Q123" s="40" t="n">
        <v>0.142857142857143</v>
      </c>
      <c r="R123" s="40" t="n">
        <v>0.142857142857143</v>
      </c>
      <c r="S123" s="40" t="n">
        <v>0</v>
      </c>
    </row>
    <row r="124" customFormat="false" ht="15" hidden="false" customHeight="true" outlineLevel="0" collapsed="false">
      <c r="A124" s="42" t="s">
        <v>114</v>
      </c>
      <c r="B124" s="31" t="n">
        <v>2</v>
      </c>
      <c r="C124" s="43" t="s">
        <v>338</v>
      </c>
      <c r="D124" s="31" t="n">
        <v>20</v>
      </c>
      <c r="E124" s="40" t="n">
        <v>1</v>
      </c>
      <c r="F124" s="40" t="n">
        <v>0.95</v>
      </c>
      <c r="G124" s="40" t="n">
        <v>0.6</v>
      </c>
      <c r="H124" s="40" t="n">
        <v>0.9</v>
      </c>
      <c r="I124" s="40" t="n">
        <v>0.75</v>
      </c>
      <c r="J124" s="40" t="n">
        <v>0.6</v>
      </c>
      <c r="K124" s="40" t="n">
        <v>0.55</v>
      </c>
      <c r="L124" s="40" t="n">
        <v>0.2</v>
      </c>
      <c r="M124" s="40" t="n">
        <v>0.05</v>
      </c>
      <c r="N124" s="40" t="n">
        <v>0.1</v>
      </c>
      <c r="O124" s="40" t="n">
        <v>0.05</v>
      </c>
      <c r="P124" s="40" t="n">
        <v>0.05</v>
      </c>
      <c r="Q124" s="40" t="n">
        <v>0.05</v>
      </c>
      <c r="R124" s="40" t="n">
        <v>0</v>
      </c>
      <c r="S124" s="40" t="n">
        <v>0</v>
      </c>
    </row>
    <row r="125" customFormat="false" ht="15" hidden="false" customHeight="true" outlineLevel="0" collapsed="false">
      <c r="A125" s="42" t="s">
        <v>115</v>
      </c>
      <c r="B125" s="31" t="n">
        <v>3</v>
      </c>
      <c r="C125" s="43" t="s">
        <v>338</v>
      </c>
      <c r="D125" s="31" t="n">
        <v>18</v>
      </c>
      <c r="E125" s="40" t="n">
        <v>1</v>
      </c>
      <c r="F125" s="40" t="n">
        <v>0.5</v>
      </c>
      <c r="G125" s="40" t="n">
        <v>0.722222222222222</v>
      </c>
      <c r="H125" s="40" t="n">
        <v>0.666666666666667</v>
      </c>
      <c r="I125" s="40" t="n">
        <v>0.388888888888889</v>
      </c>
      <c r="J125" s="40" t="n">
        <v>0.5</v>
      </c>
      <c r="K125" s="40" t="n">
        <v>0.277777777777778</v>
      </c>
      <c r="L125" s="40" t="n">
        <v>0.277777777777778</v>
      </c>
      <c r="M125" s="40" t="n">
        <v>0.166666666666667</v>
      </c>
      <c r="N125" s="40" t="n">
        <v>0.0555555555555556</v>
      </c>
      <c r="O125" s="40" t="n">
        <v>0.0555555555555556</v>
      </c>
      <c r="P125" s="40" t="n">
        <v>0</v>
      </c>
      <c r="Q125" s="40" t="n">
        <v>0.0555555555555556</v>
      </c>
      <c r="R125" s="40" t="n">
        <v>0</v>
      </c>
      <c r="S125" s="40" t="n">
        <v>0.0555555555555556</v>
      </c>
    </row>
    <row r="126" customFormat="false" ht="15" hidden="false" customHeight="true" outlineLevel="0" collapsed="false">
      <c r="A126" s="42" t="s">
        <v>116</v>
      </c>
      <c r="B126" s="31" t="n">
        <v>4</v>
      </c>
      <c r="C126" s="43" t="s">
        <v>338</v>
      </c>
      <c r="D126" s="31" t="n">
        <v>7</v>
      </c>
      <c r="E126" s="40" t="n">
        <v>1</v>
      </c>
      <c r="F126" s="40" t="n">
        <v>0.571428571428571</v>
      </c>
      <c r="G126" s="40" t="n">
        <v>0.428571428571429</v>
      </c>
      <c r="H126" s="40" t="n">
        <v>0.571428571428571</v>
      </c>
      <c r="I126" s="40" t="n">
        <v>0.571428571428571</v>
      </c>
      <c r="J126" s="40" t="n">
        <v>0.142857142857143</v>
      </c>
      <c r="K126" s="40" t="n">
        <v>0.142857142857143</v>
      </c>
      <c r="L126" s="40" t="n">
        <v>0.142857142857143</v>
      </c>
      <c r="M126" s="40" t="n">
        <v>0</v>
      </c>
      <c r="N126" s="40" t="n">
        <v>0.142857142857143</v>
      </c>
      <c r="O126" s="40" t="n">
        <v>0.142857142857143</v>
      </c>
      <c r="P126" s="40" t="n">
        <v>0.142857142857143</v>
      </c>
      <c r="Q126" s="40" t="n">
        <v>0</v>
      </c>
      <c r="R126" s="40" t="n">
        <v>0</v>
      </c>
      <c r="S126" s="40" t="n">
        <v>0</v>
      </c>
    </row>
    <row r="127" customFormat="false" ht="15" hidden="false" customHeight="true" outlineLevel="0" collapsed="false">
      <c r="A127" s="42" t="s">
        <v>117</v>
      </c>
      <c r="B127" s="31" t="n">
        <v>5</v>
      </c>
      <c r="C127" s="43" t="s">
        <v>338</v>
      </c>
      <c r="D127" s="31" t="n">
        <v>22</v>
      </c>
      <c r="E127" s="40" t="n">
        <v>1</v>
      </c>
      <c r="F127" s="40" t="n">
        <v>0.863636363636364</v>
      </c>
      <c r="G127" s="40" t="n">
        <v>0.318181818181818</v>
      </c>
      <c r="H127" s="40" t="n">
        <v>0.772727272727273</v>
      </c>
      <c r="I127" s="40" t="n">
        <v>0.772727272727273</v>
      </c>
      <c r="J127" s="40" t="n">
        <v>0.227272727272727</v>
      </c>
      <c r="K127" s="40" t="n">
        <v>0.590909090909091</v>
      </c>
      <c r="L127" s="40" t="n">
        <v>0.5</v>
      </c>
      <c r="M127" s="40" t="n">
        <v>0.0909090909090909</v>
      </c>
      <c r="N127" s="40" t="n">
        <v>0.272727272727273</v>
      </c>
      <c r="O127" s="40" t="n">
        <v>0.136363636363636</v>
      </c>
      <c r="P127" s="40" t="n">
        <v>0</v>
      </c>
      <c r="Q127" s="40" t="n">
        <v>0.0909090909090909</v>
      </c>
      <c r="R127" s="40" t="n">
        <v>0.0454545454545455</v>
      </c>
      <c r="S127" s="40" t="n">
        <v>0</v>
      </c>
    </row>
    <row r="128" customFormat="false" ht="15" hidden="false" customHeight="true" outlineLevel="0" collapsed="false">
      <c r="A128" s="42" t="s">
        <v>118</v>
      </c>
      <c r="B128" s="31" t="n">
        <v>6</v>
      </c>
      <c r="C128" s="43" t="s">
        <v>338</v>
      </c>
      <c r="D128" s="31" t="n">
        <v>35</v>
      </c>
      <c r="E128" s="40" t="n">
        <v>1</v>
      </c>
      <c r="F128" s="40" t="n">
        <v>0.514285714285714</v>
      </c>
      <c r="G128" s="40" t="n">
        <v>0.485714285714286</v>
      </c>
      <c r="H128" s="40" t="n">
        <v>0.428571428571429</v>
      </c>
      <c r="I128" s="40" t="n">
        <v>0.342857142857143</v>
      </c>
      <c r="J128" s="40" t="n">
        <v>0.428571428571429</v>
      </c>
      <c r="K128" s="40" t="n">
        <v>0.285714285714286</v>
      </c>
      <c r="L128" s="40" t="n">
        <v>0.171428571428571</v>
      </c>
      <c r="M128" s="40" t="n">
        <v>0.114285714285714</v>
      </c>
      <c r="N128" s="40" t="n">
        <v>0.0857142857142857</v>
      </c>
      <c r="O128" s="40" t="n">
        <v>0.142857142857143</v>
      </c>
      <c r="P128" s="40" t="n">
        <v>0.0571428571428571</v>
      </c>
      <c r="Q128" s="40" t="n">
        <v>0.0285714285714286</v>
      </c>
      <c r="R128" s="40" t="n">
        <v>0</v>
      </c>
      <c r="S128" s="40" t="n">
        <v>0</v>
      </c>
    </row>
    <row r="129" customFormat="false" ht="15" hidden="false" customHeight="true" outlineLevel="0" collapsed="false">
      <c r="A129" s="42" t="s">
        <v>119</v>
      </c>
      <c r="B129" s="31" t="n">
        <v>7</v>
      </c>
      <c r="C129" s="43" t="s">
        <v>338</v>
      </c>
      <c r="D129" s="31" t="n">
        <v>38</v>
      </c>
      <c r="E129" s="40" t="n">
        <v>1</v>
      </c>
      <c r="F129" s="40" t="n">
        <v>0.815789473684211</v>
      </c>
      <c r="G129" s="40" t="n">
        <v>0.710526315789474</v>
      </c>
      <c r="H129" s="40" t="n">
        <v>0.552631578947369</v>
      </c>
      <c r="I129" s="40" t="n">
        <v>0.578947368421053</v>
      </c>
      <c r="J129" s="40" t="n">
        <v>0.526315789473684</v>
      </c>
      <c r="K129" s="40" t="n">
        <v>0.131578947368421</v>
      </c>
      <c r="L129" s="40" t="n">
        <v>0.236842105263158</v>
      </c>
      <c r="M129" s="40" t="n">
        <v>0.105263157894737</v>
      </c>
      <c r="N129" s="40" t="n">
        <v>0</v>
      </c>
      <c r="O129" s="40" t="n">
        <v>0.0263157894736842</v>
      </c>
      <c r="P129" s="40" t="n">
        <v>0.0263157894736842</v>
      </c>
      <c r="Q129" s="40" t="n">
        <v>0</v>
      </c>
      <c r="R129" s="40" t="n">
        <v>0</v>
      </c>
      <c r="S129" s="32"/>
    </row>
    <row r="130" customFormat="false" ht="15" hidden="false" customHeight="true" outlineLevel="0" collapsed="false">
      <c r="A130" s="42" t="s">
        <v>120</v>
      </c>
      <c r="B130" s="31" t="n">
        <v>8</v>
      </c>
      <c r="C130" s="43" t="s">
        <v>338</v>
      </c>
      <c r="D130" s="31" t="n">
        <v>63</v>
      </c>
      <c r="E130" s="40" t="n">
        <v>1</v>
      </c>
      <c r="F130" s="40" t="n">
        <v>0.793650793650794</v>
      </c>
      <c r="G130" s="40" t="n">
        <v>0.603174603174603</v>
      </c>
      <c r="H130" s="40" t="n">
        <v>0.698412698412698</v>
      </c>
      <c r="I130" s="40" t="n">
        <v>0.634920634920635</v>
      </c>
      <c r="J130" s="40" t="n">
        <v>0.444444444444444</v>
      </c>
      <c r="K130" s="40" t="n">
        <v>0.285714285714286</v>
      </c>
      <c r="L130" s="40" t="n">
        <v>0.0793650793650794</v>
      </c>
      <c r="M130" s="40" t="n">
        <v>0.0317460317460317</v>
      </c>
      <c r="N130" s="40" t="n">
        <v>0</v>
      </c>
      <c r="O130" s="40" t="n">
        <v>0</v>
      </c>
      <c r="P130" s="40" t="n">
        <v>0</v>
      </c>
      <c r="Q130" s="40" t="n">
        <v>0</v>
      </c>
      <c r="R130" s="32"/>
      <c r="S130" s="32"/>
    </row>
    <row r="131" customFormat="false" ht="15" hidden="false" customHeight="true" outlineLevel="0" collapsed="false">
      <c r="A131" s="42" t="s">
        <v>121</v>
      </c>
      <c r="B131" s="31" t="n">
        <v>9</v>
      </c>
      <c r="C131" s="43" t="s">
        <v>338</v>
      </c>
      <c r="D131" s="31" t="n">
        <v>69</v>
      </c>
      <c r="E131" s="40" t="n">
        <v>1</v>
      </c>
      <c r="F131" s="40" t="n">
        <v>0.739130434782609</v>
      </c>
      <c r="G131" s="40" t="n">
        <v>0.710144927536232</v>
      </c>
      <c r="H131" s="40" t="n">
        <v>0.608695652173913</v>
      </c>
      <c r="I131" s="40" t="n">
        <v>0.478260869565217</v>
      </c>
      <c r="J131" s="40" t="n">
        <v>0.536231884057971</v>
      </c>
      <c r="K131" s="40" t="n">
        <v>0.115942028985507</v>
      </c>
      <c r="L131" s="40" t="n">
        <v>0.0579710144927536</v>
      </c>
      <c r="M131" s="40" t="n">
        <v>0.0434782608695652</v>
      </c>
      <c r="N131" s="40" t="n">
        <v>0.0289855072463768</v>
      </c>
      <c r="O131" s="40" t="n">
        <v>0</v>
      </c>
      <c r="P131" s="40" t="n">
        <v>0</v>
      </c>
      <c r="Q131" s="32"/>
      <c r="R131" s="32"/>
      <c r="S131" s="32"/>
    </row>
    <row r="132" customFormat="false" ht="15" hidden="false" customHeight="true" outlineLevel="0" collapsed="false">
      <c r="A132" s="42" t="s">
        <v>122</v>
      </c>
      <c r="B132" s="31" t="n">
        <v>10</v>
      </c>
      <c r="C132" s="43" t="s">
        <v>338</v>
      </c>
      <c r="D132" s="31" t="n">
        <v>45</v>
      </c>
      <c r="E132" s="40" t="n">
        <v>1</v>
      </c>
      <c r="F132" s="40" t="n">
        <v>0.933333333333333</v>
      </c>
      <c r="G132" s="40" t="n">
        <v>0.888888888888889</v>
      </c>
      <c r="H132" s="40" t="n">
        <v>0.666666666666667</v>
      </c>
      <c r="I132" s="40" t="n">
        <v>0.711111111111111</v>
      </c>
      <c r="J132" s="40" t="n">
        <v>0.688888888888889</v>
      </c>
      <c r="K132" s="40" t="n">
        <v>0.2</v>
      </c>
      <c r="L132" s="40" t="n">
        <v>0.133333333333333</v>
      </c>
      <c r="M132" s="40" t="n">
        <v>0.111111111111111</v>
      </c>
      <c r="N132" s="40" t="n">
        <v>0.0444444444444445</v>
      </c>
      <c r="O132" s="40" t="n">
        <v>0.0444444444444445</v>
      </c>
      <c r="P132" s="32"/>
      <c r="Q132" s="32"/>
      <c r="R132" s="32"/>
      <c r="S132" s="32"/>
    </row>
    <row r="133" customFormat="false" ht="15" hidden="false" customHeight="true" outlineLevel="0" collapsed="false">
      <c r="A133" s="42" t="s">
        <v>123</v>
      </c>
      <c r="B133" s="31" t="n">
        <v>11</v>
      </c>
      <c r="C133" s="43" t="s">
        <v>338</v>
      </c>
      <c r="D133" s="31" t="n">
        <v>89</v>
      </c>
      <c r="E133" s="40" t="n">
        <v>1</v>
      </c>
      <c r="F133" s="40" t="n">
        <v>0.820224719101124</v>
      </c>
      <c r="G133" s="40" t="n">
        <v>0.606741573033708</v>
      </c>
      <c r="H133" s="40" t="n">
        <v>0.696629213483146</v>
      </c>
      <c r="I133" s="40" t="n">
        <v>0.629213483146067</v>
      </c>
      <c r="J133" s="40" t="n">
        <v>0.50561797752809</v>
      </c>
      <c r="K133" s="40" t="n">
        <v>0.134831460674157</v>
      </c>
      <c r="L133" s="40" t="n">
        <v>0.0786516853932584</v>
      </c>
      <c r="M133" s="40" t="n">
        <v>0.0337078651685393</v>
      </c>
      <c r="N133" s="40" t="n">
        <v>0.0449438202247191</v>
      </c>
      <c r="O133" s="32"/>
      <c r="P133" s="32"/>
      <c r="Q133" s="32"/>
      <c r="R133" s="32"/>
      <c r="S133" s="32"/>
    </row>
    <row r="134" customFormat="false" ht="15" hidden="false" customHeight="true" outlineLevel="0" collapsed="false">
      <c r="A134" s="42" t="s">
        <v>124</v>
      </c>
      <c r="B134" s="31" t="n">
        <v>12</v>
      </c>
      <c r="C134" s="43" t="s">
        <v>338</v>
      </c>
      <c r="D134" s="31" t="n">
        <v>61</v>
      </c>
      <c r="E134" s="40" t="n">
        <v>1</v>
      </c>
      <c r="F134" s="40" t="n">
        <v>0.721311475409836</v>
      </c>
      <c r="G134" s="40" t="n">
        <v>0.721311475409836</v>
      </c>
      <c r="H134" s="40" t="n">
        <v>0.704918032786885</v>
      </c>
      <c r="I134" s="40" t="n">
        <v>0.540983606557377</v>
      </c>
      <c r="J134" s="40" t="n">
        <v>0.442622950819672</v>
      </c>
      <c r="K134" s="40" t="n">
        <v>0.147540983606557</v>
      </c>
      <c r="L134" s="40" t="n">
        <v>0.0983606557377049</v>
      </c>
      <c r="M134" s="40" t="n">
        <v>0.0491803278688525</v>
      </c>
      <c r="N134" s="32"/>
      <c r="O134" s="32"/>
      <c r="P134" s="32"/>
      <c r="Q134" s="32"/>
      <c r="R134" s="32"/>
      <c r="S134" s="32"/>
    </row>
    <row r="135" customFormat="false" ht="15" hidden="false" customHeight="true" outlineLevel="0" collapsed="false">
      <c r="A135" s="38" t="s">
        <v>125</v>
      </c>
      <c r="B135" s="31" t="n">
        <v>13</v>
      </c>
      <c r="C135" s="39" t="s">
        <v>334</v>
      </c>
      <c r="D135" s="31" t="n">
        <v>28</v>
      </c>
      <c r="E135" s="40" t="n">
        <v>1</v>
      </c>
      <c r="F135" s="40" t="n">
        <v>0.714285714285714</v>
      </c>
      <c r="G135" s="40" t="n">
        <v>0.607142857142857</v>
      </c>
      <c r="H135" s="40" t="n">
        <v>0.5</v>
      </c>
      <c r="I135" s="40" t="n">
        <v>0.464285714285714</v>
      </c>
      <c r="J135" s="40" t="n">
        <v>0.357142857142857</v>
      </c>
      <c r="K135" s="40" t="n">
        <v>0.0357142857142857</v>
      </c>
      <c r="L135" s="40" t="n">
        <v>0.107142857142857</v>
      </c>
      <c r="M135" s="32"/>
      <c r="N135" s="32"/>
      <c r="O135" s="32"/>
      <c r="P135" s="32"/>
      <c r="Q135" s="32"/>
      <c r="R135" s="32"/>
      <c r="S135" s="32"/>
    </row>
    <row r="136" customFormat="false" ht="15" hidden="false" customHeight="true" outlineLevel="0" collapsed="false">
      <c r="A136" s="38" t="s">
        <v>126</v>
      </c>
      <c r="B136" s="31" t="n">
        <v>14</v>
      </c>
      <c r="C136" s="39" t="s">
        <v>334</v>
      </c>
      <c r="D136" s="31" t="n">
        <v>71</v>
      </c>
      <c r="E136" s="40" t="n">
        <v>1</v>
      </c>
      <c r="F136" s="40" t="n">
        <v>0.859154929577465</v>
      </c>
      <c r="G136" s="40" t="n">
        <v>0.647887323943662</v>
      </c>
      <c r="H136" s="40" t="n">
        <v>0.690140845070423</v>
      </c>
      <c r="I136" s="40" t="n">
        <v>0.676056338028169</v>
      </c>
      <c r="J136" s="40" t="n">
        <v>0.408450704225352</v>
      </c>
      <c r="K136" s="40" t="n">
        <v>0.126760563380282</v>
      </c>
      <c r="L136" s="32"/>
      <c r="M136" s="32"/>
      <c r="N136" s="32"/>
      <c r="O136" s="32"/>
      <c r="P136" s="32"/>
      <c r="Q136" s="32"/>
      <c r="R136" s="32"/>
      <c r="S136" s="32"/>
    </row>
    <row r="137" customFormat="false" ht="15" hidden="false" customHeight="true" outlineLevel="0" collapsed="false">
      <c r="A137" s="38" t="s">
        <v>127</v>
      </c>
      <c r="B137" s="31" t="n">
        <v>15</v>
      </c>
      <c r="C137" s="39" t="s">
        <v>334</v>
      </c>
      <c r="D137" s="31" t="n">
        <v>63</v>
      </c>
      <c r="E137" s="40" t="n">
        <v>1</v>
      </c>
      <c r="F137" s="40" t="n">
        <v>0.698412698412698</v>
      </c>
      <c r="G137" s="40" t="n">
        <v>0.603174603174603</v>
      </c>
      <c r="H137" s="40" t="n">
        <v>0.587301587301587</v>
      </c>
      <c r="I137" s="40" t="n">
        <v>0.53968253968254</v>
      </c>
      <c r="J137" s="40" t="n">
        <v>0.428571428571429</v>
      </c>
      <c r="K137" s="32"/>
      <c r="L137" s="32"/>
      <c r="M137" s="32"/>
      <c r="N137" s="32"/>
      <c r="O137" s="32"/>
      <c r="P137" s="32"/>
      <c r="Q137" s="32"/>
      <c r="R137" s="32"/>
      <c r="S137" s="32"/>
    </row>
    <row r="138" customFormat="false" ht="15" hidden="false" customHeight="true" outlineLevel="0" collapsed="false">
      <c r="A138" s="38" t="s">
        <v>128</v>
      </c>
      <c r="B138" s="31" t="n">
        <v>16</v>
      </c>
      <c r="C138" s="39" t="s">
        <v>334</v>
      </c>
      <c r="D138" s="31" t="n">
        <v>50</v>
      </c>
      <c r="E138" s="40" t="n">
        <v>1</v>
      </c>
      <c r="F138" s="40" t="n">
        <v>0.74</v>
      </c>
      <c r="G138" s="40" t="n">
        <v>0.66</v>
      </c>
      <c r="H138" s="40" t="n">
        <v>0.6</v>
      </c>
      <c r="I138" s="40" t="n">
        <v>0.66</v>
      </c>
      <c r="J138" s="32"/>
      <c r="K138" s="32"/>
      <c r="L138" s="32"/>
      <c r="M138" s="32"/>
      <c r="N138" s="32"/>
      <c r="O138" s="32"/>
      <c r="P138" s="32"/>
      <c r="Q138" s="32"/>
      <c r="R138" s="32"/>
      <c r="S138" s="32"/>
    </row>
    <row r="139" customFormat="false" ht="15" hidden="false" customHeight="true" outlineLevel="0" collapsed="false">
      <c r="A139" s="38" t="s">
        <v>129</v>
      </c>
      <c r="B139" s="31" t="n">
        <v>17</v>
      </c>
      <c r="C139" s="39" t="s">
        <v>334</v>
      </c>
      <c r="D139" s="31" t="n">
        <v>68</v>
      </c>
      <c r="E139" s="40" t="n">
        <v>1</v>
      </c>
      <c r="F139" s="40" t="n">
        <v>0.779411764705882</v>
      </c>
      <c r="G139" s="40" t="n">
        <v>0.588235294117647</v>
      </c>
      <c r="H139" s="40" t="n">
        <v>0.647058823529412</v>
      </c>
      <c r="I139" s="32"/>
      <c r="J139" s="32"/>
      <c r="K139" s="32"/>
      <c r="L139" s="32"/>
      <c r="M139" s="32"/>
      <c r="N139" s="32"/>
      <c r="O139" s="32"/>
      <c r="P139" s="32"/>
      <c r="Q139" s="32"/>
      <c r="R139" s="32"/>
      <c r="S139" s="32"/>
    </row>
    <row r="140" customFormat="false" ht="15" hidden="false" customHeight="true" outlineLevel="0" collapsed="false">
      <c r="A140" s="38" t="s">
        <v>130</v>
      </c>
      <c r="B140" s="31" t="n">
        <v>18</v>
      </c>
      <c r="C140" s="39" t="s">
        <v>334</v>
      </c>
      <c r="D140" s="31" t="n">
        <v>43</v>
      </c>
      <c r="E140" s="40" t="n">
        <v>1</v>
      </c>
      <c r="F140" s="40" t="n">
        <v>0.627906976744186</v>
      </c>
      <c r="G140" s="40" t="n">
        <v>0.627906976744186</v>
      </c>
      <c r="H140" s="32"/>
      <c r="I140" s="32"/>
      <c r="J140" s="32"/>
      <c r="K140" s="32"/>
      <c r="L140" s="32"/>
      <c r="M140" s="32"/>
      <c r="N140" s="32"/>
      <c r="O140" s="32"/>
      <c r="P140" s="32"/>
      <c r="Q140" s="32"/>
      <c r="R140" s="32"/>
      <c r="S140" s="32"/>
    </row>
    <row r="141" customFormat="false" ht="15" hidden="false" customHeight="true" outlineLevel="0" collapsed="false">
      <c r="A141" s="38" t="s">
        <v>131</v>
      </c>
      <c r="B141" s="31" t="n">
        <v>19</v>
      </c>
      <c r="C141" s="39" t="s">
        <v>334</v>
      </c>
      <c r="D141" s="31" t="n">
        <v>22</v>
      </c>
      <c r="E141" s="40" t="n">
        <v>1</v>
      </c>
      <c r="F141" s="40" t="n">
        <v>0.818181818181818</v>
      </c>
      <c r="G141" s="32"/>
      <c r="H141" s="32"/>
      <c r="I141" s="32"/>
      <c r="J141" s="32"/>
      <c r="K141" s="32"/>
      <c r="L141" s="32"/>
      <c r="M141" s="32"/>
      <c r="N141" s="32"/>
      <c r="O141" s="32"/>
      <c r="P141" s="32"/>
      <c r="Q141" s="32"/>
      <c r="R141" s="32"/>
      <c r="S141" s="32"/>
    </row>
    <row r="142" customFormat="false" ht="15" hidden="false" customHeight="true" outlineLevel="0" collapsed="false">
      <c r="A142" s="38" t="s">
        <v>132</v>
      </c>
      <c r="B142" s="31" t="n">
        <v>20</v>
      </c>
      <c r="C142" s="39" t="s">
        <v>334</v>
      </c>
      <c r="D142" s="31" t="n">
        <v>51</v>
      </c>
      <c r="E142" s="40" t="n">
        <v>1</v>
      </c>
      <c r="F142" s="32"/>
      <c r="G142" s="32"/>
      <c r="H142" s="32"/>
      <c r="I142" s="32"/>
      <c r="J142" s="32"/>
      <c r="K142" s="32"/>
      <c r="L142" s="32"/>
      <c r="M142" s="32"/>
      <c r="N142" s="32"/>
      <c r="O142" s="32"/>
      <c r="P142" s="32"/>
      <c r="Q142" s="32"/>
      <c r="R142" s="32"/>
      <c r="S142" s="32"/>
    </row>
    <row r="143" customFormat="false" ht="15" hidden="false" customHeight="true" outlineLevel="0" collapsed="false">
      <c r="A143" s="34" t="s">
        <v>335</v>
      </c>
      <c r="B143" s="36"/>
      <c r="C143" s="36"/>
      <c r="D143" s="36"/>
      <c r="E143" s="44" t="n">
        <v>1</v>
      </c>
      <c r="F143" s="44" t="n">
        <v>0.772151898734177</v>
      </c>
      <c r="G143" s="44" t="n">
        <v>0.654008438818565</v>
      </c>
      <c r="H143" s="44" t="n">
        <v>0.656118143459916</v>
      </c>
      <c r="I143" s="44" t="n">
        <v>0.582278481012658</v>
      </c>
      <c r="J143" s="44" t="n">
        <v>0.4957805907173</v>
      </c>
      <c r="K143" s="44" t="n">
        <v>0.221518987341772</v>
      </c>
      <c r="L143" s="44" t="n">
        <v>0.141350210970464</v>
      </c>
      <c r="M143" s="44" t="n">
        <v>0.0675105485232068</v>
      </c>
      <c r="N143" s="44" t="n">
        <v>0.0443037974683544</v>
      </c>
      <c r="O143" s="44" t="n">
        <v>0.0316455696202532</v>
      </c>
      <c r="P143" s="44" t="n">
        <v>0.0126582278481013</v>
      </c>
      <c r="Q143" s="44" t="n">
        <v>0.0126582278481013</v>
      </c>
      <c r="R143" s="44" t="n">
        <v>0.00421940928270042</v>
      </c>
      <c r="S143" s="44" t="n">
        <v>0.00210970464135021</v>
      </c>
    </row>
    <row r="144" customFormat="false" ht="15" hidden="false" customHeight="true" outlineLevel="0" collapsed="false">
      <c r="A144" s="34" t="s">
        <v>336</v>
      </c>
      <c r="B144" s="36"/>
      <c r="C144" s="36"/>
      <c r="D144" s="36"/>
      <c r="E144" s="44" t="n">
        <v>1</v>
      </c>
      <c r="F144" s="44" t="n">
        <v>0.756661144704618</v>
      </c>
      <c r="G144" s="44" t="n">
        <v>0.637718366305446</v>
      </c>
      <c r="H144" s="44" t="n">
        <v>0.641326600869671</v>
      </c>
      <c r="I144" s="44" t="n">
        <v>0.592802055325754</v>
      </c>
      <c r="J144" s="44" t="n">
        <v>0.479759079016647</v>
      </c>
      <c r="K144" s="44" t="n">
        <v>0.286191214586316</v>
      </c>
      <c r="L144" s="44" t="n">
        <v>0.200429899518351</v>
      </c>
      <c r="M144" s="44" t="n">
        <v>0.0901718760195495</v>
      </c>
      <c r="N144" s="44" t="n">
        <v>0.0704752753427088</v>
      </c>
      <c r="O144" s="44" t="n">
        <v>0.0741250854408749</v>
      </c>
      <c r="P144" s="44" t="n">
        <v>0.0465747702589808</v>
      </c>
      <c r="Q144" s="44" t="n">
        <v>0.0459866522366522</v>
      </c>
      <c r="R144" s="44" t="n">
        <v>0.0269016697588126</v>
      </c>
      <c r="S144" s="44" t="n">
        <v>0.00925925925925926</v>
      </c>
    </row>
    <row r="145" customFormat="false" ht="15" hidden="false" customHeight="true" outlineLevel="0" collapsed="false">
      <c r="A145" s="45" t="s">
        <v>344</v>
      </c>
      <c r="B145" s="45"/>
      <c r="C145" s="45"/>
      <c r="D145" s="45"/>
      <c r="E145" s="45"/>
      <c r="F145" s="45"/>
      <c r="G145" s="45"/>
      <c r="H145" s="45"/>
      <c r="I145" s="45"/>
      <c r="J145" s="45"/>
      <c r="K145" s="45"/>
      <c r="L145" s="45"/>
      <c r="M145" s="45"/>
      <c r="N145" s="45"/>
      <c r="O145" s="45"/>
      <c r="P145" s="45"/>
      <c r="Q145" s="45"/>
      <c r="R145" s="45"/>
      <c r="S145" s="45"/>
    </row>
    <row r="147" customFormat="false" ht="15" hidden="false" customHeight="true" outlineLevel="0" collapsed="false">
      <c r="A147" s="28" t="s">
        <v>297</v>
      </c>
      <c r="B147" s="28"/>
      <c r="C147" s="28"/>
      <c r="D147" s="28"/>
      <c r="E147" s="28"/>
      <c r="F147" s="28"/>
      <c r="G147" s="28"/>
      <c r="H147" s="28"/>
      <c r="I147" s="28"/>
      <c r="J147" s="28"/>
      <c r="K147" s="28"/>
      <c r="L147" s="28"/>
      <c r="M147" s="28"/>
      <c r="N147" s="28"/>
      <c r="O147" s="28"/>
      <c r="P147" s="28"/>
      <c r="Q147" s="28"/>
      <c r="R147" s="28"/>
      <c r="S147" s="28"/>
      <c r="T147" s="28"/>
      <c r="U147" s="28"/>
    </row>
    <row r="148" customFormat="false" ht="15" hidden="false" customHeight="true" outlineLevel="0" collapsed="false">
      <c r="A148" s="12" t="s">
        <v>330</v>
      </c>
      <c r="B148" s="12" t="s">
        <v>331</v>
      </c>
      <c r="C148" s="12" t="s">
        <v>332</v>
      </c>
      <c r="D148" s="12" t="s">
        <v>333</v>
      </c>
      <c r="E148" s="37" t="n">
        <v>1</v>
      </c>
      <c r="F148" s="37" t="n">
        <v>2</v>
      </c>
      <c r="G148" s="37" t="n">
        <v>3</v>
      </c>
      <c r="H148" s="37" t="n">
        <v>4</v>
      </c>
      <c r="I148" s="37" t="n">
        <v>5</v>
      </c>
      <c r="J148" s="37" t="n">
        <v>6</v>
      </c>
      <c r="K148" s="37" t="n">
        <v>7</v>
      </c>
      <c r="L148" s="37" t="n">
        <v>8</v>
      </c>
      <c r="M148" s="37" t="n">
        <v>9</v>
      </c>
      <c r="N148" s="37" t="n">
        <v>10</v>
      </c>
      <c r="O148" s="37" t="n">
        <v>11</v>
      </c>
      <c r="P148" s="37" t="n">
        <v>12</v>
      </c>
      <c r="Q148" s="37" t="n">
        <v>13</v>
      </c>
      <c r="R148" s="37" t="n">
        <v>14</v>
      </c>
      <c r="S148" s="37" t="n">
        <v>15</v>
      </c>
      <c r="T148" s="37" t="n">
        <v>16</v>
      </c>
      <c r="U148" s="37" t="n">
        <v>17</v>
      </c>
    </row>
    <row r="149" customFormat="false" ht="15" hidden="false" customHeight="true" outlineLevel="0" collapsed="false">
      <c r="A149" s="42" t="s">
        <v>113</v>
      </c>
      <c r="B149" s="31" t="n">
        <v>1</v>
      </c>
      <c r="C149" s="43" t="s">
        <v>338</v>
      </c>
      <c r="D149" s="31" t="n">
        <v>29</v>
      </c>
      <c r="E149" s="40" t="n">
        <v>1</v>
      </c>
      <c r="F149" s="40" t="n">
        <v>0.862068965517241</v>
      </c>
      <c r="G149" s="40" t="n">
        <v>0.724137931034483</v>
      </c>
      <c r="H149" s="40" t="n">
        <v>0.448275862068966</v>
      </c>
      <c r="I149" s="40" t="n">
        <v>0.586206896551724</v>
      </c>
      <c r="J149" s="40" t="n">
        <v>0.517241379310345</v>
      </c>
      <c r="K149" s="40" t="n">
        <v>0.275862068965517</v>
      </c>
      <c r="L149" s="40" t="n">
        <v>0.241379310344828</v>
      </c>
      <c r="M149" s="40" t="n">
        <v>0.206896551724138</v>
      </c>
      <c r="N149" s="40" t="n">
        <v>0.137931034482759</v>
      </c>
      <c r="O149" s="40" t="n">
        <v>0.172413793103448</v>
      </c>
      <c r="P149" s="40" t="n">
        <v>0.0689655172413793</v>
      </c>
      <c r="Q149" s="40" t="n">
        <v>0.0344827586206897</v>
      </c>
      <c r="R149" s="40" t="n">
        <v>0.0344827586206897</v>
      </c>
      <c r="S149" s="40" t="n">
        <v>0.0344827586206897</v>
      </c>
      <c r="T149" s="40" t="n">
        <v>0.0344827586206897</v>
      </c>
      <c r="U149" s="40" t="n">
        <v>0</v>
      </c>
    </row>
    <row r="150" customFormat="false" ht="15" hidden="false" customHeight="true" outlineLevel="0" collapsed="false">
      <c r="A150" s="42" t="s">
        <v>114</v>
      </c>
      <c r="B150" s="31" t="n">
        <v>2</v>
      </c>
      <c r="C150" s="43" t="s">
        <v>338</v>
      </c>
      <c r="D150" s="31" t="n">
        <v>43</v>
      </c>
      <c r="E150" s="40" t="n">
        <v>1</v>
      </c>
      <c r="F150" s="40" t="n">
        <v>0.790697674418605</v>
      </c>
      <c r="G150" s="40" t="n">
        <v>0.372093023255814</v>
      </c>
      <c r="H150" s="40" t="n">
        <v>0.558139534883721</v>
      </c>
      <c r="I150" s="40" t="n">
        <v>0.511627906976744</v>
      </c>
      <c r="J150" s="40" t="n">
        <v>0.302325581395349</v>
      </c>
      <c r="K150" s="40" t="n">
        <v>0.325581395348837</v>
      </c>
      <c r="L150" s="40" t="n">
        <v>0.13953488372093</v>
      </c>
      <c r="M150" s="40" t="n">
        <v>0.0930232558139535</v>
      </c>
      <c r="N150" s="40" t="n">
        <v>0.0930232558139535</v>
      </c>
      <c r="O150" s="40" t="n">
        <v>0.0697674418604651</v>
      </c>
      <c r="P150" s="40" t="n">
        <v>0.0232558139534884</v>
      </c>
      <c r="Q150" s="40" t="n">
        <v>0.0465116279069767</v>
      </c>
      <c r="R150" s="40" t="n">
        <v>0.0232558139534884</v>
      </c>
      <c r="S150" s="40" t="n">
        <v>0.0232558139534884</v>
      </c>
      <c r="T150" s="40" t="n">
        <v>0.0232558139534884</v>
      </c>
      <c r="U150" s="40" t="n">
        <v>0</v>
      </c>
    </row>
    <row r="151" customFormat="false" ht="15" hidden="false" customHeight="true" outlineLevel="0" collapsed="false">
      <c r="A151" s="42" t="s">
        <v>115</v>
      </c>
      <c r="B151" s="31" t="n">
        <v>3</v>
      </c>
      <c r="C151" s="43" t="s">
        <v>338</v>
      </c>
      <c r="D151" s="31" t="n">
        <v>43</v>
      </c>
      <c r="E151" s="40" t="n">
        <v>1</v>
      </c>
      <c r="F151" s="40" t="n">
        <v>0.511627906976744</v>
      </c>
      <c r="G151" s="40" t="n">
        <v>0.651162790697675</v>
      </c>
      <c r="H151" s="40" t="n">
        <v>0.488372093023256</v>
      </c>
      <c r="I151" s="40" t="n">
        <v>0.325581395348837</v>
      </c>
      <c r="J151" s="40" t="n">
        <v>0.395348837209302</v>
      </c>
      <c r="K151" s="40" t="n">
        <v>0.232558139534884</v>
      </c>
      <c r="L151" s="40" t="n">
        <v>0.0930232558139535</v>
      </c>
      <c r="M151" s="40" t="n">
        <v>0.209302325581395</v>
      </c>
      <c r="N151" s="40" t="n">
        <v>0.0465116279069767</v>
      </c>
      <c r="O151" s="40" t="n">
        <v>0</v>
      </c>
      <c r="P151" s="40" t="n">
        <v>0.0930232558139535</v>
      </c>
      <c r="Q151" s="40" t="n">
        <v>0.0930232558139535</v>
      </c>
      <c r="R151" s="40" t="n">
        <v>0.0465116279069767</v>
      </c>
      <c r="S151" s="40" t="n">
        <v>0.0930232558139535</v>
      </c>
      <c r="T151" s="40" t="n">
        <v>0.0465116279069767</v>
      </c>
      <c r="U151" s="40" t="n">
        <v>0.0232558139534884</v>
      </c>
    </row>
    <row r="152" customFormat="false" ht="15" hidden="false" customHeight="true" outlineLevel="0" collapsed="false">
      <c r="A152" s="42" t="s">
        <v>116</v>
      </c>
      <c r="B152" s="31" t="n">
        <v>4</v>
      </c>
      <c r="C152" s="43" t="s">
        <v>338</v>
      </c>
      <c r="D152" s="31" t="n">
        <v>22</v>
      </c>
      <c r="E152" s="40" t="n">
        <v>1</v>
      </c>
      <c r="F152" s="40" t="n">
        <v>0.818181818181818</v>
      </c>
      <c r="G152" s="40" t="n">
        <v>0.681818181818182</v>
      </c>
      <c r="H152" s="40" t="n">
        <v>0.454545454545455</v>
      </c>
      <c r="I152" s="40" t="n">
        <v>0.590909090909091</v>
      </c>
      <c r="J152" s="40" t="n">
        <v>0.454545454545455</v>
      </c>
      <c r="K152" s="40" t="n">
        <v>0.181818181818182</v>
      </c>
      <c r="L152" s="40" t="n">
        <v>0.227272727272727</v>
      </c>
      <c r="M152" s="40" t="n">
        <v>0.136363636363636</v>
      </c>
      <c r="N152" s="40" t="n">
        <v>0</v>
      </c>
      <c r="O152" s="40" t="n">
        <v>0.0454545454545455</v>
      </c>
      <c r="P152" s="40" t="n">
        <v>0.0454545454545455</v>
      </c>
      <c r="Q152" s="40" t="n">
        <v>0</v>
      </c>
      <c r="R152" s="40" t="n">
        <v>0</v>
      </c>
      <c r="S152" s="40" t="n">
        <v>0</v>
      </c>
      <c r="T152" s="40" t="n">
        <v>0</v>
      </c>
      <c r="U152" s="40" t="n">
        <v>0</v>
      </c>
    </row>
    <row r="153" customFormat="false" ht="15" hidden="false" customHeight="true" outlineLevel="0" collapsed="false">
      <c r="A153" s="42" t="s">
        <v>117</v>
      </c>
      <c r="B153" s="31" t="n">
        <v>5</v>
      </c>
      <c r="C153" s="43" t="s">
        <v>338</v>
      </c>
      <c r="D153" s="31" t="n">
        <v>46</v>
      </c>
      <c r="E153" s="40" t="n">
        <v>1</v>
      </c>
      <c r="F153" s="40" t="n">
        <v>0.717391304347826</v>
      </c>
      <c r="G153" s="40" t="n">
        <v>0.434782608695652</v>
      </c>
      <c r="H153" s="40" t="n">
        <v>0.608695652173913</v>
      </c>
      <c r="I153" s="40" t="n">
        <v>0.565217391304348</v>
      </c>
      <c r="J153" s="40" t="n">
        <v>0.282608695652174</v>
      </c>
      <c r="K153" s="40" t="n">
        <v>0.347826086956522</v>
      </c>
      <c r="L153" s="40" t="n">
        <v>0.260869565217391</v>
      </c>
      <c r="M153" s="40" t="n">
        <v>0.0869565217391304</v>
      </c>
      <c r="N153" s="40" t="n">
        <v>0.130434782608696</v>
      </c>
      <c r="O153" s="40" t="n">
        <v>0.0217391304347826</v>
      </c>
      <c r="P153" s="40" t="n">
        <v>0.0217391304347826</v>
      </c>
      <c r="Q153" s="40" t="n">
        <v>0.0217391304347826</v>
      </c>
      <c r="R153" s="40" t="n">
        <v>0.0217391304347826</v>
      </c>
      <c r="S153" s="40" t="n">
        <v>0</v>
      </c>
      <c r="T153" s="40" t="n">
        <v>0</v>
      </c>
      <c r="U153" s="32"/>
    </row>
    <row r="154" customFormat="false" ht="15" hidden="false" customHeight="true" outlineLevel="0" collapsed="false">
      <c r="A154" s="42" t="s">
        <v>118</v>
      </c>
      <c r="B154" s="31" t="n">
        <v>6</v>
      </c>
      <c r="C154" s="43" t="s">
        <v>338</v>
      </c>
      <c r="D154" s="31" t="n">
        <v>63</v>
      </c>
      <c r="E154" s="40" t="n">
        <v>1</v>
      </c>
      <c r="F154" s="40" t="n">
        <v>0.492063492063492</v>
      </c>
      <c r="G154" s="40" t="n">
        <v>0.587301587301587</v>
      </c>
      <c r="H154" s="40" t="n">
        <v>0.507936507936508</v>
      </c>
      <c r="I154" s="40" t="n">
        <v>0.285714285714286</v>
      </c>
      <c r="J154" s="40" t="n">
        <v>0.412698412698413</v>
      </c>
      <c r="K154" s="40" t="n">
        <v>0.222222222222222</v>
      </c>
      <c r="L154" s="40" t="n">
        <v>0.0793650793650794</v>
      </c>
      <c r="M154" s="40" t="n">
        <v>0.111111111111111</v>
      </c>
      <c r="N154" s="40" t="n">
        <v>0.0634920634920635</v>
      </c>
      <c r="O154" s="40" t="n">
        <v>0.0317460317460317</v>
      </c>
      <c r="P154" s="40" t="n">
        <v>0</v>
      </c>
      <c r="Q154" s="40" t="n">
        <v>0</v>
      </c>
      <c r="R154" s="40" t="n">
        <v>0</v>
      </c>
      <c r="S154" s="40" t="n">
        <v>0</v>
      </c>
      <c r="T154" s="32"/>
      <c r="U154" s="32"/>
    </row>
    <row r="155" customFormat="false" ht="15" hidden="false" customHeight="true" outlineLevel="0" collapsed="false">
      <c r="A155" s="42" t="s">
        <v>119</v>
      </c>
      <c r="B155" s="31" t="n">
        <v>7</v>
      </c>
      <c r="C155" s="43" t="s">
        <v>338</v>
      </c>
      <c r="D155" s="31" t="n">
        <v>26</v>
      </c>
      <c r="E155" s="40" t="n">
        <v>1</v>
      </c>
      <c r="F155" s="40" t="n">
        <v>0.884615384615385</v>
      </c>
      <c r="G155" s="40" t="n">
        <v>0.692307692307692</v>
      </c>
      <c r="H155" s="40" t="n">
        <v>0.461538461538462</v>
      </c>
      <c r="I155" s="40" t="n">
        <v>0.5</v>
      </c>
      <c r="J155" s="40" t="n">
        <v>0.269230769230769</v>
      </c>
      <c r="K155" s="40" t="n">
        <v>0.0384615384615385</v>
      </c>
      <c r="L155" s="40" t="n">
        <v>0.153846153846154</v>
      </c>
      <c r="M155" s="40" t="n">
        <v>0.0384615384615385</v>
      </c>
      <c r="N155" s="40" t="n">
        <v>0.0384615384615385</v>
      </c>
      <c r="O155" s="40" t="n">
        <v>0</v>
      </c>
      <c r="P155" s="40" t="n">
        <v>0</v>
      </c>
      <c r="Q155" s="40" t="n">
        <v>0</v>
      </c>
      <c r="R155" s="40" t="n">
        <v>0</v>
      </c>
      <c r="S155" s="32"/>
      <c r="T155" s="32"/>
      <c r="U155" s="32"/>
    </row>
    <row r="156" customFormat="false" ht="15" hidden="false" customHeight="true" outlineLevel="0" collapsed="false">
      <c r="A156" s="42" t="s">
        <v>120</v>
      </c>
      <c r="B156" s="31" t="n">
        <v>8</v>
      </c>
      <c r="C156" s="43" t="s">
        <v>338</v>
      </c>
      <c r="D156" s="31" t="n">
        <v>36</v>
      </c>
      <c r="E156" s="40" t="n">
        <v>1</v>
      </c>
      <c r="F156" s="40" t="n">
        <v>0.611111111111111</v>
      </c>
      <c r="G156" s="40" t="n">
        <v>0.333333333333333</v>
      </c>
      <c r="H156" s="40" t="n">
        <v>0.5</v>
      </c>
      <c r="I156" s="40" t="n">
        <v>0.472222222222222</v>
      </c>
      <c r="J156" s="40" t="n">
        <v>0.194444444444444</v>
      </c>
      <c r="K156" s="40" t="n">
        <v>0.25</v>
      </c>
      <c r="L156" s="40" t="n">
        <v>0.0555555555555556</v>
      </c>
      <c r="M156" s="40" t="n">
        <v>0.0277777777777778</v>
      </c>
      <c r="N156" s="40" t="n">
        <v>0.0555555555555556</v>
      </c>
      <c r="O156" s="40" t="n">
        <v>0.0833333333333333</v>
      </c>
      <c r="P156" s="40" t="n">
        <v>0.0277777777777778</v>
      </c>
      <c r="Q156" s="40" t="n">
        <v>0</v>
      </c>
      <c r="R156" s="32"/>
      <c r="S156" s="32"/>
      <c r="T156" s="32"/>
      <c r="U156" s="32"/>
    </row>
    <row r="157" customFormat="false" ht="15" hidden="false" customHeight="true" outlineLevel="0" collapsed="false">
      <c r="A157" s="42" t="s">
        <v>121</v>
      </c>
      <c r="B157" s="31" t="n">
        <v>9</v>
      </c>
      <c r="C157" s="43" t="s">
        <v>338</v>
      </c>
      <c r="D157" s="31" t="n">
        <v>49</v>
      </c>
      <c r="E157" s="40" t="n">
        <v>1</v>
      </c>
      <c r="F157" s="40" t="n">
        <v>0.653061224489796</v>
      </c>
      <c r="G157" s="40" t="n">
        <v>0.653061224489796</v>
      </c>
      <c r="H157" s="40" t="n">
        <v>0.571428571428571</v>
      </c>
      <c r="I157" s="40" t="n">
        <v>0.428571428571429</v>
      </c>
      <c r="J157" s="40" t="n">
        <v>0.428571428571429</v>
      </c>
      <c r="K157" s="40" t="n">
        <v>0.183673469387755</v>
      </c>
      <c r="L157" s="40" t="n">
        <v>0.0612244897959184</v>
      </c>
      <c r="M157" s="40" t="n">
        <v>0.0816326530612245</v>
      </c>
      <c r="N157" s="40" t="n">
        <v>0.0612244897959184</v>
      </c>
      <c r="O157" s="40" t="n">
        <v>0.0408163265306122</v>
      </c>
      <c r="P157" s="40" t="n">
        <v>0.0204081632653061</v>
      </c>
      <c r="Q157" s="32"/>
      <c r="R157" s="32"/>
      <c r="S157" s="32"/>
      <c r="T157" s="32"/>
      <c r="U157" s="32"/>
    </row>
    <row r="158" customFormat="false" ht="15" hidden="false" customHeight="true" outlineLevel="0" collapsed="false">
      <c r="A158" s="42" t="s">
        <v>122</v>
      </c>
      <c r="B158" s="31" t="n">
        <v>10</v>
      </c>
      <c r="C158" s="43" t="s">
        <v>338</v>
      </c>
      <c r="D158" s="31" t="n">
        <v>25</v>
      </c>
      <c r="E158" s="40" t="n">
        <v>1</v>
      </c>
      <c r="F158" s="40" t="n">
        <v>0.76</v>
      </c>
      <c r="G158" s="40" t="n">
        <v>0.6</v>
      </c>
      <c r="H158" s="40" t="n">
        <v>0.48</v>
      </c>
      <c r="I158" s="40" t="n">
        <v>0.64</v>
      </c>
      <c r="J158" s="40" t="n">
        <v>0.36</v>
      </c>
      <c r="K158" s="40" t="n">
        <v>0.04</v>
      </c>
      <c r="L158" s="40" t="n">
        <v>0.12</v>
      </c>
      <c r="M158" s="40" t="n">
        <v>0.08</v>
      </c>
      <c r="N158" s="40" t="n">
        <v>0.04</v>
      </c>
      <c r="O158" s="40" t="n">
        <v>0.04</v>
      </c>
      <c r="P158" s="32"/>
      <c r="Q158" s="32"/>
      <c r="R158" s="32"/>
      <c r="S158" s="32"/>
      <c r="T158" s="32"/>
      <c r="U158" s="32"/>
    </row>
    <row r="159" customFormat="false" ht="15" hidden="false" customHeight="true" outlineLevel="0" collapsed="false">
      <c r="A159" s="42" t="s">
        <v>123</v>
      </c>
      <c r="B159" s="31" t="n">
        <v>11</v>
      </c>
      <c r="C159" s="43" t="s">
        <v>338</v>
      </c>
      <c r="D159" s="31" t="n">
        <v>60</v>
      </c>
      <c r="E159" s="40" t="n">
        <v>1</v>
      </c>
      <c r="F159" s="40" t="n">
        <v>0.783333333333333</v>
      </c>
      <c r="G159" s="40" t="n">
        <v>0.5</v>
      </c>
      <c r="H159" s="40" t="n">
        <v>0.633333333333333</v>
      </c>
      <c r="I159" s="40" t="n">
        <v>0.583333333333333</v>
      </c>
      <c r="J159" s="40" t="n">
        <v>0.183333333333333</v>
      </c>
      <c r="K159" s="40" t="n">
        <v>0.25</v>
      </c>
      <c r="L159" s="40" t="n">
        <v>0.133333333333333</v>
      </c>
      <c r="M159" s="40" t="n">
        <v>0.05</v>
      </c>
      <c r="N159" s="40" t="n">
        <v>0.1</v>
      </c>
      <c r="O159" s="32"/>
      <c r="P159" s="32"/>
      <c r="Q159" s="32"/>
      <c r="R159" s="32"/>
      <c r="S159" s="32"/>
      <c r="T159" s="32"/>
      <c r="U159" s="32"/>
    </row>
    <row r="160" customFormat="false" ht="15" hidden="false" customHeight="true" outlineLevel="0" collapsed="false">
      <c r="A160" s="42" t="s">
        <v>124</v>
      </c>
      <c r="B160" s="31" t="n">
        <v>12</v>
      </c>
      <c r="C160" s="43" t="s">
        <v>338</v>
      </c>
      <c r="D160" s="31" t="n">
        <v>63</v>
      </c>
      <c r="E160" s="40" t="n">
        <v>1</v>
      </c>
      <c r="F160" s="40" t="n">
        <v>0.634920634920635</v>
      </c>
      <c r="G160" s="40" t="n">
        <v>0.698412698412698</v>
      </c>
      <c r="H160" s="40" t="n">
        <v>0.650793650793651</v>
      </c>
      <c r="I160" s="40" t="n">
        <v>0.523809523809524</v>
      </c>
      <c r="J160" s="40" t="n">
        <v>0.349206349206349</v>
      </c>
      <c r="K160" s="40" t="n">
        <v>0.206349206349206</v>
      </c>
      <c r="L160" s="40" t="n">
        <v>0.0793650793650794</v>
      </c>
      <c r="M160" s="40" t="n">
        <v>0.0634920634920635</v>
      </c>
      <c r="N160" s="32"/>
      <c r="O160" s="32"/>
      <c r="P160" s="32"/>
      <c r="Q160" s="32"/>
      <c r="R160" s="32"/>
      <c r="S160" s="32"/>
      <c r="T160" s="32"/>
      <c r="U160" s="32"/>
    </row>
    <row r="161" customFormat="false" ht="15" hidden="false" customHeight="true" outlineLevel="0" collapsed="false">
      <c r="A161" s="38" t="s">
        <v>125</v>
      </c>
      <c r="B161" s="31" t="n">
        <v>13</v>
      </c>
      <c r="C161" s="39" t="s">
        <v>334</v>
      </c>
      <c r="D161" s="31" t="n">
        <v>30</v>
      </c>
      <c r="E161" s="40" t="n">
        <v>1</v>
      </c>
      <c r="F161" s="40" t="n">
        <v>0.733333333333333</v>
      </c>
      <c r="G161" s="40" t="n">
        <v>0.633333333333333</v>
      </c>
      <c r="H161" s="40" t="n">
        <v>0.433333333333333</v>
      </c>
      <c r="I161" s="40" t="n">
        <v>0.633333333333333</v>
      </c>
      <c r="J161" s="40" t="n">
        <v>0.3</v>
      </c>
      <c r="K161" s="40" t="n">
        <v>0.133333333333333</v>
      </c>
      <c r="L161" s="40" t="n">
        <v>0.1</v>
      </c>
      <c r="M161" s="32"/>
      <c r="N161" s="32"/>
      <c r="O161" s="32"/>
      <c r="P161" s="32"/>
      <c r="Q161" s="32"/>
      <c r="R161" s="32"/>
      <c r="S161" s="32"/>
      <c r="T161" s="32"/>
      <c r="U161" s="32"/>
    </row>
    <row r="162" customFormat="false" ht="15" hidden="false" customHeight="true" outlineLevel="0" collapsed="false">
      <c r="A162" s="38" t="s">
        <v>126</v>
      </c>
      <c r="B162" s="31" t="n">
        <v>14</v>
      </c>
      <c r="C162" s="39" t="s">
        <v>334</v>
      </c>
      <c r="D162" s="31" t="n">
        <v>55</v>
      </c>
      <c r="E162" s="40" t="n">
        <v>1</v>
      </c>
      <c r="F162" s="40" t="n">
        <v>0.727272727272727</v>
      </c>
      <c r="G162" s="40" t="n">
        <v>0.454545454545455</v>
      </c>
      <c r="H162" s="40" t="n">
        <v>0.581818181818182</v>
      </c>
      <c r="I162" s="40" t="n">
        <v>0.490909090909091</v>
      </c>
      <c r="J162" s="40" t="n">
        <v>0.127272727272727</v>
      </c>
      <c r="K162" s="40" t="n">
        <v>0.2</v>
      </c>
      <c r="L162" s="32"/>
      <c r="M162" s="32"/>
      <c r="N162" s="32"/>
      <c r="O162" s="32"/>
      <c r="P162" s="32"/>
      <c r="Q162" s="32"/>
      <c r="R162" s="32"/>
      <c r="S162" s="32"/>
      <c r="T162" s="32"/>
      <c r="U162" s="32"/>
    </row>
    <row r="163" customFormat="false" ht="15" hidden="false" customHeight="true" outlineLevel="0" collapsed="false">
      <c r="A163" s="38" t="s">
        <v>127</v>
      </c>
      <c r="B163" s="31" t="n">
        <v>15</v>
      </c>
      <c r="C163" s="39" t="s">
        <v>334</v>
      </c>
      <c r="D163" s="31" t="n">
        <v>28</v>
      </c>
      <c r="E163" s="40" t="n">
        <v>1</v>
      </c>
      <c r="F163" s="40" t="n">
        <v>0.607142857142857</v>
      </c>
      <c r="G163" s="40" t="n">
        <v>0.678571428571429</v>
      </c>
      <c r="H163" s="40" t="n">
        <v>0.642857142857143</v>
      </c>
      <c r="I163" s="40" t="n">
        <v>0.464285714285714</v>
      </c>
      <c r="J163" s="40" t="n">
        <v>0.321428571428572</v>
      </c>
      <c r="K163" s="32"/>
      <c r="L163" s="32"/>
      <c r="M163" s="32"/>
      <c r="N163" s="32"/>
      <c r="O163" s="32"/>
      <c r="P163" s="32"/>
      <c r="Q163" s="32"/>
      <c r="R163" s="32"/>
      <c r="S163" s="32"/>
      <c r="T163" s="32"/>
      <c r="U163" s="32"/>
    </row>
    <row r="164" customFormat="false" ht="15" hidden="false" customHeight="true" outlineLevel="0" collapsed="false">
      <c r="A164" s="38" t="s">
        <v>128</v>
      </c>
      <c r="B164" s="31" t="n">
        <v>16</v>
      </c>
      <c r="C164" s="39" t="s">
        <v>334</v>
      </c>
      <c r="D164" s="31" t="n">
        <v>20</v>
      </c>
      <c r="E164" s="40" t="n">
        <v>1</v>
      </c>
      <c r="F164" s="40" t="n">
        <v>0.75</v>
      </c>
      <c r="G164" s="40" t="n">
        <v>0.65</v>
      </c>
      <c r="H164" s="40" t="n">
        <v>0.5</v>
      </c>
      <c r="I164" s="40" t="n">
        <v>0.6</v>
      </c>
      <c r="J164" s="32"/>
      <c r="K164" s="32"/>
      <c r="L164" s="32"/>
      <c r="M164" s="32"/>
      <c r="N164" s="32"/>
      <c r="O164" s="32"/>
      <c r="P164" s="32"/>
      <c r="Q164" s="32"/>
      <c r="R164" s="32"/>
      <c r="S164" s="32"/>
      <c r="T164" s="32"/>
      <c r="U164" s="32"/>
    </row>
    <row r="165" customFormat="false" ht="15" hidden="false" customHeight="true" outlineLevel="0" collapsed="false">
      <c r="A165" s="38" t="s">
        <v>129</v>
      </c>
      <c r="B165" s="31" t="n">
        <v>17</v>
      </c>
      <c r="C165" s="39" t="s">
        <v>334</v>
      </c>
      <c r="D165" s="31" t="n">
        <v>40</v>
      </c>
      <c r="E165" s="40" t="n">
        <v>1</v>
      </c>
      <c r="F165" s="40" t="n">
        <v>0.65</v>
      </c>
      <c r="G165" s="40" t="n">
        <v>0.525</v>
      </c>
      <c r="H165" s="40" t="n">
        <v>0.525</v>
      </c>
      <c r="I165" s="32"/>
      <c r="J165" s="32"/>
      <c r="K165" s="32"/>
      <c r="L165" s="32"/>
      <c r="M165" s="32"/>
      <c r="N165" s="32"/>
      <c r="O165" s="32"/>
      <c r="P165" s="32"/>
      <c r="Q165" s="32"/>
      <c r="R165" s="32"/>
      <c r="S165" s="32"/>
      <c r="T165" s="32"/>
      <c r="U165" s="32"/>
    </row>
    <row r="166" customFormat="false" ht="15" hidden="false" customHeight="true" outlineLevel="0" collapsed="false">
      <c r="A166" s="38" t="s">
        <v>130</v>
      </c>
      <c r="B166" s="31" t="n">
        <v>18</v>
      </c>
      <c r="C166" s="39" t="s">
        <v>334</v>
      </c>
      <c r="D166" s="31" t="n">
        <v>34</v>
      </c>
      <c r="E166" s="40" t="n">
        <v>1</v>
      </c>
      <c r="F166" s="40" t="n">
        <v>0.764705882352941</v>
      </c>
      <c r="G166" s="40" t="n">
        <v>0.676470588235294</v>
      </c>
      <c r="H166" s="32"/>
      <c r="I166" s="32"/>
      <c r="J166" s="32"/>
      <c r="K166" s="32"/>
      <c r="L166" s="32"/>
      <c r="M166" s="32"/>
      <c r="N166" s="32"/>
      <c r="O166" s="32"/>
      <c r="P166" s="32"/>
      <c r="Q166" s="32"/>
      <c r="R166" s="32"/>
      <c r="S166" s="32"/>
      <c r="T166" s="32"/>
      <c r="U166" s="32"/>
    </row>
    <row r="167" customFormat="false" ht="15" hidden="false" customHeight="true" outlineLevel="0" collapsed="false">
      <c r="A167" s="38" t="s">
        <v>131</v>
      </c>
      <c r="B167" s="31" t="n">
        <v>19</v>
      </c>
      <c r="C167" s="39" t="s">
        <v>334</v>
      </c>
      <c r="D167" s="31" t="n">
        <v>22</v>
      </c>
      <c r="E167" s="40" t="n">
        <v>1</v>
      </c>
      <c r="F167" s="40" t="n">
        <v>0.727272727272727</v>
      </c>
      <c r="G167" s="32"/>
      <c r="H167" s="32"/>
      <c r="I167" s="32"/>
      <c r="J167" s="32"/>
      <c r="K167" s="32"/>
      <c r="L167" s="32"/>
      <c r="M167" s="32"/>
      <c r="N167" s="32"/>
      <c r="O167" s="32"/>
      <c r="P167" s="32"/>
      <c r="Q167" s="32"/>
      <c r="R167" s="32"/>
      <c r="S167" s="32"/>
      <c r="T167" s="32"/>
      <c r="U167" s="32"/>
    </row>
    <row r="168" customFormat="false" ht="15" hidden="false" customHeight="true" outlineLevel="0" collapsed="false">
      <c r="A168" s="38" t="s">
        <v>132</v>
      </c>
      <c r="B168" s="31" t="n">
        <v>20</v>
      </c>
      <c r="C168" s="39" t="s">
        <v>334</v>
      </c>
      <c r="D168" s="31" t="n">
        <v>48</v>
      </c>
      <c r="E168" s="40" t="n">
        <v>1</v>
      </c>
      <c r="F168" s="32"/>
      <c r="G168" s="32"/>
      <c r="H168" s="32"/>
      <c r="I168" s="32"/>
      <c r="J168" s="32"/>
      <c r="K168" s="32"/>
      <c r="L168" s="32"/>
      <c r="M168" s="32"/>
      <c r="N168" s="32"/>
      <c r="O168" s="32"/>
      <c r="P168" s="32"/>
      <c r="Q168" s="32"/>
      <c r="R168" s="32"/>
      <c r="S168" s="32"/>
      <c r="T168" s="32"/>
      <c r="U168" s="32"/>
    </row>
    <row r="169" customFormat="false" ht="15" hidden="false" customHeight="true" outlineLevel="0" collapsed="false">
      <c r="A169" s="34" t="s">
        <v>335</v>
      </c>
      <c r="B169" s="36"/>
      <c r="C169" s="36"/>
      <c r="D169" s="36"/>
      <c r="E169" s="44" t="n">
        <v>1</v>
      </c>
      <c r="F169" s="44" t="n">
        <v>0.685148514851485</v>
      </c>
      <c r="G169" s="44" t="n">
        <v>0.57029702970297</v>
      </c>
      <c r="H169" s="44" t="n">
        <v>0.548514851485149</v>
      </c>
      <c r="I169" s="44" t="n">
        <v>0.485148514851485</v>
      </c>
      <c r="J169" s="44" t="n">
        <v>0.338613861386139</v>
      </c>
      <c r="K169" s="44" t="n">
        <v>0.225742574257426</v>
      </c>
      <c r="L169" s="44" t="n">
        <v>0.126732673267327</v>
      </c>
      <c r="M169" s="44" t="n">
        <v>0.0950495049504951</v>
      </c>
      <c r="N169" s="44" t="n">
        <v>0.0653465346534654</v>
      </c>
      <c r="O169" s="44" t="n">
        <v>0.0356435643564356</v>
      </c>
      <c r="P169" s="44" t="n">
        <v>0.0217821782178218</v>
      </c>
      <c r="Q169" s="44" t="n">
        <v>0.0158415841584158</v>
      </c>
      <c r="R169" s="44" t="n">
        <v>0.0099009900990099</v>
      </c>
      <c r="S169" s="44" t="n">
        <v>0.0118811881188119</v>
      </c>
      <c r="T169" s="44" t="n">
        <v>0.00792079207920792</v>
      </c>
      <c r="U169" s="44" t="n">
        <v>0.00198019801980198</v>
      </c>
    </row>
    <row r="170" customFormat="false" ht="15" hidden="false" customHeight="true" outlineLevel="0" collapsed="false">
      <c r="A170" s="34" t="s">
        <v>336</v>
      </c>
      <c r="B170" s="36"/>
      <c r="C170" s="36"/>
      <c r="D170" s="36"/>
      <c r="E170" s="44" t="n">
        <v>1</v>
      </c>
      <c r="F170" s="44" t="n">
        <v>0.709922737497999</v>
      </c>
      <c r="G170" s="44" t="n">
        <v>0.577367589278909</v>
      </c>
      <c r="H170" s="44" t="n">
        <v>0.530254926810486</v>
      </c>
      <c r="I170" s="44" t="n">
        <v>0.501099456228461</v>
      </c>
      <c r="J170" s="44" t="n">
        <v>0.34579622379978</v>
      </c>
      <c r="K170" s="44" t="n">
        <v>0.212862692420389</v>
      </c>
      <c r="L170" s="44" t="n">
        <v>0.137064119469246</v>
      </c>
      <c r="M170" s="44" t="n">
        <v>0.0987514529271641</v>
      </c>
      <c r="N170" s="44" t="n">
        <v>0.0696940316470419</v>
      </c>
      <c r="O170" s="44" t="n">
        <v>0.0505270602463219</v>
      </c>
      <c r="P170" s="44" t="n">
        <v>0.0334026893268037</v>
      </c>
      <c r="Q170" s="44" t="n">
        <v>0.0244695965970503</v>
      </c>
      <c r="R170" s="44" t="n">
        <v>0.0179984758451339</v>
      </c>
      <c r="S170" s="44" t="n">
        <v>0.0251269713980219</v>
      </c>
      <c r="T170" s="44" t="n">
        <v>0.020850040096231</v>
      </c>
      <c r="U170" s="44" t="n">
        <v>0.00581395348837209</v>
      </c>
    </row>
    <row r="171" customFormat="false" ht="15" hidden="false" customHeight="true" outlineLevel="0" collapsed="false">
      <c r="A171" s="45" t="s">
        <v>345</v>
      </c>
      <c r="B171" s="45"/>
      <c r="C171" s="45"/>
      <c r="D171" s="45"/>
      <c r="E171" s="45"/>
      <c r="F171" s="45"/>
      <c r="G171" s="45"/>
      <c r="H171" s="45"/>
      <c r="I171" s="45"/>
      <c r="J171" s="45"/>
      <c r="K171" s="45"/>
      <c r="L171" s="45"/>
      <c r="M171" s="45"/>
      <c r="N171" s="45"/>
      <c r="O171" s="45"/>
      <c r="P171" s="45"/>
      <c r="Q171" s="45"/>
      <c r="R171" s="45"/>
      <c r="S171" s="45"/>
      <c r="T171" s="45"/>
      <c r="U171" s="45"/>
    </row>
    <row r="173" customFormat="false" ht="15" hidden="false" customHeight="true" outlineLevel="0" collapsed="false">
      <c r="A173" s="28" t="s">
        <v>298</v>
      </c>
      <c r="B173" s="28"/>
      <c r="C173" s="28"/>
      <c r="D173" s="28"/>
      <c r="E173" s="28"/>
      <c r="F173" s="28"/>
      <c r="G173" s="28"/>
      <c r="H173" s="28"/>
      <c r="I173" s="28"/>
      <c r="J173" s="28"/>
      <c r="K173" s="28"/>
      <c r="L173" s="28"/>
      <c r="M173" s="28"/>
      <c r="N173" s="28"/>
      <c r="O173" s="28"/>
      <c r="P173" s="28"/>
      <c r="Q173" s="28"/>
      <c r="R173" s="28"/>
      <c r="S173" s="28"/>
      <c r="T173" s="28"/>
    </row>
    <row r="174" customFormat="false" ht="15" hidden="false" customHeight="true" outlineLevel="0" collapsed="false">
      <c r="A174" s="12" t="s">
        <v>330</v>
      </c>
      <c r="B174" s="12" t="s">
        <v>331</v>
      </c>
      <c r="C174" s="12" t="s">
        <v>332</v>
      </c>
      <c r="D174" s="12" t="s">
        <v>333</v>
      </c>
      <c r="E174" s="37" t="n">
        <v>1</v>
      </c>
      <c r="F174" s="37" t="n">
        <v>2</v>
      </c>
      <c r="G174" s="37" t="n">
        <v>3</v>
      </c>
      <c r="H174" s="37" t="n">
        <v>4</v>
      </c>
      <c r="I174" s="37" t="n">
        <v>5</v>
      </c>
      <c r="J174" s="37" t="n">
        <v>6</v>
      </c>
      <c r="K174" s="37" t="n">
        <v>7</v>
      </c>
      <c r="L174" s="37" t="n">
        <v>8</v>
      </c>
      <c r="M174" s="37" t="n">
        <v>9</v>
      </c>
      <c r="N174" s="37" t="n">
        <v>10</v>
      </c>
      <c r="O174" s="37" t="n">
        <v>11</v>
      </c>
      <c r="P174" s="37" t="n">
        <v>12</v>
      </c>
      <c r="Q174" s="37" t="n">
        <v>13</v>
      </c>
      <c r="R174" s="37" t="n">
        <v>14</v>
      </c>
      <c r="S174" s="37" t="n">
        <v>15</v>
      </c>
      <c r="T174" s="37" t="n">
        <v>16</v>
      </c>
    </row>
    <row r="175" customFormat="false" ht="15" hidden="false" customHeight="true" outlineLevel="0" collapsed="false">
      <c r="A175" s="42" t="s">
        <v>115</v>
      </c>
      <c r="B175" s="31" t="n">
        <v>3</v>
      </c>
      <c r="C175" s="43" t="s">
        <v>338</v>
      </c>
      <c r="D175" s="31" t="n">
        <v>30</v>
      </c>
      <c r="E175" s="40" t="n">
        <v>1</v>
      </c>
      <c r="F175" s="40" t="n">
        <v>0.933333333333333</v>
      </c>
      <c r="G175" s="40" t="n">
        <v>0.9</v>
      </c>
      <c r="H175" s="40" t="n">
        <v>0.9</v>
      </c>
      <c r="I175" s="40" t="n">
        <v>0.866666666666667</v>
      </c>
      <c r="J175" s="40" t="n">
        <v>0</v>
      </c>
      <c r="K175" s="40" t="n">
        <v>0</v>
      </c>
      <c r="L175" s="40" t="n">
        <v>0.0333333333333333</v>
      </c>
      <c r="M175" s="40" t="n">
        <v>0</v>
      </c>
      <c r="N175" s="40" t="n">
        <v>0</v>
      </c>
      <c r="O175" s="40" t="n">
        <v>0</v>
      </c>
      <c r="P175" s="40" t="n">
        <v>0</v>
      </c>
      <c r="Q175" s="40" t="n">
        <v>0</v>
      </c>
      <c r="R175" s="40" t="n">
        <v>0</v>
      </c>
      <c r="S175" s="40" t="n">
        <v>0</v>
      </c>
      <c r="T175" s="40" t="n">
        <v>0</v>
      </c>
    </row>
    <row r="176" customFormat="false" ht="15" hidden="false" customHeight="true" outlineLevel="0" collapsed="false">
      <c r="A176" s="42" t="s">
        <v>116</v>
      </c>
      <c r="B176" s="31" t="n">
        <v>4</v>
      </c>
      <c r="C176" s="43" t="s">
        <v>338</v>
      </c>
      <c r="D176" s="31" t="n">
        <v>32</v>
      </c>
      <c r="E176" s="40" t="n">
        <v>1</v>
      </c>
      <c r="F176" s="40" t="n">
        <v>0.9375</v>
      </c>
      <c r="G176" s="40" t="n">
        <v>0.90625</v>
      </c>
      <c r="H176" s="40" t="n">
        <v>0.875</v>
      </c>
      <c r="I176" s="40" t="n">
        <v>0.9375</v>
      </c>
      <c r="J176" s="40" t="n">
        <v>0.15625</v>
      </c>
      <c r="K176" s="40" t="n">
        <v>0.15625</v>
      </c>
      <c r="L176" s="40" t="n">
        <v>0.09375</v>
      </c>
      <c r="M176" s="40" t="n">
        <v>0.09375</v>
      </c>
      <c r="N176" s="40" t="n">
        <v>0</v>
      </c>
      <c r="O176" s="40" t="n">
        <v>0</v>
      </c>
      <c r="P176" s="40" t="n">
        <v>0</v>
      </c>
      <c r="Q176" s="40" t="n">
        <v>0</v>
      </c>
      <c r="R176" s="40" t="n">
        <v>0</v>
      </c>
      <c r="S176" s="40" t="n">
        <v>0</v>
      </c>
      <c r="T176" s="40" t="n">
        <v>0</v>
      </c>
    </row>
    <row r="177" customFormat="false" ht="15" hidden="false" customHeight="true" outlineLevel="0" collapsed="false">
      <c r="A177" s="42" t="s">
        <v>117</v>
      </c>
      <c r="B177" s="31" t="n">
        <v>5</v>
      </c>
      <c r="C177" s="43" t="s">
        <v>338</v>
      </c>
      <c r="D177" s="31" t="n">
        <v>32</v>
      </c>
      <c r="E177" s="40" t="n">
        <v>1</v>
      </c>
      <c r="F177" s="40" t="n">
        <v>0.9375</v>
      </c>
      <c r="G177" s="40" t="n">
        <v>0.75</v>
      </c>
      <c r="H177" s="40" t="n">
        <v>0.8125</v>
      </c>
      <c r="I177" s="40" t="n">
        <v>0.78125</v>
      </c>
      <c r="J177" s="40" t="n">
        <v>0.125</v>
      </c>
      <c r="K177" s="40" t="n">
        <v>0.09375</v>
      </c>
      <c r="L177" s="40" t="n">
        <v>0.03125</v>
      </c>
      <c r="M177" s="40" t="n">
        <v>0</v>
      </c>
      <c r="N177" s="40" t="n">
        <v>0.0625</v>
      </c>
      <c r="O177" s="40" t="n">
        <v>0.03125</v>
      </c>
      <c r="P177" s="40" t="n">
        <v>0</v>
      </c>
      <c r="Q177" s="40" t="n">
        <v>0</v>
      </c>
      <c r="R177" s="40" t="n">
        <v>0.03125</v>
      </c>
      <c r="S177" s="40" t="n">
        <v>0</v>
      </c>
      <c r="T177" s="40" t="n">
        <v>0.03125</v>
      </c>
    </row>
    <row r="178" customFormat="false" ht="15" hidden="false" customHeight="true" outlineLevel="0" collapsed="false">
      <c r="A178" s="42" t="s">
        <v>118</v>
      </c>
      <c r="B178" s="31" t="n">
        <v>6</v>
      </c>
      <c r="C178" s="43" t="s">
        <v>338</v>
      </c>
      <c r="D178" s="31" t="n">
        <v>32</v>
      </c>
      <c r="E178" s="40" t="n">
        <v>1</v>
      </c>
      <c r="F178" s="40" t="n">
        <v>0.6875</v>
      </c>
      <c r="G178" s="40" t="n">
        <v>0.78125</v>
      </c>
      <c r="H178" s="40" t="n">
        <v>0.71875</v>
      </c>
      <c r="I178" s="40" t="n">
        <v>0.6875</v>
      </c>
      <c r="J178" s="40" t="n">
        <v>0.15625</v>
      </c>
      <c r="K178" s="40" t="n">
        <v>0.09375</v>
      </c>
      <c r="L178" s="40" t="n">
        <v>0.0625</v>
      </c>
      <c r="M178" s="40" t="n">
        <v>0.09375</v>
      </c>
      <c r="N178" s="40" t="n">
        <v>0.03125</v>
      </c>
      <c r="O178" s="40" t="n">
        <v>0</v>
      </c>
      <c r="P178" s="40" t="n">
        <v>0.03125</v>
      </c>
      <c r="Q178" s="40" t="n">
        <v>0.03125</v>
      </c>
      <c r="R178" s="40" t="n">
        <v>0.03125</v>
      </c>
      <c r="S178" s="40" t="n">
        <v>0.03125</v>
      </c>
      <c r="T178" s="32"/>
    </row>
    <row r="179" customFormat="false" ht="15" hidden="false" customHeight="true" outlineLevel="0" collapsed="false">
      <c r="A179" s="42" t="s">
        <v>119</v>
      </c>
      <c r="B179" s="31" t="n">
        <v>7</v>
      </c>
      <c r="C179" s="43" t="s">
        <v>338</v>
      </c>
      <c r="D179" s="31" t="n">
        <v>9</v>
      </c>
      <c r="E179" s="40" t="n">
        <v>1</v>
      </c>
      <c r="F179" s="40" t="n">
        <v>0.777777777777778</v>
      </c>
      <c r="G179" s="40" t="n">
        <v>0.666666666666667</v>
      </c>
      <c r="H179" s="40" t="n">
        <v>0.555555555555556</v>
      </c>
      <c r="I179" s="40" t="n">
        <v>0.666666666666667</v>
      </c>
      <c r="J179" s="40" t="n">
        <v>0.222222222222222</v>
      </c>
      <c r="K179" s="40" t="n">
        <v>0</v>
      </c>
      <c r="L179" s="40" t="n">
        <v>0.111111111111111</v>
      </c>
      <c r="M179" s="40" t="n">
        <v>0.111111111111111</v>
      </c>
      <c r="N179" s="40" t="n">
        <v>0.111111111111111</v>
      </c>
      <c r="O179" s="40" t="n">
        <v>0.111111111111111</v>
      </c>
      <c r="P179" s="40" t="n">
        <v>0</v>
      </c>
      <c r="Q179" s="40" t="n">
        <v>0.111111111111111</v>
      </c>
      <c r="R179" s="40" t="n">
        <v>0.111111111111111</v>
      </c>
      <c r="S179" s="32"/>
      <c r="T179" s="32"/>
    </row>
    <row r="180" customFormat="false" ht="15" hidden="false" customHeight="true" outlineLevel="0" collapsed="false">
      <c r="A180" s="42" t="s">
        <v>120</v>
      </c>
      <c r="B180" s="31" t="n">
        <v>8</v>
      </c>
      <c r="C180" s="43" t="s">
        <v>338</v>
      </c>
      <c r="D180" s="31" t="n">
        <v>27</v>
      </c>
      <c r="E180" s="40" t="n">
        <v>1</v>
      </c>
      <c r="F180" s="40" t="n">
        <v>0.925925925925926</v>
      </c>
      <c r="G180" s="40" t="n">
        <v>0.814814814814815</v>
      </c>
      <c r="H180" s="40" t="n">
        <v>0.888888888888889</v>
      </c>
      <c r="I180" s="40" t="n">
        <v>0.888888888888889</v>
      </c>
      <c r="J180" s="40" t="n">
        <v>0.0740740740740741</v>
      </c>
      <c r="K180" s="40" t="n">
        <v>0.037037037037037</v>
      </c>
      <c r="L180" s="40" t="n">
        <v>0.037037037037037</v>
      </c>
      <c r="M180" s="40" t="n">
        <v>0.037037037037037</v>
      </c>
      <c r="N180" s="40" t="n">
        <v>0</v>
      </c>
      <c r="O180" s="40" t="n">
        <v>0</v>
      </c>
      <c r="P180" s="40" t="n">
        <v>0.037037037037037</v>
      </c>
      <c r="Q180" s="40" t="n">
        <v>0.037037037037037</v>
      </c>
      <c r="R180" s="32"/>
      <c r="S180" s="32"/>
      <c r="T180" s="32"/>
    </row>
    <row r="181" customFormat="false" ht="15" hidden="false" customHeight="true" outlineLevel="0" collapsed="false">
      <c r="A181" s="42" t="s">
        <v>121</v>
      </c>
      <c r="B181" s="31" t="n">
        <v>9</v>
      </c>
      <c r="C181" s="43" t="s">
        <v>338</v>
      </c>
      <c r="D181" s="31" t="n">
        <v>27</v>
      </c>
      <c r="E181" s="40" t="n">
        <v>1</v>
      </c>
      <c r="F181" s="40" t="n">
        <v>0.740740740740741</v>
      </c>
      <c r="G181" s="40" t="n">
        <v>0.814814814814815</v>
      </c>
      <c r="H181" s="40" t="n">
        <v>0.740740740740741</v>
      </c>
      <c r="I181" s="40" t="n">
        <v>0.740740740740741</v>
      </c>
      <c r="J181" s="40" t="n">
        <v>0.185185185185185</v>
      </c>
      <c r="K181" s="40" t="n">
        <v>0.037037037037037</v>
      </c>
      <c r="L181" s="40" t="n">
        <v>0.111111111111111</v>
      </c>
      <c r="M181" s="40" t="n">
        <v>0.037037037037037</v>
      </c>
      <c r="N181" s="40" t="n">
        <v>0.037037037037037</v>
      </c>
      <c r="O181" s="40" t="n">
        <v>0.037037037037037</v>
      </c>
      <c r="P181" s="40" t="n">
        <v>0</v>
      </c>
      <c r="Q181" s="32"/>
      <c r="R181" s="32"/>
      <c r="S181" s="32"/>
      <c r="T181" s="32"/>
    </row>
    <row r="182" customFormat="false" ht="15" hidden="false" customHeight="true" outlineLevel="0" collapsed="false">
      <c r="A182" s="42" t="s">
        <v>122</v>
      </c>
      <c r="B182" s="31" t="n">
        <v>10</v>
      </c>
      <c r="C182" s="43" t="s">
        <v>338</v>
      </c>
      <c r="D182" s="31" t="n">
        <v>12</v>
      </c>
      <c r="E182" s="40" t="n">
        <v>1</v>
      </c>
      <c r="F182" s="40" t="n">
        <v>1</v>
      </c>
      <c r="G182" s="40" t="n">
        <v>1</v>
      </c>
      <c r="H182" s="40" t="n">
        <v>1</v>
      </c>
      <c r="I182" s="40" t="n">
        <v>0.916666666666667</v>
      </c>
      <c r="J182" s="40" t="n">
        <v>0.166666666666667</v>
      </c>
      <c r="K182" s="40" t="n">
        <v>0.0833333333333333</v>
      </c>
      <c r="L182" s="40" t="n">
        <v>0.0833333333333333</v>
      </c>
      <c r="M182" s="40" t="n">
        <v>0.0833333333333333</v>
      </c>
      <c r="N182" s="40" t="n">
        <v>0.0833333333333333</v>
      </c>
      <c r="O182" s="40" t="n">
        <v>0</v>
      </c>
      <c r="P182" s="32"/>
      <c r="Q182" s="32"/>
      <c r="R182" s="32"/>
      <c r="S182" s="32"/>
      <c r="T182" s="32"/>
    </row>
    <row r="183" customFormat="false" ht="15" hidden="false" customHeight="true" outlineLevel="0" collapsed="false">
      <c r="A183" s="42" t="s">
        <v>123</v>
      </c>
      <c r="B183" s="31" t="n">
        <v>11</v>
      </c>
      <c r="C183" s="43" t="s">
        <v>338</v>
      </c>
      <c r="D183" s="31" t="n">
        <v>24</v>
      </c>
      <c r="E183" s="40" t="n">
        <v>1</v>
      </c>
      <c r="F183" s="40" t="n">
        <v>0.833333333333333</v>
      </c>
      <c r="G183" s="40" t="n">
        <v>0.625</v>
      </c>
      <c r="H183" s="40" t="n">
        <v>0.708333333333333</v>
      </c>
      <c r="I183" s="40" t="n">
        <v>0.666666666666667</v>
      </c>
      <c r="J183" s="40" t="n">
        <v>0.125</v>
      </c>
      <c r="K183" s="40" t="n">
        <v>0.0416666666666667</v>
      </c>
      <c r="L183" s="40" t="n">
        <v>0</v>
      </c>
      <c r="M183" s="40" t="n">
        <v>0</v>
      </c>
      <c r="N183" s="40" t="n">
        <v>0</v>
      </c>
      <c r="O183" s="32"/>
      <c r="P183" s="32"/>
      <c r="Q183" s="32"/>
      <c r="R183" s="32"/>
      <c r="S183" s="32"/>
      <c r="T183" s="32"/>
    </row>
    <row r="184" customFormat="false" ht="15" hidden="false" customHeight="true" outlineLevel="0" collapsed="false">
      <c r="A184" s="42" t="s">
        <v>124</v>
      </c>
      <c r="B184" s="31" t="n">
        <v>12</v>
      </c>
      <c r="C184" s="43" t="s">
        <v>338</v>
      </c>
      <c r="D184" s="31" t="n">
        <v>31</v>
      </c>
      <c r="E184" s="40" t="n">
        <v>1</v>
      </c>
      <c r="F184" s="40" t="n">
        <v>0.774193548387097</v>
      </c>
      <c r="G184" s="40" t="n">
        <v>0.838709677419355</v>
      </c>
      <c r="H184" s="40" t="n">
        <v>0.806451612903226</v>
      </c>
      <c r="I184" s="40" t="n">
        <v>0.774193548387097</v>
      </c>
      <c r="J184" s="40" t="n">
        <v>0.225806451612903</v>
      </c>
      <c r="K184" s="40" t="n">
        <v>0.032258064516129</v>
      </c>
      <c r="L184" s="40" t="n">
        <v>0.0967741935483871</v>
      </c>
      <c r="M184" s="40" t="n">
        <v>0.032258064516129</v>
      </c>
      <c r="N184" s="32"/>
      <c r="O184" s="32"/>
      <c r="P184" s="32"/>
      <c r="Q184" s="32"/>
      <c r="R184" s="32"/>
      <c r="S184" s="32"/>
      <c r="T184" s="32"/>
    </row>
    <row r="185" customFormat="false" ht="15" hidden="false" customHeight="true" outlineLevel="0" collapsed="false">
      <c r="A185" s="38" t="s">
        <v>125</v>
      </c>
      <c r="B185" s="31" t="n">
        <v>13</v>
      </c>
      <c r="C185" s="39" t="s">
        <v>334</v>
      </c>
      <c r="D185" s="31" t="n">
        <v>14</v>
      </c>
      <c r="E185" s="40" t="n">
        <v>1</v>
      </c>
      <c r="F185" s="40" t="n">
        <v>0.714285714285714</v>
      </c>
      <c r="G185" s="40" t="n">
        <v>0.785714285714286</v>
      </c>
      <c r="H185" s="40" t="n">
        <v>0.714285714285714</v>
      </c>
      <c r="I185" s="40" t="n">
        <v>0.785714285714286</v>
      </c>
      <c r="J185" s="40" t="n">
        <v>0.0714285714285714</v>
      </c>
      <c r="K185" s="40" t="n">
        <v>0</v>
      </c>
      <c r="L185" s="40" t="n">
        <v>0.0714285714285714</v>
      </c>
      <c r="M185" s="32"/>
      <c r="N185" s="32"/>
      <c r="O185" s="32"/>
      <c r="P185" s="32"/>
      <c r="Q185" s="32"/>
      <c r="R185" s="32"/>
      <c r="S185" s="32"/>
      <c r="T185" s="32"/>
    </row>
    <row r="186" customFormat="false" ht="15" hidden="false" customHeight="true" outlineLevel="0" collapsed="false">
      <c r="A186" s="38" t="s">
        <v>126</v>
      </c>
      <c r="B186" s="31" t="n">
        <v>14</v>
      </c>
      <c r="C186" s="39" t="s">
        <v>334</v>
      </c>
      <c r="D186" s="31" t="n">
        <v>26</v>
      </c>
      <c r="E186" s="40" t="n">
        <v>1</v>
      </c>
      <c r="F186" s="40" t="n">
        <v>0.884615384615385</v>
      </c>
      <c r="G186" s="40" t="n">
        <v>0.807692307692308</v>
      </c>
      <c r="H186" s="40" t="n">
        <v>0.769230769230769</v>
      </c>
      <c r="I186" s="40" t="n">
        <v>0.769230769230769</v>
      </c>
      <c r="J186" s="40" t="n">
        <v>0.0384615384615385</v>
      </c>
      <c r="K186" s="40" t="n">
        <v>0.0769230769230769</v>
      </c>
      <c r="L186" s="32"/>
      <c r="M186" s="32"/>
      <c r="N186" s="32"/>
      <c r="O186" s="32"/>
      <c r="P186" s="32"/>
      <c r="Q186" s="32"/>
      <c r="R186" s="32"/>
      <c r="S186" s="32"/>
      <c r="T186" s="32"/>
    </row>
    <row r="187" customFormat="false" ht="15" hidden="false" customHeight="true" outlineLevel="0" collapsed="false">
      <c r="A187" s="38" t="s">
        <v>127</v>
      </c>
      <c r="B187" s="31" t="n">
        <v>15</v>
      </c>
      <c r="C187" s="39" t="s">
        <v>334</v>
      </c>
      <c r="D187" s="31" t="n">
        <v>25</v>
      </c>
      <c r="E187" s="40" t="n">
        <v>1</v>
      </c>
      <c r="F187" s="40" t="n">
        <v>0.8</v>
      </c>
      <c r="G187" s="40" t="n">
        <v>0.8</v>
      </c>
      <c r="H187" s="40" t="n">
        <v>0.76</v>
      </c>
      <c r="I187" s="40" t="n">
        <v>0.76</v>
      </c>
      <c r="J187" s="40" t="n">
        <v>0.16</v>
      </c>
      <c r="K187" s="32"/>
      <c r="L187" s="32"/>
      <c r="M187" s="32"/>
      <c r="N187" s="32"/>
      <c r="O187" s="32"/>
      <c r="P187" s="32"/>
      <c r="Q187" s="32"/>
      <c r="R187" s="32"/>
      <c r="S187" s="32"/>
      <c r="T187" s="32"/>
    </row>
    <row r="188" customFormat="false" ht="15" hidden="false" customHeight="true" outlineLevel="0" collapsed="false">
      <c r="A188" s="38" t="s">
        <v>128</v>
      </c>
      <c r="B188" s="31" t="n">
        <v>16</v>
      </c>
      <c r="C188" s="39" t="s">
        <v>334</v>
      </c>
      <c r="D188" s="31" t="n">
        <v>17</v>
      </c>
      <c r="E188" s="40" t="n">
        <v>1</v>
      </c>
      <c r="F188" s="40" t="n">
        <v>0.823529411764706</v>
      </c>
      <c r="G188" s="40" t="n">
        <v>0.705882352941177</v>
      </c>
      <c r="H188" s="40" t="n">
        <v>0.764705882352941</v>
      </c>
      <c r="I188" s="40" t="n">
        <v>0.764705882352941</v>
      </c>
      <c r="J188" s="32"/>
      <c r="K188" s="32"/>
      <c r="L188" s="32"/>
      <c r="M188" s="32"/>
      <c r="N188" s="32"/>
      <c r="O188" s="32"/>
      <c r="P188" s="32"/>
      <c r="Q188" s="32"/>
      <c r="R188" s="32"/>
      <c r="S188" s="32"/>
      <c r="T188" s="32"/>
    </row>
    <row r="189" customFormat="false" ht="15" hidden="false" customHeight="true" outlineLevel="0" collapsed="false">
      <c r="A189" s="38" t="s">
        <v>129</v>
      </c>
      <c r="B189" s="31" t="n">
        <v>17</v>
      </c>
      <c r="C189" s="39" t="s">
        <v>334</v>
      </c>
      <c r="D189" s="31" t="n">
        <v>21</v>
      </c>
      <c r="E189" s="40" t="n">
        <v>1</v>
      </c>
      <c r="F189" s="40" t="n">
        <v>0.904761904761905</v>
      </c>
      <c r="G189" s="40" t="n">
        <v>0.761904761904762</v>
      </c>
      <c r="H189" s="40" t="n">
        <v>0.80952380952381</v>
      </c>
      <c r="I189" s="32"/>
      <c r="J189" s="32"/>
      <c r="K189" s="32"/>
      <c r="L189" s="32"/>
      <c r="M189" s="32"/>
      <c r="N189" s="32"/>
      <c r="O189" s="32"/>
      <c r="P189" s="32"/>
      <c r="Q189" s="32"/>
      <c r="R189" s="32"/>
      <c r="S189" s="32"/>
      <c r="T189" s="32"/>
    </row>
    <row r="190" customFormat="false" ht="15" hidden="false" customHeight="true" outlineLevel="0" collapsed="false">
      <c r="A190" s="38" t="s">
        <v>130</v>
      </c>
      <c r="B190" s="31" t="n">
        <v>18</v>
      </c>
      <c r="C190" s="39" t="s">
        <v>334</v>
      </c>
      <c r="D190" s="31" t="n">
        <v>16</v>
      </c>
      <c r="E190" s="40" t="n">
        <v>1</v>
      </c>
      <c r="F190" s="40" t="n">
        <v>0.8125</v>
      </c>
      <c r="G190" s="40" t="n">
        <v>0.9375</v>
      </c>
      <c r="H190" s="32"/>
      <c r="I190" s="32"/>
      <c r="J190" s="32"/>
      <c r="K190" s="32"/>
      <c r="L190" s="32"/>
      <c r="M190" s="32"/>
      <c r="N190" s="32"/>
      <c r="O190" s="32"/>
      <c r="P190" s="32"/>
      <c r="Q190" s="32"/>
      <c r="R190" s="32"/>
      <c r="S190" s="32"/>
      <c r="T190" s="32"/>
    </row>
    <row r="191" customFormat="false" ht="15" hidden="false" customHeight="true" outlineLevel="0" collapsed="false">
      <c r="A191" s="38" t="s">
        <v>131</v>
      </c>
      <c r="B191" s="31" t="n">
        <v>19</v>
      </c>
      <c r="C191" s="39" t="s">
        <v>334</v>
      </c>
      <c r="D191" s="31" t="n">
        <v>10</v>
      </c>
      <c r="E191" s="40" t="n">
        <v>1</v>
      </c>
      <c r="F191" s="40" t="n">
        <v>1</v>
      </c>
      <c r="G191" s="32"/>
      <c r="H191" s="32"/>
      <c r="I191" s="32"/>
      <c r="J191" s="32"/>
      <c r="K191" s="32"/>
      <c r="L191" s="32"/>
      <c r="M191" s="32"/>
      <c r="N191" s="32"/>
      <c r="O191" s="32"/>
      <c r="P191" s="32"/>
      <c r="Q191" s="32"/>
      <c r="R191" s="32"/>
      <c r="S191" s="32"/>
      <c r="T191" s="32"/>
    </row>
    <row r="192" customFormat="false" ht="15" hidden="false" customHeight="true" outlineLevel="0" collapsed="false">
      <c r="A192" s="38" t="s">
        <v>132</v>
      </c>
      <c r="B192" s="31" t="n">
        <v>20</v>
      </c>
      <c r="C192" s="39" t="s">
        <v>334</v>
      </c>
      <c r="D192" s="31" t="n">
        <v>13</v>
      </c>
      <c r="E192" s="40" t="n">
        <v>1</v>
      </c>
      <c r="F192" s="32"/>
      <c r="G192" s="32"/>
      <c r="H192" s="32"/>
      <c r="I192" s="32"/>
      <c r="J192" s="32"/>
      <c r="K192" s="32"/>
      <c r="L192" s="32"/>
      <c r="M192" s="32"/>
      <c r="N192" s="32"/>
      <c r="O192" s="32"/>
      <c r="P192" s="32"/>
      <c r="Q192" s="32"/>
      <c r="R192" s="32"/>
      <c r="S192" s="32"/>
      <c r="T192" s="32"/>
    </row>
    <row r="193" customFormat="false" ht="15" hidden="false" customHeight="true" outlineLevel="0" collapsed="false">
      <c r="A193" s="34" t="s">
        <v>335</v>
      </c>
      <c r="B193" s="36"/>
      <c r="C193" s="36"/>
      <c r="D193" s="36"/>
      <c r="E193" s="44" t="n">
        <v>1</v>
      </c>
      <c r="F193" s="44" t="n">
        <v>0.8515625</v>
      </c>
      <c r="G193" s="44" t="n">
        <v>0.8125</v>
      </c>
      <c r="H193" s="44" t="n">
        <v>0.80859375</v>
      </c>
      <c r="I193" s="44" t="n">
        <v>0.796875</v>
      </c>
      <c r="J193" s="44" t="n">
        <v>0.13671875</v>
      </c>
      <c r="K193" s="44" t="n">
        <v>0.0625</v>
      </c>
      <c r="L193" s="44" t="n">
        <v>0.0625</v>
      </c>
      <c r="M193" s="44" t="n">
        <v>0.04296875</v>
      </c>
      <c r="N193" s="44" t="n">
        <v>0.0234375</v>
      </c>
      <c r="O193" s="44" t="n">
        <v>0.01171875</v>
      </c>
      <c r="P193" s="44" t="n">
        <v>0.0078125</v>
      </c>
      <c r="Q193" s="44" t="n">
        <v>0.01171875</v>
      </c>
      <c r="R193" s="44" t="n">
        <v>0.01171875</v>
      </c>
      <c r="S193" s="44" t="n">
        <v>0.00390625</v>
      </c>
      <c r="T193" s="44" t="n">
        <v>0.00390625</v>
      </c>
    </row>
    <row r="194" customFormat="false" ht="15" hidden="false" customHeight="true" outlineLevel="0" collapsed="false">
      <c r="A194" s="34" t="s">
        <v>336</v>
      </c>
      <c r="B194" s="36"/>
      <c r="C194" s="36"/>
      <c r="D194" s="36"/>
      <c r="E194" s="44" t="n">
        <v>1</v>
      </c>
      <c r="F194" s="44" t="n">
        <v>0.854780465949821</v>
      </c>
      <c r="G194" s="44" t="n">
        <v>0.809750597371565</v>
      </c>
      <c r="H194" s="44" t="n">
        <v>0.800622013142174</v>
      </c>
      <c r="I194" s="44" t="n">
        <v>0.792673984468339</v>
      </c>
      <c r="J194" s="44" t="n">
        <v>0.143645459976105</v>
      </c>
      <c r="K194" s="44" t="n">
        <v>0.0575082138590203</v>
      </c>
      <c r="L194" s="44" t="n">
        <v>0.0660200119474313</v>
      </c>
      <c r="M194" s="44" t="n">
        <v>0.0488276583034648</v>
      </c>
      <c r="N194" s="44" t="n">
        <v>0.0361368312757202</v>
      </c>
      <c r="O194" s="44" t="n">
        <v>0.0224247685185185</v>
      </c>
      <c r="P194" s="44" t="n">
        <v>0.00975529100529101</v>
      </c>
      <c r="Q194" s="44" t="n">
        <v>0.0298996913580247</v>
      </c>
      <c r="R194" s="44" t="n">
        <v>0.0347222222222222</v>
      </c>
      <c r="S194" s="44" t="n">
        <v>0.0078125</v>
      </c>
      <c r="T194" s="44" t="n">
        <v>0.0104166666666667</v>
      </c>
    </row>
    <row r="195" customFormat="false" ht="15" hidden="false" customHeight="true" outlineLevel="0" collapsed="false">
      <c r="A195" s="45" t="s">
        <v>346</v>
      </c>
      <c r="B195" s="45"/>
      <c r="C195" s="45"/>
      <c r="D195" s="45"/>
      <c r="E195" s="45"/>
      <c r="F195" s="45"/>
      <c r="G195" s="45"/>
      <c r="H195" s="45"/>
      <c r="I195" s="45"/>
      <c r="J195" s="45"/>
      <c r="K195" s="45"/>
      <c r="L195" s="45"/>
      <c r="M195" s="45"/>
      <c r="N195" s="45"/>
      <c r="O195" s="45"/>
      <c r="P195" s="45"/>
      <c r="Q195" s="45"/>
      <c r="R195" s="45"/>
      <c r="S195" s="45"/>
      <c r="T195" s="45"/>
    </row>
    <row r="197" customFormat="false" ht="15" hidden="false" customHeight="true" outlineLevel="0" collapsed="false">
      <c r="A197" s="28" t="s">
        <v>299</v>
      </c>
      <c r="B197" s="28"/>
      <c r="C197" s="28"/>
      <c r="D197" s="28"/>
      <c r="E197" s="28"/>
      <c r="F197" s="28"/>
      <c r="G197" s="28"/>
      <c r="H197" s="28"/>
      <c r="I197" s="28"/>
      <c r="J197" s="28"/>
      <c r="K197" s="28"/>
      <c r="L197" s="28"/>
      <c r="M197" s="28"/>
      <c r="N197" s="28"/>
      <c r="O197" s="28"/>
      <c r="P197" s="28"/>
    </row>
    <row r="198" customFormat="false" ht="15" hidden="false" customHeight="true" outlineLevel="0" collapsed="false">
      <c r="A198" s="12" t="s">
        <v>330</v>
      </c>
      <c r="B198" s="12" t="s">
        <v>331</v>
      </c>
      <c r="C198" s="12" t="s">
        <v>332</v>
      </c>
      <c r="D198" s="12" t="s">
        <v>333</v>
      </c>
      <c r="E198" s="37" t="n">
        <v>1</v>
      </c>
      <c r="F198" s="37" t="n">
        <v>2</v>
      </c>
      <c r="G198" s="37" t="n">
        <v>3</v>
      </c>
      <c r="H198" s="37" t="n">
        <v>4</v>
      </c>
      <c r="I198" s="37" t="n">
        <v>5</v>
      </c>
      <c r="J198" s="37" t="n">
        <v>6</v>
      </c>
      <c r="K198" s="37" t="n">
        <v>7</v>
      </c>
      <c r="L198" s="37" t="n">
        <v>8</v>
      </c>
      <c r="M198" s="37" t="n">
        <v>9</v>
      </c>
      <c r="N198" s="37" t="n">
        <v>10</v>
      </c>
      <c r="O198" s="37" t="n">
        <v>11</v>
      </c>
      <c r="P198" s="37" t="n">
        <v>12</v>
      </c>
    </row>
    <row r="199" customFormat="false" ht="15" hidden="false" customHeight="true" outlineLevel="0" collapsed="false">
      <c r="A199" s="42" t="s">
        <v>117</v>
      </c>
      <c r="B199" s="31" t="n">
        <v>5</v>
      </c>
      <c r="C199" s="43" t="s">
        <v>338</v>
      </c>
      <c r="D199" s="31" t="n">
        <v>30</v>
      </c>
      <c r="E199" s="40" t="n">
        <v>1</v>
      </c>
      <c r="F199" s="40" t="n">
        <v>0.766666666666667</v>
      </c>
      <c r="G199" s="40" t="n">
        <v>0.6</v>
      </c>
      <c r="H199" s="40" t="n">
        <v>0.566666666666667</v>
      </c>
      <c r="I199" s="40" t="n">
        <v>0.6</v>
      </c>
      <c r="J199" s="40" t="n">
        <v>0.533333333333333</v>
      </c>
      <c r="K199" s="40" t="n">
        <v>0.5</v>
      </c>
      <c r="L199" s="40" t="n">
        <v>0.5</v>
      </c>
      <c r="M199" s="40" t="n">
        <v>0.2</v>
      </c>
      <c r="N199" s="40" t="n">
        <v>0.0666666666666667</v>
      </c>
      <c r="O199" s="40" t="n">
        <v>0.0666666666666667</v>
      </c>
      <c r="P199" s="40" t="n">
        <v>0</v>
      </c>
    </row>
    <row r="200" customFormat="false" ht="15" hidden="false" customHeight="true" outlineLevel="0" collapsed="false">
      <c r="A200" s="42" t="s">
        <v>118</v>
      </c>
      <c r="B200" s="31" t="n">
        <v>6</v>
      </c>
      <c r="C200" s="43" t="s">
        <v>338</v>
      </c>
      <c r="D200" s="31" t="n">
        <v>48</v>
      </c>
      <c r="E200" s="40" t="n">
        <v>1</v>
      </c>
      <c r="F200" s="40" t="n">
        <v>0.8125</v>
      </c>
      <c r="G200" s="40" t="n">
        <v>0.8125</v>
      </c>
      <c r="H200" s="40" t="n">
        <v>0.75</v>
      </c>
      <c r="I200" s="40" t="n">
        <v>0.645833333333333</v>
      </c>
      <c r="J200" s="40" t="n">
        <v>0.75</v>
      </c>
      <c r="K200" s="40" t="n">
        <v>0.708333333333333</v>
      </c>
      <c r="L200" s="40" t="n">
        <v>0.6875</v>
      </c>
      <c r="M200" s="40" t="n">
        <v>0.1875</v>
      </c>
      <c r="N200" s="40" t="n">
        <v>0.0833333333333333</v>
      </c>
      <c r="O200" s="40" t="n">
        <v>0.0208333333333333</v>
      </c>
      <c r="P200" s="40" t="n">
        <v>0</v>
      </c>
    </row>
    <row r="201" customFormat="false" ht="15" hidden="false" customHeight="true" outlineLevel="0" collapsed="false">
      <c r="A201" s="42" t="s">
        <v>119</v>
      </c>
      <c r="B201" s="31" t="n">
        <v>7</v>
      </c>
      <c r="C201" s="43" t="s">
        <v>338</v>
      </c>
      <c r="D201" s="31" t="n">
        <v>25</v>
      </c>
      <c r="E201" s="40" t="n">
        <v>1</v>
      </c>
      <c r="F201" s="40" t="n">
        <v>0.76</v>
      </c>
      <c r="G201" s="40" t="n">
        <v>0.68</v>
      </c>
      <c r="H201" s="40" t="n">
        <v>0.52</v>
      </c>
      <c r="I201" s="40" t="n">
        <v>0.6</v>
      </c>
      <c r="J201" s="40" t="n">
        <v>0.52</v>
      </c>
      <c r="K201" s="40" t="n">
        <v>0.44</v>
      </c>
      <c r="L201" s="40" t="n">
        <v>0.48</v>
      </c>
      <c r="M201" s="40" t="n">
        <v>0.12</v>
      </c>
      <c r="N201" s="40" t="n">
        <v>0.08</v>
      </c>
      <c r="O201" s="40" t="n">
        <v>0</v>
      </c>
      <c r="P201" s="40" t="n">
        <v>0</v>
      </c>
    </row>
    <row r="202" customFormat="false" ht="15" hidden="false" customHeight="true" outlineLevel="0" collapsed="false">
      <c r="A202" s="42" t="s">
        <v>120</v>
      </c>
      <c r="B202" s="31" t="n">
        <v>8</v>
      </c>
      <c r="C202" s="43" t="s">
        <v>338</v>
      </c>
      <c r="D202" s="31" t="n">
        <v>46</v>
      </c>
      <c r="E202" s="40" t="n">
        <v>1</v>
      </c>
      <c r="F202" s="40" t="n">
        <v>0.869565217391304</v>
      </c>
      <c r="G202" s="40" t="n">
        <v>0.760869565217391</v>
      </c>
      <c r="H202" s="40" t="n">
        <v>0.739130434782609</v>
      </c>
      <c r="I202" s="40" t="n">
        <v>0.739130434782609</v>
      </c>
      <c r="J202" s="40" t="n">
        <v>0.630434782608696</v>
      </c>
      <c r="K202" s="40" t="n">
        <v>0.630434782608696</v>
      </c>
      <c r="L202" s="40" t="n">
        <v>0.652173913043478</v>
      </c>
      <c r="M202" s="40" t="n">
        <v>0.173913043478261</v>
      </c>
      <c r="N202" s="40" t="n">
        <v>0.130434782608696</v>
      </c>
      <c r="O202" s="40" t="n">
        <v>0.0434782608695652</v>
      </c>
      <c r="P202" s="40" t="n">
        <v>0</v>
      </c>
    </row>
    <row r="203" customFormat="false" ht="15" hidden="false" customHeight="true" outlineLevel="0" collapsed="false">
      <c r="A203" s="42" t="s">
        <v>121</v>
      </c>
      <c r="B203" s="31" t="n">
        <v>9</v>
      </c>
      <c r="C203" s="43" t="s">
        <v>338</v>
      </c>
      <c r="D203" s="31" t="n">
        <v>20</v>
      </c>
      <c r="E203" s="40" t="n">
        <v>1</v>
      </c>
      <c r="F203" s="40" t="n">
        <v>0.9</v>
      </c>
      <c r="G203" s="40" t="n">
        <v>0.9</v>
      </c>
      <c r="H203" s="40" t="n">
        <v>0.85</v>
      </c>
      <c r="I203" s="40" t="n">
        <v>0.85</v>
      </c>
      <c r="J203" s="40" t="n">
        <v>0.8</v>
      </c>
      <c r="K203" s="40" t="n">
        <v>0.75</v>
      </c>
      <c r="L203" s="40" t="n">
        <v>0.7</v>
      </c>
      <c r="M203" s="40" t="n">
        <v>0.1</v>
      </c>
      <c r="N203" s="40" t="n">
        <v>0.15</v>
      </c>
      <c r="O203" s="40" t="n">
        <v>0</v>
      </c>
      <c r="P203" s="40" t="n">
        <v>0.05</v>
      </c>
    </row>
    <row r="204" customFormat="false" ht="15" hidden="false" customHeight="true" outlineLevel="0" collapsed="false">
      <c r="A204" s="42" t="s">
        <v>122</v>
      </c>
      <c r="B204" s="31" t="n">
        <v>10</v>
      </c>
      <c r="C204" s="43" t="s">
        <v>338</v>
      </c>
      <c r="D204" s="31" t="n">
        <v>23</v>
      </c>
      <c r="E204" s="40" t="n">
        <v>1</v>
      </c>
      <c r="F204" s="40" t="n">
        <v>0.91304347826087</v>
      </c>
      <c r="G204" s="40" t="n">
        <v>0.869565217391304</v>
      </c>
      <c r="H204" s="40" t="n">
        <v>0.869565217391304</v>
      </c>
      <c r="I204" s="40" t="n">
        <v>0.826086956521739</v>
      </c>
      <c r="J204" s="40" t="n">
        <v>0.826086956521739</v>
      </c>
      <c r="K204" s="40" t="n">
        <v>0.782608695652174</v>
      </c>
      <c r="L204" s="40" t="n">
        <v>0.869565217391304</v>
      </c>
      <c r="M204" s="40" t="n">
        <v>0.130434782608696</v>
      </c>
      <c r="N204" s="40" t="n">
        <v>0.0869565217391304</v>
      </c>
      <c r="O204" s="40" t="n">
        <v>0.0869565217391304</v>
      </c>
      <c r="P204" s="32"/>
    </row>
    <row r="205" customFormat="false" ht="15" hidden="false" customHeight="true" outlineLevel="0" collapsed="false">
      <c r="A205" s="42" t="s">
        <v>123</v>
      </c>
      <c r="B205" s="31" t="n">
        <v>11</v>
      </c>
      <c r="C205" s="43" t="s">
        <v>338</v>
      </c>
      <c r="D205" s="31" t="n">
        <v>30</v>
      </c>
      <c r="E205" s="40" t="n">
        <v>1</v>
      </c>
      <c r="F205" s="40" t="n">
        <v>0.833333333333333</v>
      </c>
      <c r="G205" s="40" t="n">
        <v>0.866666666666667</v>
      </c>
      <c r="H205" s="40" t="n">
        <v>0.833333333333333</v>
      </c>
      <c r="I205" s="40" t="n">
        <v>0.833333333333333</v>
      </c>
      <c r="J205" s="40" t="n">
        <v>0.766666666666667</v>
      </c>
      <c r="K205" s="40" t="n">
        <v>0.8</v>
      </c>
      <c r="L205" s="40" t="n">
        <v>0.8</v>
      </c>
      <c r="M205" s="40" t="n">
        <v>0.0666666666666667</v>
      </c>
      <c r="N205" s="40" t="n">
        <v>0</v>
      </c>
      <c r="O205" s="32"/>
      <c r="P205" s="32"/>
    </row>
    <row r="206" customFormat="false" ht="15" hidden="false" customHeight="true" outlineLevel="0" collapsed="false">
      <c r="A206" s="42" t="s">
        <v>124</v>
      </c>
      <c r="B206" s="31" t="n">
        <v>12</v>
      </c>
      <c r="C206" s="43" t="s">
        <v>338</v>
      </c>
      <c r="D206" s="31" t="n">
        <v>18</v>
      </c>
      <c r="E206" s="40" t="n">
        <v>1</v>
      </c>
      <c r="F206" s="40" t="n">
        <v>0.888888888888889</v>
      </c>
      <c r="G206" s="40" t="n">
        <v>0.888888888888889</v>
      </c>
      <c r="H206" s="40" t="n">
        <v>0.944444444444444</v>
      </c>
      <c r="I206" s="40" t="n">
        <v>0.888888888888889</v>
      </c>
      <c r="J206" s="40" t="n">
        <v>0.666666666666667</v>
      </c>
      <c r="K206" s="40" t="n">
        <v>0.666666666666667</v>
      </c>
      <c r="L206" s="40" t="n">
        <v>0.722222222222222</v>
      </c>
      <c r="M206" s="40" t="n">
        <v>0.111111111111111</v>
      </c>
      <c r="N206" s="32"/>
      <c r="O206" s="32"/>
      <c r="P206" s="32"/>
    </row>
    <row r="207" customFormat="false" ht="15" hidden="false" customHeight="true" outlineLevel="0" collapsed="false">
      <c r="A207" s="38" t="s">
        <v>125</v>
      </c>
      <c r="B207" s="31" t="n">
        <v>13</v>
      </c>
      <c r="C207" s="39" t="s">
        <v>334</v>
      </c>
      <c r="D207" s="31" t="n">
        <v>18</v>
      </c>
      <c r="E207" s="40" t="n">
        <v>1</v>
      </c>
      <c r="F207" s="40" t="n">
        <v>0.944444444444444</v>
      </c>
      <c r="G207" s="40" t="n">
        <v>0.944444444444444</v>
      </c>
      <c r="H207" s="40" t="n">
        <v>0.944444444444444</v>
      </c>
      <c r="I207" s="40" t="n">
        <v>1</v>
      </c>
      <c r="J207" s="40" t="n">
        <v>0.944444444444444</v>
      </c>
      <c r="K207" s="40" t="n">
        <v>0.777777777777778</v>
      </c>
      <c r="L207" s="40" t="n">
        <v>0.777777777777778</v>
      </c>
      <c r="M207" s="32"/>
      <c r="N207" s="32"/>
      <c r="O207" s="32"/>
      <c r="P207" s="32"/>
    </row>
    <row r="208" customFormat="false" ht="15" hidden="false" customHeight="true" outlineLevel="0" collapsed="false">
      <c r="A208" s="38" t="s">
        <v>126</v>
      </c>
      <c r="B208" s="31" t="n">
        <v>14</v>
      </c>
      <c r="C208" s="39" t="s">
        <v>334</v>
      </c>
      <c r="D208" s="31" t="n">
        <v>16</v>
      </c>
      <c r="E208" s="40" t="n">
        <v>1</v>
      </c>
      <c r="F208" s="40" t="n">
        <v>0.75</v>
      </c>
      <c r="G208" s="40" t="n">
        <v>0.75</v>
      </c>
      <c r="H208" s="40" t="n">
        <v>0.75</v>
      </c>
      <c r="I208" s="40" t="n">
        <v>0.75</v>
      </c>
      <c r="J208" s="40" t="n">
        <v>0.625</v>
      </c>
      <c r="K208" s="40" t="n">
        <v>0.6875</v>
      </c>
      <c r="L208" s="32"/>
      <c r="M208" s="32"/>
      <c r="N208" s="32"/>
      <c r="O208" s="32"/>
      <c r="P208" s="32"/>
    </row>
    <row r="209" customFormat="false" ht="15" hidden="false" customHeight="true" outlineLevel="0" collapsed="false">
      <c r="A209" s="38" t="s">
        <v>127</v>
      </c>
      <c r="B209" s="31" t="n">
        <v>15</v>
      </c>
      <c r="C209" s="39" t="s">
        <v>334</v>
      </c>
      <c r="D209" s="31" t="n">
        <v>21</v>
      </c>
      <c r="E209" s="40" t="n">
        <v>1</v>
      </c>
      <c r="F209" s="40" t="n">
        <v>0.952380952380952</v>
      </c>
      <c r="G209" s="40" t="n">
        <v>1</v>
      </c>
      <c r="H209" s="40" t="n">
        <v>0.952380952380952</v>
      </c>
      <c r="I209" s="40" t="n">
        <v>0.857142857142857</v>
      </c>
      <c r="J209" s="40" t="n">
        <v>0.952380952380952</v>
      </c>
      <c r="K209" s="32"/>
      <c r="L209" s="32"/>
      <c r="M209" s="32"/>
      <c r="N209" s="32"/>
      <c r="O209" s="32"/>
      <c r="P209" s="32"/>
    </row>
    <row r="210" customFormat="false" ht="15" hidden="false" customHeight="true" outlineLevel="0" collapsed="false">
      <c r="A210" s="38" t="s">
        <v>129</v>
      </c>
      <c r="B210" s="31" t="n">
        <v>17</v>
      </c>
      <c r="C210" s="39" t="s">
        <v>334</v>
      </c>
      <c r="D210" s="31" t="n">
        <v>36</v>
      </c>
      <c r="E210" s="40" t="n">
        <v>1</v>
      </c>
      <c r="F210" s="40" t="n">
        <v>0.944444444444444</v>
      </c>
      <c r="G210" s="40" t="n">
        <v>0.805555555555556</v>
      </c>
      <c r="H210" s="40" t="n">
        <v>0.861111111111111</v>
      </c>
      <c r="I210" s="32"/>
      <c r="J210" s="32"/>
      <c r="K210" s="32"/>
      <c r="L210" s="32"/>
      <c r="M210" s="32"/>
      <c r="N210" s="32"/>
      <c r="O210" s="32"/>
      <c r="P210" s="32"/>
    </row>
    <row r="211" customFormat="false" ht="15" hidden="false" customHeight="true" outlineLevel="0" collapsed="false">
      <c r="A211" s="38" t="s">
        <v>130</v>
      </c>
      <c r="B211" s="31" t="n">
        <v>18</v>
      </c>
      <c r="C211" s="39" t="s">
        <v>334</v>
      </c>
      <c r="D211" s="31" t="n">
        <v>43</v>
      </c>
      <c r="E211" s="40" t="n">
        <v>1</v>
      </c>
      <c r="F211" s="40" t="n">
        <v>0.883720930232558</v>
      </c>
      <c r="G211" s="40" t="n">
        <v>0.767441860465116</v>
      </c>
      <c r="H211" s="32"/>
      <c r="I211" s="32"/>
      <c r="J211" s="32"/>
      <c r="K211" s="32"/>
      <c r="L211" s="32"/>
      <c r="M211" s="32"/>
      <c r="N211" s="32"/>
      <c r="O211" s="32"/>
      <c r="P211" s="32"/>
    </row>
    <row r="212" customFormat="false" ht="15" hidden="false" customHeight="true" outlineLevel="0" collapsed="false">
      <c r="A212" s="38" t="s">
        <v>131</v>
      </c>
      <c r="B212" s="31" t="n">
        <v>19</v>
      </c>
      <c r="C212" s="39" t="s">
        <v>334</v>
      </c>
      <c r="D212" s="31" t="n">
        <v>10</v>
      </c>
      <c r="E212" s="40" t="n">
        <v>1</v>
      </c>
      <c r="F212" s="40" t="n">
        <v>0.9</v>
      </c>
      <c r="G212" s="32"/>
      <c r="H212" s="32"/>
      <c r="I212" s="32"/>
      <c r="J212" s="32"/>
      <c r="K212" s="32"/>
      <c r="L212" s="32"/>
      <c r="M212" s="32"/>
      <c r="N212" s="32"/>
      <c r="O212" s="32"/>
      <c r="P212" s="32"/>
    </row>
    <row r="213" customFormat="false" ht="15" hidden="false" customHeight="true" outlineLevel="0" collapsed="false">
      <c r="A213" s="38" t="s">
        <v>132</v>
      </c>
      <c r="B213" s="31" t="n">
        <v>20</v>
      </c>
      <c r="C213" s="39" t="s">
        <v>334</v>
      </c>
      <c r="D213" s="31" t="n">
        <v>51</v>
      </c>
      <c r="E213" s="40" t="n">
        <v>1</v>
      </c>
      <c r="F213" s="32"/>
      <c r="G213" s="32"/>
      <c r="H213" s="32"/>
      <c r="I213" s="32"/>
      <c r="J213" s="32"/>
      <c r="K213" s="32"/>
      <c r="L213" s="32"/>
      <c r="M213" s="32"/>
      <c r="N213" s="32"/>
      <c r="O213" s="32"/>
      <c r="P213" s="32"/>
    </row>
    <row r="214" customFormat="false" ht="15" hidden="false" customHeight="true" outlineLevel="0" collapsed="false">
      <c r="A214" s="34" t="s">
        <v>335</v>
      </c>
      <c r="B214" s="36"/>
      <c r="C214" s="36"/>
      <c r="D214" s="36"/>
      <c r="E214" s="44" t="n">
        <v>1</v>
      </c>
      <c r="F214" s="44" t="n">
        <v>0.8375</v>
      </c>
      <c r="G214" s="44" t="n">
        <v>0.7875</v>
      </c>
      <c r="H214" s="44" t="n">
        <v>0.745833333333333</v>
      </c>
      <c r="I214" s="44" t="n">
        <v>0.729166666666667</v>
      </c>
      <c r="J214" s="44" t="n">
        <v>0.683333333333333</v>
      </c>
      <c r="K214" s="44" t="n">
        <v>0.658333333333333</v>
      </c>
      <c r="L214" s="44" t="n">
        <v>0.670833333333333</v>
      </c>
      <c r="M214" s="44" t="n">
        <v>0.145833333333333</v>
      </c>
      <c r="N214" s="44" t="n">
        <v>0.0791666666666667</v>
      </c>
      <c r="O214" s="44" t="n">
        <v>0.0291666666666667</v>
      </c>
      <c r="P214" s="44" t="n">
        <v>0.00416666666666667</v>
      </c>
    </row>
    <row r="215" customFormat="false" ht="15" hidden="false" customHeight="true" outlineLevel="0" collapsed="false">
      <c r="A215" s="34" t="s">
        <v>336</v>
      </c>
      <c r="B215" s="36"/>
      <c r="C215" s="36"/>
      <c r="D215" s="36"/>
      <c r="E215" s="44" t="n">
        <v>1</v>
      </c>
      <c r="F215" s="44" t="n">
        <v>0.842999698067633</v>
      </c>
      <c r="G215" s="44" t="n">
        <v>0.797311292270531</v>
      </c>
      <c r="H215" s="44" t="n">
        <v>0.759142512077295</v>
      </c>
      <c r="I215" s="44" t="n">
        <v>0.747909118357488</v>
      </c>
      <c r="J215" s="44" t="n">
        <v>0.686648550724638</v>
      </c>
      <c r="K215" s="44" t="n">
        <v>0.659755434782609</v>
      </c>
      <c r="L215" s="44" t="n">
        <v>0.676432669082126</v>
      </c>
      <c r="M215" s="44" t="n">
        <v>0.136203200483092</v>
      </c>
      <c r="N215" s="44" t="n">
        <v>0.0853416149068323</v>
      </c>
      <c r="O215" s="44" t="n">
        <v>0.0363224637681159</v>
      </c>
      <c r="P215" s="44" t="n">
        <v>0.01</v>
      </c>
    </row>
    <row r="216" customFormat="false" ht="15" hidden="false" customHeight="true" outlineLevel="0" collapsed="false">
      <c r="A216" s="45" t="s">
        <v>347</v>
      </c>
      <c r="B216" s="45"/>
      <c r="C216" s="45"/>
      <c r="D216" s="45"/>
      <c r="E216" s="45"/>
      <c r="F216" s="45"/>
      <c r="G216" s="45"/>
      <c r="H216" s="45"/>
      <c r="I216" s="45"/>
      <c r="J216" s="45"/>
      <c r="K216" s="45"/>
      <c r="L216" s="45"/>
      <c r="M216" s="45"/>
      <c r="N216" s="45"/>
      <c r="O216" s="45"/>
      <c r="P216" s="45"/>
    </row>
    <row r="218" customFormat="false" ht="15" hidden="false" customHeight="true" outlineLevel="0" collapsed="false">
      <c r="A218" s="28" t="s">
        <v>300</v>
      </c>
      <c r="B218" s="28"/>
      <c r="C218" s="28"/>
      <c r="D218" s="28"/>
      <c r="E218" s="28"/>
      <c r="F218" s="28"/>
      <c r="G218" s="28"/>
      <c r="H218" s="28"/>
      <c r="I218" s="28"/>
      <c r="J218" s="28"/>
      <c r="K218" s="28"/>
      <c r="L218" s="28"/>
      <c r="M218" s="28"/>
      <c r="N218" s="28"/>
      <c r="O218" s="28"/>
      <c r="P218" s="28"/>
      <c r="Q218" s="28"/>
      <c r="R218" s="28"/>
      <c r="S218" s="28"/>
    </row>
    <row r="219" customFormat="false" ht="15" hidden="false" customHeight="true" outlineLevel="0" collapsed="false">
      <c r="A219" s="12" t="s">
        <v>330</v>
      </c>
      <c r="B219" s="12" t="s">
        <v>331</v>
      </c>
      <c r="C219" s="12" t="s">
        <v>332</v>
      </c>
      <c r="D219" s="12" t="s">
        <v>333</v>
      </c>
      <c r="E219" s="37" t="n">
        <v>1</v>
      </c>
      <c r="F219" s="37" t="n">
        <v>2</v>
      </c>
      <c r="G219" s="37" t="n">
        <v>3</v>
      </c>
      <c r="H219" s="37" t="n">
        <v>4</v>
      </c>
      <c r="I219" s="37" t="n">
        <v>5</v>
      </c>
      <c r="J219" s="37" t="n">
        <v>6</v>
      </c>
      <c r="K219" s="37" t="n">
        <v>7</v>
      </c>
      <c r="L219" s="37" t="n">
        <v>8</v>
      </c>
      <c r="M219" s="37" t="n">
        <v>9</v>
      </c>
      <c r="N219" s="37" t="n">
        <v>10</v>
      </c>
      <c r="O219" s="37" t="n">
        <v>11</v>
      </c>
      <c r="P219" s="37" t="n">
        <v>12</v>
      </c>
      <c r="Q219" s="37" t="n">
        <v>13</v>
      </c>
      <c r="R219" s="37" t="n">
        <v>14</v>
      </c>
      <c r="S219" s="37" t="n">
        <v>15</v>
      </c>
    </row>
    <row r="220" customFormat="false" ht="15" hidden="false" customHeight="true" outlineLevel="0" collapsed="false">
      <c r="A220" s="42" t="s">
        <v>117</v>
      </c>
      <c r="B220" s="31" t="n">
        <v>5</v>
      </c>
      <c r="C220" s="43" t="s">
        <v>338</v>
      </c>
      <c r="D220" s="31" t="n">
        <v>22</v>
      </c>
      <c r="E220" s="40" t="n">
        <v>1</v>
      </c>
      <c r="F220" s="40" t="n">
        <v>0.909090909090909</v>
      </c>
      <c r="G220" s="40" t="n">
        <v>0.863636363636364</v>
      </c>
      <c r="H220" s="40" t="n">
        <v>0.681818181818182</v>
      </c>
      <c r="I220" s="40" t="n">
        <v>0.363636363636364</v>
      </c>
      <c r="J220" s="40" t="n">
        <v>0.318181818181818</v>
      </c>
      <c r="K220" s="40" t="n">
        <v>0.272727272727273</v>
      </c>
      <c r="L220" s="40" t="n">
        <v>0.0454545454545455</v>
      </c>
      <c r="M220" s="40" t="n">
        <v>0</v>
      </c>
      <c r="N220" s="40" t="n">
        <v>0</v>
      </c>
      <c r="O220" s="40" t="n">
        <v>0</v>
      </c>
      <c r="P220" s="40" t="n">
        <v>0</v>
      </c>
      <c r="Q220" s="40" t="n">
        <v>0</v>
      </c>
      <c r="R220" s="40" t="n">
        <v>0</v>
      </c>
      <c r="S220" s="40" t="n">
        <v>0</v>
      </c>
    </row>
    <row r="221" customFormat="false" ht="15" hidden="false" customHeight="true" outlineLevel="0" collapsed="false">
      <c r="A221" s="42" t="s">
        <v>118</v>
      </c>
      <c r="B221" s="31" t="n">
        <v>6</v>
      </c>
      <c r="C221" s="43" t="s">
        <v>338</v>
      </c>
      <c r="D221" s="31" t="n">
        <v>19</v>
      </c>
      <c r="E221" s="40" t="n">
        <v>1</v>
      </c>
      <c r="F221" s="40" t="n">
        <v>0.842105263157895</v>
      </c>
      <c r="G221" s="40" t="n">
        <v>0.894736842105263</v>
      </c>
      <c r="H221" s="40" t="n">
        <v>0.894736842105263</v>
      </c>
      <c r="I221" s="40" t="n">
        <v>0.105263157894737</v>
      </c>
      <c r="J221" s="40" t="n">
        <v>0.0526315789473684</v>
      </c>
      <c r="K221" s="40" t="n">
        <v>0.0526315789473684</v>
      </c>
      <c r="L221" s="40" t="n">
        <v>0.0526315789473684</v>
      </c>
      <c r="M221" s="40" t="n">
        <v>0.105263157894737</v>
      </c>
      <c r="N221" s="40" t="n">
        <v>0.0526315789473684</v>
      </c>
      <c r="O221" s="40" t="n">
        <v>0</v>
      </c>
      <c r="P221" s="40" t="n">
        <v>0</v>
      </c>
      <c r="Q221" s="40" t="n">
        <v>0.0526315789473684</v>
      </c>
      <c r="R221" s="40" t="n">
        <v>0.0526315789473684</v>
      </c>
      <c r="S221" s="40" t="n">
        <v>0.0526315789473684</v>
      </c>
    </row>
    <row r="222" customFormat="false" ht="15" hidden="false" customHeight="true" outlineLevel="0" collapsed="false">
      <c r="A222" s="42" t="s">
        <v>120</v>
      </c>
      <c r="B222" s="31" t="n">
        <v>8</v>
      </c>
      <c r="C222" s="43" t="s">
        <v>338</v>
      </c>
      <c r="D222" s="31" t="n">
        <v>22</v>
      </c>
      <c r="E222" s="40" t="n">
        <v>1</v>
      </c>
      <c r="F222" s="40" t="n">
        <v>0.909090909090909</v>
      </c>
      <c r="G222" s="40" t="n">
        <v>0.863636363636364</v>
      </c>
      <c r="H222" s="40" t="n">
        <v>0.909090909090909</v>
      </c>
      <c r="I222" s="40" t="n">
        <v>0.227272727272727</v>
      </c>
      <c r="J222" s="40" t="n">
        <v>0.0454545454545455</v>
      </c>
      <c r="K222" s="40" t="n">
        <v>0.0454545454545455</v>
      </c>
      <c r="L222" s="40" t="n">
        <v>0</v>
      </c>
      <c r="M222" s="40" t="n">
        <v>0</v>
      </c>
      <c r="N222" s="40" t="n">
        <v>0</v>
      </c>
      <c r="O222" s="40" t="n">
        <v>0</v>
      </c>
      <c r="P222" s="40" t="n">
        <v>0</v>
      </c>
      <c r="Q222" s="40" t="n">
        <v>0.0454545454545455</v>
      </c>
      <c r="R222" s="32"/>
      <c r="S222" s="32"/>
    </row>
    <row r="223" customFormat="false" ht="15" hidden="false" customHeight="true" outlineLevel="0" collapsed="false">
      <c r="A223" s="42" t="s">
        <v>121</v>
      </c>
      <c r="B223" s="31" t="n">
        <v>9</v>
      </c>
      <c r="C223" s="43" t="s">
        <v>338</v>
      </c>
      <c r="D223" s="31" t="n">
        <v>18</v>
      </c>
      <c r="E223" s="40" t="n">
        <v>1</v>
      </c>
      <c r="F223" s="40" t="n">
        <v>0.944444444444444</v>
      </c>
      <c r="G223" s="40" t="n">
        <v>0.888888888888889</v>
      </c>
      <c r="H223" s="40" t="n">
        <v>0.833333333333333</v>
      </c>
      <c r="I223" s="40" t="n">
        <v>0.333333333333333</v>
      </c>
      <c r="J223" s="40" t="n">
        <v>0.333333333333333</v>
      </c>
      <c r="K223" s="40" t="n">
        <v>0.111111111111111</v>
      </c>
      <c r="L223" s="40" t="n">
        <v>0</v>
      </c>
      <c r="M223" s="40" t="n">
        <v>0</v>
      </c>
      <c r="N223" s="40" t="n">
        <v>0</v>
      </c>
      <c r="O223" s="40" t="n">
        <v>0</v>
      </c>
      <c r="P223" s="40" t="n">
        <v>0.0555555555555556</v>
      </c>
      <c r="Q223" s="32"/>
      <c r="R223" s="32"/>
      <c r="S223" s="32"/>
    </row>
    <row r="224" customFormat="false" ht="15" hidden="false" customHeight="true" outlineLevel="0" collapsed="false">
      <c r="A224" s="42" t="s">
        <v>123</v>
      </c>
      <c r="B224" s="31" t="n">
        <v>11</v>
      </c>
      <c r="C224" s="43" t="s">
        <v>338</v>
      </c>
      <c r="D224" s="31" t="n">
        <v>23</v>
      </c>
      <c r="E224" s="40" t="n">
        <v>1</v>
      </c>
      <c r="F224" s="40" t="n">
        <v>0.869565217391304</v>
      </c>
      <c r="G224" s="40" t="n">
        <v>0.826086956521739</v>
      </c>
      <c r="H224" s="40" t="n">
        <v>0.782608695652174</v>
      </c>
      <c r="I224" s="40" t="n">
        <v>0.347826086956522</v>
      </c>
      <c r="J224" s="40" t="n">
        <v>0.130434782608696</v>
      </c>
      <c r="K224" s="40" t="n">
        <v>0.130434782608696</v>
      </c>
      <c r="L224" s="40" t="n">
        <v>0</v>
      </c>
      <c r="M224" s="40" t="n">
        <v>0</v>
      </c>
      <c r="N224" s="40" t="n">
        <v>0</v>
      </c>
      <c r="O224" s="32"/>
      <c r="P224" s="32"/>
      <c r="Q224" s="32"/>
      <c r="R224" s="32"/>
      <c r="S224" s="32"/>
    </row>
    <row r="225" customFormat="false" ht="15" hidden="false" customHeight="true" outlineLevel="0" collapsed="false">
      <c r="A225" s="42" t="s">
        <v>124</v>
      </c>
      <c r="B225" s="31" t="n">
        <v>12</v>
      </c>
      <c r="C225" s="43" t="s">
        <v>338</v>
      </c>
      <c r="D225" s="31" t="n">
        <v>11</v>
      </c>
      <c r="E225" s="40" t="n">
        <v>1</v>
      </c>
      <c r="F225" s="40" t="n">
        <v>0.818181818181818</v>
      </c>
      <c r="G225" s="40" t="n">
        <v>0.909090909090909</v>
      </c>
      <c r="H225" s="40" t="n">
        <v>0.909090909090909</v>
      </c>
      <c r="I225" s="40" t="n">
        <v>0.363636363636364</v>
      </c>
      <c r="J225" s="40" t="n">
        <v>0.363636363636364</v>
      </c>
      <c r="K225" s="40" t="n">
        <v>0.363636363636364</v>
      </c>
      <c r="L225" s="40" t="n">
        <v>0</v>
      </c>
      <c r="M225" s="40" t="n">
        <v>0</v>
      </c>
      <c r="N225" s="32"/>
      <c r="O225" s="32"/>
      <c r="P225" s="32"/>
      <c r="Q225" s="32"/>
      <c r="R225" s="32"/>
      <c r="S225" s="32"/>
    </row>
    <row r="226" customFormat="false" ht="15" hidden="false" customHeight="true" outlineLevel="0" collapsed="false">
      <c r="A226" s="38" t="s">
        <v>126</v>
      </c>
      <c r="B226" s="31" t="n">
        <v>14</v>
      </c>
      <c r="C226" s="39" t="s">
        <v>334</v>
      </c>
      <c r="D226" s="31" t="n">
        <v>21</v>
      </c>
      <c r="E226" s="40" t="n">
        <v>1</v>
      </c>
      <c r="F226" s="40" t="n">
        <v>0.952380952380952</v>
      </c>
      <c r="G226" s="40" t="n">
        <v>0.952380952380952</v>
      </c>
      <c r="H226" s="40" t="n">
        <v>0.904761904761905</v>
      </c>
      <c r="I226" s="40" t="n">
        <v>0.285714285714286</v>
      </c>
      <c r="J226" s="40" t="n">
        <v>0.0476190476190476</v>
      </c>
      <c r="K226" s="40" t="n">
        <v>0.0476190476190476</v>
      </c>
      <c r="L226" s="32"/>
      <c r="M226" s="32"/>
      <c r="N226" s="32"/>
      <c r="O226" s="32"/>
      <c r="P226" s="32"/>
      <c r="Q226" s="32"/>
      <c r="R226" s="32"/>
      <c r="S226" s="32"/>
    </row>
    <row r="227" customFormat="false" ht="15" hidden="false" customHeight="true" outlineLevel="0" collapsed="false">
      <c r="A227" s="38" t="s">
        <v>127</v>
      </c>
      <c r="B227" s="31" t="n">
        <v>15</v>
      </c>
      <c r="C227" s="39" t="s">
        <v>334</v>
      </c>
      <c r="D227" s="31" t="n">
        <v>13</v>
      </c>
      <c r="E227" s="40" t="n">
        <v>1</v>
      </c>
      <c r="F227" s="40" t="n">
        <v>1</v>
      </c>
      <c r="G227" s="40" t="n">
        <v>1</v>
      </c>
      <c r="H227" s="40" t="n">
        <v>1</v>
      </c>
      <c r="I227" s="40" t="n">
        <v>0.230769230769231</v>
      </c>
      <c r="J227" s="40" t="n">
        <v>0.230769230769231</v>
      </c>
      <c r="K227" s="32"/>
      <c r="L227" s="32"/>
      <c r="M227" s="32"/>
      <c r="N227" s="32"/>
      <c r="O227" s="32"/>
      <c r="P227" s="32"/>
      <c r="Q227" s="32"/>
      <c r="R227" s="32"/>
      <c r="S227" s="32"/>
    </row>
    <row r="228" customFormat="false" ht="15" hidden="false" customHeight="true" outlineLevel="0" collapsed="false">
      <c r="A228" s="38" t="s">
        <v>129</v>
      </c>
      <c r="B228" s="31" t="n">
        <v>17</v>
      </c>
      <c r="C228" s="39" t="s">
        <v>334</v>
      </c>
      <c r="D228" s="31" t="n">
        <v>16</v>
      </c>
      <c r="E228" s="40" t="n">
        <v>1</v>
      </c>
      <c r="F228" s="40" t="n">
        <v>0.8125</v>
      </c>
      <c r="G228" s="40" t="n">
        <v>0.625</v>
      </c>
      <c r="H228" s="40" t="n">
        <v>0.75</v>
      </c>
      <c r="I228" s="32"/>
      <c r="J228" s="32"/>
      <c r="K228" s="32"/>
      <c r="L228" s="32"/>
      <c r="M228" s="32"/>
      <c r="N228" s="32"/>
      <c r="O228" s="32"/>
      <c r="P228" s="32"/>
      <c r="Q228" s="32"/>
      <c r="R228" s="32"/>
      <c r="S228" s="32"/>
    </row>
    <row r="229" customFormat="false" ht="15" hidden="false" customHeight="true" outlineLevel="0" collapsed="false">
      <c r="A229" s="38" t="s">
        <v>130</v>
      </c>
      <c r="B229" s="31" t="n">
        <v>18</v>
      </c>
      <c r="C229" s="39" t="s">
        <v>334</v>
      </c>
      <c r="D229" s="31" t="n">
        <v>13</v>
      </c>
      <c r="E229" s="40" t="n">
        <v>1</v>
      </c>
      <c r="F229" s="40" t="n">
        <v>0.923076923076923</v>
      </c>
      <c r="G229" s="40" t="n">
        <v>0.923076923076923</v>
      </c>
      <c r="H229" s="32"/>
      <c r="I229" s="32"/>
      <c r="J229" s="32"/>
      <c r="K229" s="32"/>
      <c r="L229" s="32"/>
      <c r="M229" s="32"/>
      <c r="N229" s="32"/>
      <c r="O229" s="32"/>
      <c r="P229" s="32"/>
      <c r="Q229" s="32"/>
      <c r="R229" s="32"/>
      <c r="S229" s="32"/>
    </row>
    <row r="230" customFormat="false" ht="15" hidden="false" customHeight="true" outlineLevel="0" collapsed="false">
      <c r="A230" s="38" t="s">
        <v>132</v>
      </c>
      <c r="B230" s="31" t="n">
        <v>20</v>
      </c>
      <c r="C230" s="39" t="s">
        <v>334</v>
      </c>
      <c r="D230" s="31" t="n">
        <v>14</v>
      </c>
      <c r="E230" s="40" t="n">
        <v>1</v>
      </c>
      <c r="F230" s="32"/>
      <c r="G230" s="32"/>
      <c r="H230" s="32"/>
      <c r="I230" s="32"/>
      <c r="J230" s="32"/>
      <c r="K230" s="32"/>
      <c r="L230" s="32"/>
      <c r="M230" s="32"/>
      <c r="N230" s="32"/>
      <c r="O230" s="32"/>
      <c r="P230" s="32"/>
      <c r="Q230" s="32"/>
      <c r="R230" s="32"/>
      <c r="S230" s="32"/>
    </row>
    <row r="231" customFormat="false" ht="15" hidden="false" customHeight="true" outlineLevel="0" collapsed="false">
      <c r="A231" s="34" t="s">
        <v>335</v>
      </c>
      <c r="B231" s="36"/>
      <c r="C231" s="36"/>
      <c r="D231" s="36"/>
      <c r="E231" s="44" t="n">
        <v>1</v>
      </c>
      <c r="F231" s="44" t="n">
        <v>0.88695652173913</v>
      </c>
      <c r="G231" s="44" t="n">
        <v>0.869565217391304</v>
      </c>
      <c r="H231" s="44" t="n">
        <v>0.826086956521739</v>
      </c>
      <c r="I231" s="44" t="n">
        <v>0.28695652173913</v>
      </c>
      <c r="J231" s="44" t="n">
        <v>0.191304347826087</v>
      </c>
      <c r="K231" s="44" t="n">
        <v>0.147826086956522</v>
      </c>
      <c r="L231" s="44" t="n">
        <v>0.0173913043478261</v>
      </c>
      <c r="M231" s="44" t="n">
        <v>0.0173913043478261</v>
      </c>
      <c r="N231" s="44" t="n">
        <v>0.00869565217391304</v>
      </c>
      <c r="O231" s="44" t="n">
        <v>0</v>
      </c>
      <c r="P231" s="44" t="n">
        <v>0.00869565217391304</v>
      </c>
      <c r="Q231" s="44" t="n">
        <v>0.0173913043478261</v>
      </c>
      <c r="R231" s="44" t="n">
        <v>0.00869565217391304</v>
      </c>
      <c r="S231" s="44" t="n">
        <v>0.00869565217391304</v>
      </c>
    </row>
    <row r="232" customFormat="false" ht="15" hidden="false" customHeight="true" outlineLevel="0" collapsed="false">
      <c r="A232" s="34" t="s">
        <v>336</v>
      </c>
      <c r="B232" s="36"/>
      <c r="C232" s="36"/>
      <c r="D232" s="36"/>
      <c r="E232" s="44" t="n">
        <v>1</v>
      </c>
      <c r="F232" s="44" t="n">
        <v>0.882079760226214</v>
      </c>
      <c r="G232" s="44" t="n">
        <v>0.874346053979921</v>
      </c>
      <c r="H232" s="44" t="n">
        <v>0.835113145181795</v>
      </c>
      <c r="I232" s="44" t="n">
        <v>0.290161338788341</v>
      </c>
      <c r="J232" s="44" t="n">
        <v>0.207278737027021</v>
      </c>
      <c r="K232" s="44" t="n">
        <v>0.162665942414226</v>
      </c>
      <c r="L232" s="44" t="n">
        <v>0.016347687400319</v>
      </c>
      <c r="M232" s="44" t="n">
        <v>0.0175438596491228</v>
      </c>
      <c r="N232" s="44" t="n">
        <v>0.0105263157894737</v>
      </c>
      <c r="O232" s="44" t="n">
        <v>0</v>
      </c>
      <c r="P232" s="44" t="n">
        <v>0.0138888888888889</v>
      </c>
      <c r="Q232" s="44" t="n">
        <v>0.032695374800638</v>
      </c>
      <c r="R232" s="44" t="n">
        <v>0.0263157894736842</v>
      </c>
      <c r="S232" s="44" t="n">
        <v>0.0263157894736842</v>
      </c>
    </row>
    <row r="233" customFormat="false" ht="15" hidden="false" customHeight="true" outlineLevel="0" collapsed="false">
      <c r="A233" s="45" t="s">
        <v>348</v>
      </c>
      <c r="B233" s="45"/>
      <c r="C233" s="45"/>
      <c r="D233" s="45"/>
      <c r="E233" s="45"/>
      <c r="F233" s="45"/>
      <c r="G233" s="45"/>
      <c r="H233" s="45"/>
      <c r="I233" s="45"/>
      <c r="J233" s="45"/>
      <c r="K233" s="45"/>
      <c r="L233" s="45"/>
      <c r="M233" s="45"/>
      <c r="N233" s="45"/>
      <c r="O233" s="45"/>
      <c r="P233" s="45"/>
      <c r="Q233" s="45"/>
      <c r="R233" s="45"/>
      <c r="S233" s="45"/>
    </row>
    <row r="235" customFormat="false" ht="15" hidden="false" customHeight="true" outlineLevel="0" collapsed="false">
      <c r="A235" s="28" t="s">
        <v>301</v>
      </c>
      <c r="B235" s="28"/>
      <c r="C235" s="28"/>
      <c r="D235" s="28"/>
      <c r="E235" s="28"/>
      <c r="F235" s="28"/>
      <c r="G235" s="28"/>
      <c r="H235" s="28"/>
      <c r="I235" s="28"/>
      <c r="J235" s="28"/>
    </row>
    <row r="236" customFormat="false" ht="15" hidden="false" customHeight="true" outlineLevel="0" collapsed="false">
      <c r="A236" s="12" t="s">
        <v>330</v>
      </c>
      <c r="B236" s="12" t="s">
        <v>331</v>
      </c>
      <c r="C236" s="12" t="s">
        <v>332</v>
      </c>
      <c r="D236" s="12" t="s">
        <v>333</v>
      </c>
      <c r="E236" s="37" t="n">
        <v>1</v>
      </c>
      <c r="F236" s="37" t="n">
        <v>2</v>
      </c>
      <c r="G236" s="37" t="n">
        <v>3</v>
      </c>
      <c r="H236" s="37" t="n">
        <v>4</v>
      </c>
      <c r="I236" s="37" t="n">
        <v>5</v>
      </c>
      <c r="J236" s="37" t="n">
        <v>6</v>
      </c>
    </row>
    <row r="237" customFormat="false" ht="15" hidden="false" customHeight="true" outlineLevel="0" collapsed="false">
      <c r="A237" s="38" t="s">
        <v>127</v>
      </c>
      <c r="B237" s="31" t="n">
        <v>15</v>
      </c>
      <c r="C237" s="39" t="s">
        <v>334</v>
      </c>
      <c r="D237" s="31" t="n">
        <v>17</v>
      </c>
      <c r="E237" s="40" t="n">
        <v>1</v>
      </c>
      <c r="F237" s="40" t="n">
        <v>0.529411764705882</v>
      </c>
      <c r="G237" s="40" t="n">
        <v>0.647058823529412</v>
      </c>
      <c r="H237" s="40" t="n">
        <v>0.588235294117647</v>
      </c>
      <c r="I237" s="40" t="n">
        <v>0.470588235294118</v>
      </c>
      <c r="J237" s="40" t="n">
        <v>0.0588235294117647</v>
      </c>
    </row>
    <row r="238" customFormat="false" ht="15" hidden="false" customHeight="true" outlineLevel="0" collapsed="false">
      <c r="A238" s="38" t="s">
        <v>129</v>
      </c>
      <c r="B238" s="31" t="n">
        <v>17</v>
      </c>
      <c r="C238" s="39" t="s">
        <v>334</v>
      </c>
      <c r="D238" s="31" t="n">
        <v>22</v>
      </c>
      <c r="E238" s="40" t="n">
        <v>1</v>
      </c>
      <c r="F238" s="40" t="n">
        <v>0.681818181818182</v>
      </c>
      <c r="G238" s="40" t="n">
        <v>0.5</v>
      </c>
      <c r="H238" s="40" t="n">
        <v>0.681818181818182</v>
      </c>
      <c r="I238" s="32"/>
      <c r="J238" s="32"/>
    </row>
    <row r="239" customFormat="false" ht="15" hidden="false" customHeight="true" outlineLevel="0" collapsed="false">
      <c r="A239" s="38" t="s">
        <v>130</v>
      </c>
      <c r="B239" s="31" t="n">
        <v>18</v>
      </c>
      <c r="C239" s="39" t="s">
        <v>334</v>
      </c>
      <c r="D239" s="31" t="n">
        <v>10</v>
      </c>
      <c r="E239" s="40" t="n">
        <v>1</v>
      </c>
      <c r="F239" s="40" t="n">
        <v>0.8</v>
      </c>
      <c r="G239" s="40" t="n">
        <v>0.8</v>
      </c>
      <c r="H239" s="32"/>
      <c r="I239" s="32"/>
      <c r="J239" s="32"/>
    </row>
    <row r="240" customFormat="false" ht="15" hidden="false" customHeight="true" outlineLevel="0" collapsed="false">
      <c r="A240" s="38" t="s">
        <v>132</v>
      </c>
      <c r="B240" s="31" t="n">
        <v>20</v>
      </c>
      <c r="C240" s="39" t="s">
        <v>334</v>
      </c>
      <c r="D240" s="31" t="n">
        <v>7</v>
      </c>
      <c r="E240" s="40" t="n">
        <v>1</v>
      </c>
      <c r="F240" s="32"/>
      <c r="G240" s="32"/>
      <c r="H240" s="32"/>
      <c r="I240" s="32"/>
      <c r="J240" s="32"/>
    </row>
    <row r="241" customFormat="false" ht="15" hidden="false" customHeight="true" outlineLevel="0" collapsed="false">
      <c r="A241" s="34" t="s">
        <v>335</v>
      </c>
      <c r="B241" s="36"/>
      <c r="C241" s="36"/>
      <c r="D241" s="36"/>
      <c r="E241" s="36"/>
      <c r="F241" s="36"/>
      <c r="G241" s="36"/>
      <c r="H241" s="36"/>
      <c r="I241" s="36"/>
      <c r="J241" s="36"/>
    </row>
    <row r="242" customFormat="false" ht="15" hidden="false" customHeight="true" outlineLevel="0" collapsed="false">
      <c r="A242" s="34" t="s">
        <v>336</v>
      </c>
      <c r="B242" s="36"/>
      <c r="C242" s="36"/>
      <c r="D242" s="36"/>
      <c r="E242" s="36"/>
      <c r="F242" s="36"/>
      <c r="G242" s="36"/>
      <c r="H242" s="36"/>
      <c r="I242" s="36"/>
      <c r="J242" s="36"/>
    </row>
    <row r="243" customFormat="false" ht="15" hidden="false" customHeight="true" outlineLevel="0" collapsed="false">
      <c r="A243" s="41" t="s">
        <v>337</v>
      </c>
      <c r="B243" s="41"/>
      <c r="C243" s="41"/>
      <c r="D243" s="41"/>
      <c r="E243" s="41"/>
      <c r="F243" s="41"/>
      <c r="G243" s="41"/>
      <c r="H243" s="41"/>
      <c r="I243" s="41"/>
      <c r="J243" s="41"/>
    </row>
    <row r="245" customFormat="false" ht="15" hidden="false" customHeight="true" outlineLevel="0" collapsed="false">
      <c r="A245" s="28" t="s">
        <v>302</v>
      </c>
      <c r="B245" s="28"/>
      <c r="C245" s="28"/>
      <c r="D245" s="28"/>
      <c r="E245" s="28"/>
      <c r="F245" s="28"/>
      <c r="G245" s="28"/>
      <c r="H245" s="28"/>
    </row>
    <row r="246" customFormat="false" ht="15" hidden="false" customHeight="true" outlineLevel="0" collapsed="false">
      <c r="A246" s="12" t="s">
        <v>330</v>
      </c>
      <c r="B246" s="12" t="s">
        <v>331</v>
      </c>
      <c r="C246" s="12" t="s">
        <v>332</v>
      </c>
      <c r="D246" s="12" t="s">
        <v>333</v>
      </c>
      <c r="E246" s="37" t="n">
        <v>1</v>
      </c>
      <c r="F246" s="37" t="n">
        <v>2</v>
      </c>
      <c r="G246" s="37" t="n">
        <v>3</v>
      </c>
    </row>
    <row r="247" customFormat="false" ht="15" hidden="false" customHeight="true" outlineLevel="0" collapsed="false">
      <c r="A247" s="38" t="s">
        <v>126</v>
      </c>
      <c r="B247" s="31" t="n">
        <v>14</v>
      </c>
      <c r="C247" s="39" t="s">
        <v>334</v>
      </c>
      <c r="D247" s="31" t="n">
        <v>6</v>
      </c>
      <c r="E247" s="40" t="n">
        <v>1</v>
      </c>
      <c r="F247" s="40" t="n">
        <v>0.833333333333333</v>
      </c>
      <c r="G247" s="40" t="n">
        <v>0.833333333333333</v>
      </c>
    </row>
    <row r="248" customFormat="false" ht="15" hidden="false" customHeight="true" outlineLevel="0" collapsed="false">
      <c r="A248" s="38" t="s">
        <v>127</v>
      </c>
      <c r="B248" s="31" t="n">
        <v>15</v>
      </c>
      <c r="C248" s="39" t="s">
        <v>334</v>
      </c>
      <c r="D248" s="31" t="n">
        <v>5</v>
      </c>
      <c r="E248" s="40" t="n">
        <v>1</v>
      </c>
      <c r="F248" s="40" t="n">
        <v>0.2</v>
      </c>
      <c r="G248" s="40" t="n">
        <v>0.2</v>
      </c>
    </row>
    <row r="249" customFormat="false" ht="15" hidden="false" customHeight="true" outlineLevel="0" collapsed="false">
      <c r="A249" s="38" t="s">
        <v>129</v>
      </c>
      <c r="B249" s="31" t="n">
        <v>17</v>
      </c>
      <c r="C249" s="39" t="s">
        <v>334</v>
      </c>
      <c r="D249" s="31" t="n">
        <v>4</v>
      </c>
      <c r="E249" s="40" t="n">
        <v>1</v>
      </c>
      <c r="F249" s="40" t="n">
        <v>1</v>
      </c>
      <c r="G249" s="40" t="n">
        <v>1</v>
      </c>
    </row>
    <row r="250" customFormat="false" ht="15" hidden="false" customHeight="true" outlineLevel="0" collapsed="false">
      <c r="A250" s="38" t="s">
        <v>130</v>
      </c>
      <c r="B250" s="31" t="n">
        <v>18</v>
      </c>
      <c r="C250" s="39" t="s">
        <v>334</v>
      </c>
      <c r="D250" s="31" t="n">
        <v>7</v>
      </c>
      <c r="E250" s="40" t="n">
        <v>1</v>
      </c>
      <c r="F250" s="40" t="n">
        <v>0.714285714285714</v>
      </c>
      <c r="G250" s="40" t="n">
        <v>0.714285714285714</v>
      </c>
    </row>
    <row r="251" customFormat="false" ht="15" hidden="false" customHeight="true" outlineLevel="0" collapsed="false">
      <c r="A251" s="38" t="s">
        <v>132</v>
      </c>
      <c r="B251" s="31" t="n">
        <v>20</v>
      </c>
      <c r="C251" s="39" t="s">
        <v>334</v>
      </c>
      <c r="D251" s="31" t="n">
        <v>6</v>
      </c>
      <c r="E251" s="40" t="n">
        <v>1</v>
      </c>
      <c r="F251" s="32"/>
      <c r="G251" s="32"/>
    </row>
    <row r="252" customFormat="false" ht="15" hidden="false" customHeight="true" outlineLevel="0" collapsed="false">
      <c r="A252" s="34" t="s">
        <v>335</v>
      </c>
      <c r="B252" s="36"/>
      <c r="C252" s="36"/>
      <c r="D252" s="36"/>
      <c r="E252" s="36"/>
      <c r="F252" s="36"/>
      <c r="G252" s="36"/>
    </row>
    <row r="253" customFormat="false" ht="15" hidden="false" customHeight="true" outlineLevel="0" collapsed="false">
      <c r="A253" s="34" t="s">
        <v>336</v>
      </c>
      <c r="B253" s="36"/>
      <c r="C253" s="36"/>
      <c r="D253" s="36"/>
      <c r="E253" s="36"/>
      <c r="F253" s="36"/>
      <c r="G253" s="36"/>
    </row>
    <row r="254" customFormat="false" ht="15" hidden="false" customHeight="true" outlineLevel="0" collapsed="false">
      <c r="A254" s="41" t="s">
        <v>337</v>
      </c>
      <c r="B254" s="41"/>
      <c r="C254" s="41"/>
      <c r="D254" s="41"/>
      <c r="E254" s="41"/>
      <c r="F254" s="41"/>
      <c r="G254" s="41"/>
      <c r="H254" s="41"/>
    </row>
    <row r="256" customFormat="false" ht="15" hidden="false" customHeight="true" outlineLevel="0" collapsed="false">
      <c r="A256" s="28" t="s">
        <v>303</v>
      </c>
      <c r="B256" s="28"/>
      <c r="C256" s="28"/>
      <c r="D256" s="28"/>
      <c r="E256" s="28"/>
      <c r="F256" s="28"/>
      <c r="G256" s="28"/>
      <c r="H256" s="28"/>
      <c r="I256" s="28"/>
      <c r="J256" s="28"/>
      <c r="K256" s="28"/>
      <c r="L256" s="28"/>
      <c r="M256" s="28"/>
      <c r="N256" s="28"/>
      <c r="O256" s="28"/>
      <c r="P256" s="28"/>
      <c r="Q256" s="28"/>
      <c r="R256" s="28"/>
      <c r="S256" s="28"/>
      <c r="T256" s="28"/>
    </row>
    <row r="257" customFormat="false" ht="15" hidden="false" customHeight="true" outlineLevel="0" collapsed="false">
      <c r="A257" s="12" t="s">
        <v>330</v>
      </c>
      <c r="B257" s="12" t="s">
        <v>331</v>
      </c>
      <c r="C257" s="12" t="s">
        <v>332</v>
      </c>
      <c r="D257" s="12" t="s">
        <v>333</v>
      </c>
      <c r="E257" s="37" t="n">
        <v>1</v>
      </c>
      <c r="F257" s="37" t="n">
        <v>2</v>
      </c>
      <c r="G257" s="37" t="n">
        <v>3</v>
      </c>
      <c r="H257" s="37" t="n">
        <v>4</v>
      </c>
      <c r="I257" s="37" t="n">
        <v>5</v>
      </c>
      <c r="J257" s="37" t="n">
        <v>6</v>
      </c>
      <c r="K257" s="37" t="n">
        <v>7</v>
      </c>
      <c r="L257" s="37" t="n">
        <v>8</v>
      </c>
      <c r="M257" s="37" t="n">
        <v>9</v>
      </c>
      <c r="N257" s="37" t="n">
        <v>10</v>
      </c>
      <c r="O257" s="37" t="n">
        <v>11</v>
      </c>
      <c r="P257" s="37" t="n">
        <v>12</v>
      </c>
      <c r="Q257" s="37" t="n">
        <v>13</v>
      </c>
      <c r="R257" s="37" t="n">
        <v>14</v>
      </c>
      <c r="S257" s="37" t="n">
        <v>15</v>
      </c>
      <c r="T257" s="37" t="n">
        <v>16</v>
      </c>
    </row>
    <row r="258" customFormat="false" ht="15" hidden="false" customHeight="true" outlineLevel="0" collapsed="false">
      <c r="A258" s="42" t="s">
        <v>114</v>
      </c>
      <c r="B258" s="31" t="n">
        <v>2</v>
      </c>
      <c r="C258" s="43" t="s">
        <v>338</v>
      </c>
      <c r="D258" s="31" t="n">
        <v>53</v>
      </c>
      <c r="E258" s="40" t="n">
        <v>1</v>
      </c>
      <c r="F258" s="40" t="n">
        <v>0.754716981132076</v>
      </c>
      <c r="G258" s="40" t="n">
        <v>0.69811320754717</v>
      </c>
      <c r="H258" s="40" t="n">
        <v>0.69811320754717</v>
      </c>
      <c r="I258" s="40" t="n">
        <v>0.660377358490566</v>
      </c>
      <c r="J258" s="40" t="n">
        <v>0.0943396226415094</v>
      </c>
      <c r="K258" s="40" t="n">
        <v>0.0943396226415094</v>
      </c>
      <c r="L258" s="40" t="n">
        <v>0.0943396226415094</v>
      </c>
      <c r="M258" s="40" t="n">
        <v>0.0377358490566038</v>
      </c>
      <c r="N258" s="40" t="n">
        <v>0.0188679245283019</v>
      </c>
      <c r="O258" s="40" t="n">
        <v>0.0377358490566038</v>
      </c>
      <c r="P258" s="40" t="n">
        <v>0</v>
      </c>
      <c r="Q258" s="40" t="n">
        <v>0</v>
      </c>
      <c r="R258" s="40" t="n">
        <v>0</v>
      </c>
      <c r="S258" s="40" t="n">
        <v>0</v>
      </c>
      <c r="T258" s="40" t="n">
        <v>0</v>
      </c>
    </row>
    <row r="259" customFormat="false" ht="15" hidden="false" customHeight="true" outlineLevel="0" collapsed="false">
      <c r="A259" s="42" t="s">
        <v>115</v>
      </c>
      <c r="B259" s="31" t="n">
        <v>3</v>
      </c>
      <c r="C259" s="43" t="s">
        <v>338</v>
      </c>
      <c r="D259" s="31" t="n">
        <v>44</v>
      </c>
      <c r="E259" s="40" t="n">
        <v>1</v>
      </c>
      <c r="F259" s="40" t="n">
        <v>0.863636363636364</v>
      </c>
      <c r="G259" s="40" t="n">
        <v>0.863636363636364</v>
      </c>
      <c r="H259" s="40" t="n">
        <v>0.840909090909091</v>
      </c>
      <c r="I259" s="40" t="n">
        <v>0.818181818181818</v>
      </c>
      <c r="J259" s="40" t="n">
        <v>0.181818181818182</v>
      </c>
      <c r="K259" s="40" t="n">
        <v>0.136363636363636</v>
      </c>
      <c r="L259" s="40" t="n">
        <v>0.0681818181818182</v>
      </c>
      <c r="M259" s="40" t="n">
        <v>0</v>
      </c>
      <c r="N259" s="40" t="n">
        <v>0.0454545454545455</v>
      </c>
      <c r="O259" s="40" t="n">
        <v>0.0227272727272727</v>
      </c>
      <c r="P259" s="40" t="n">
        <v>0.0227272727272727</v>
      </c>
      <c r="Q259" s="40" t="n">
        <v>0</v>
      </c>
      <c r="R259" s="40" t="n">
        <v>0</v>
      </c>
      <c r="S259" s="40" t="n">
        <v>0</v>
      </c>
      <c r="T259" s="40" t="n">
        <v>0</v>
      </c>
    </row>
    <row r="260" customFormat="false" ht="15" hidden="false" customHeight="true" outlineLevel="0" collapsed="false">
      <c r="A260" s="42" t="s">
        <v>116</v>
      </c>
      <c r="B260" s="31" t="n">
        <v>4</v>
      </c>
      <c r="C260" s="43" t="s">
        <v>338</v>
      </c>
      <c r="D260" s="31" t="n">
        <v>2</v>
      </c>
      <c r="E260" s="40" t="n">
        <v>1</v>
      </c>
      <c r="F260" s="40" t="n">
        <v>1</v>
      </c>
      <c r="G260" s="40" t="n">
        <v>0.5</v>
      </c>
      <c r="H260" s="40" t="n">
        <v>0</v>
      </c>
      <c r="I260" s="40" t="n">
        <v>0</v>
      </c>
      <c r="J260" s="40" t="n">
        <v>0</v>
      </c>
      <c r="K260" s="40" t="n">
        <v>0</v>
      </c>
      <c r="L260" s="40" t="n">
        <v>0</v>
      </c>
      <c r="M260" s="40" t="n">
        <v>0</v>
      </c>
      <c r="N260" s="40" t="n">
        <v>0</v>
      </c>
      <c r="O260" s="40" t="n">
        <v>0.5</v>
      </c>
      <c r="P260" s="40" t="n">
        <v>0.5</v>
      </c>
      <c r="Q260" s="40" t="n">
        <v>0</v>
      </c>
      <c r="R260" s="40" t="n">
        <v>0.5</v>
      </c>
      <c r="S260" s="40" t="n">
        <v>0</v>
      </c>
      <c r="T260" s="40" t="n">
        <v>0</v>
      </c>
    </row>
    <row r="261" customFormat="false" ht="15" hidden="false" customHeight="true" outlineLevel="0" collapsed="false">
      <c r="A261" s="42" t="s">
        <v>117</v>
      </c>
      <c r="B261" s="31" t="n">
        <v>5</v>
      </c>
      <c r="C261" s="43" t="s">
        <v>338</v>
      </c>
      <c r="D261" s="31" t="n">
        <v>38</v>
      </c>
      <c r="E261" s="40" t="n">
        <v>1</v>
      </c>
      <c r="F261" s="40" t="n">
        <v>0.815789473684211</v>
      </c>
      <c r="G261" s="40" t="n">
        <v>0.657894736842105</v>
      </c>
      <c r="H261" s="40" t="n">
        <v>0.763157894736842</v>
      </c>
      <c r="I261" s="40" t="n">
        <v>0.789473684210526</v>
      </c>
      <c r="J261" s="40" t="n">
        <v>0.131578947368421</v>
      </c>
      <c r="K261" s="40" t="n">
        <v>0.157894736842105</v>
      </c>
      <c r="L261" s="40" t="n">
        <v>0.131578947368421</v>
      </c>
      <c r="M261" s="40" t="n">
        <v>0.0789473684210526</v>
      </c>
      <c r="N261" s="40" t="n">
        <v>0.0526315789473684</v>
      </c>
      <c r="O261" s="40" t="n">
        <v>0.0526315789473684</v>
      </c>
      <c r="P261" s="40" t="n">
        <v>0</v>
      </c>
      <c r="Q261" s="40" t="n">
        <v>0.0263157894736842</v>
      </c>
      <c r="R261" s="40" t="n">
        <v>0</v>
      </c>
      <c r="S261" s="40" t="n">
        <v>0</v>
      </c>
      <c r="T261" s="40" t="n">
        <v>0.0263157894736842</v>
      </c>
    </row>
    <row r="262" customFormat="false" ht="15" hidden="false" customHeight="true" outlineLevel="0" collapsed="false">
      <c r="A262" s="42" t="s">
        <v>118</v>
      </c>
      <c r="B262" s="31" t="n">
        <v>6</v>
      </c>
      <c r="C262" s="43" t="s">
        <v>338</v>
      </c>
      <c r="D262" s="31" t="n">
        <v>18</v>
      </c>
      <c r="E262" s="40" t="n">
        <v>1</v>
      </c>
      <c r="F262" s="40" t="n">
        <v>0.777777777777778</v>
      </c>
      <c r="G262" s="40" t="n">
        <v>0.666666666666667</v>
      </c>
      <c r="H262" s="40" t="n">
        <v>0.666666666666667</v>
      </c>
      <c r="I262" s="40" t="n">
        <v>0.666666666666667</v>
      </c>
      <c r="J262" s="40" t="n">
        <v>0.166666666666667</v>
      </c>
      <c r="K262" s="40" t="n">
        <v>0.222222222222222</v>
      </c>
      <c r="L262" s="40" t="n">
        <v>0.111111111111111</v>
      </c>
      <c r="M262" s="40" t="n">
        <v>0.111111111111111</v>
      </c>
      <c r="N262" s="40" t="n">
        <v>0.0555555555555556</v>
      </c>
      <c r="O262" s="40" t="n">
        <v>0.111111111111111</v>
      </c>
      <c r="P262" s="40" t="n">
        <v>0</v>
      </c>
      <c r="Q262" s="40" t="n">
        <v>0</v>
      </c>
      <c r="R262" s="40" t="n">
        <v>0</v>
      </c>
      <c r="S262" s="40" t="n">
        <v>0</v>
      </c>
      <c r="T262" s="32"/>
    </row>
    <row r="263" customFormat="false" ht="15" hidden="false" customHeight="true" outlineLevel="0" collapsed="false">
      <c r="A263" s="42" t="s">
        <v>119</v>
      </c>
      <c r="B263" s="31" t="n">
        <v>7</v>
      </c>
      <c r="C263" s="43" t="s">
        <v>338</v>
      </c>
      <c r="D263" s="31" t="n">
        <v>4</v>
      </c>
      <c r="E263" s="40" t="n">
        <v>1</v>
      </c>
      <c r="F263" s="40" t="n">
        <v>0.75</v>
      </c>
      <c r="G263" s="40" t="n">
        <v>0.75</v>
      </c>
      <c r="H263" s="40" t="n">
        <v>0</v>
      </c>
      <c r="I263" s="40" t="n">
        <v>0.75</v>
      </c>
      <c r="J263" s="40" t="n">
        <v>0.75</v>
      </c>
      <c r="K263" s="40" t="n">
        <v>0</v>
      </c>
      <c r="L263" s="40" t="n">
        <v>0</v>
      </c>
      <c r="M263" s="40" t="n">
        <v>0.25</v>
      </c>
      <c r="N263" s="40" t="n">
        <v>0</v>
      </c>
      <c r="O263" s="40" t="n">
        <v>0</v>
      </c>
      <c r="P263" s="40" t="n">
        <v>0</v>
      </c>
      <c r="Q263" s="40" t="n">
        <v>0</v>
      </c>
      <c r="R263" s="40" t="n">
        <v>0</v>
      </c>
      <c r="S263" s="32"/>
      <c r="T263" s="32"/>
    </row>
    <row r="264" customFormat="false" ht="15" hidden="false" customHeight="true" outlineLevel="0" collapsed="false">
      <c r="A264" s="42" t="s">
        <v>120</v>
      </c>
      <c r="B264" s="31" t="n">
        <v>8</v>
      </c>
      <c r="C264" s="43" t="s">
        <v>338</v>
      </c>
      <c r="D264" s="31" t="n">
        <v>19</v>
      </c>
      <c r="E264" s="40" t="n">
        <v>1</v>
      </c>
      <c r="F264" s="40" t="n">
        <v>0.736842105263158</v>
      </c>
      <c r="G264" s="40" t="n">
        <v>0.526315789473684</v>
      </c>
      <c r="H264" s="40" t="n">
        <v>0.631578947368421</v>
      </c>
      <c r="I264" s="40" t="n">
        <v>0.631578947368421</v>
      </c>
      <c r="J264" s="40" t="n">
        <v>0.157894736842105</v>
      </c>
      <c r="K264" s="40" t="n">
        <v>0.105263157894737</v>
      </c>
      <c r="L264" s="40" t="n">
        <v>0.0526315789473684</v>
      </c>
      <c r="M264" s="40" t="n">
        <v>0</v>
      </c>
      <c r="N264" s="40" t="n">
        <v>0.0526315789473684</v>
      </c>
      <c r="O264" s="40" t="n">
        <v>0.0526315789473684</v>
      </c>
      <c r="P264" s="40" t="n">
        <v>0</v>
      </c>
      <c r="Q264" s="40" t="n">
        <v>0</v>
      </c>
      <c r="R264" s="32"/>
      <c r="S264" s="32"/>
      <c r="T264" s="32"/>
    </row>
    <row r="265" customFormat="false" ht="15" hidden="false" customHeight="true" outlineLevel="0" collapsed="false">
      <c r="A265" s="42" t="s">
        <v>121</v>
      </c>
      <c r="B265" s="31" t="n">
        <v>9</v>
      </c>
      <c r="C265" s="43" t="s">
        <v>338</v>
      </c>
      <c r="D265" s="31" t="n">
        <v>21</v>
      </c>
      <c r="E265" s="40" t="n">
        <v>1</v>
      </c>
      <c r="F265" s="40" t="n">
        <v>0.571428571428571</v>
      </c>
      <c r="G265" s="40" t="n">
        <v>0.761904761904762</v>
      </c>
      <c r="H265" s="40" t="n">
        <v>0.761904761904762</v>
      </c>
      <c r="I265" s="40" t="n">
        <v>0.571428571428571</v>
      </c>
      <c r="J265" s="40" t="n">
        <v>0.285714285714286</v>
      </c>
      <c r="K265" s="40" t="n">
        <v>0.333333333333333</v>
      </c>
      <c r="L265" s="40" t="n">
        <v>0.190476190476191</v>
      </c>
      <c r="M265" s="40" t="n">
        <v>0.0476190476190476</v>
      </c>
      <c r="N265" s="40" t="n">
        <v>0</v>
      </c>
      <c r="O265" s="40" t="n">
        <v>0</v>
      </c>
      <c r="P265" s="40" t="n">
        <v>0</v>
      </c>
      <c r="Q265" s="32"/>
      <c r="R265" s="32"/>
      <c r="S265" s="32"/>
      <c r="T265" s="32"/>
    </row>
    <row r="266" customFormat="false" ht="15" hidden="false" customHeight="true" outlineLevel="0" collapsed="false">
      <c r="A266" s="42" t="s">
        <v>122</v>
      </c>
      <c r="B266" s="31" t="n">
        <v>10</v>
      </c>
      <c r="C266" s="43" t="s">
        <v>338</v>
      </c>
      <c r="D266" s="31" t="n">
        <v>7</v>
      </c>
      <c r="E266" s="40" t="n">
        <v>1</v>
      </c>
      <c r="F266" s="40" t="n">
        <v>0.857142857142857</v>
      </c>
      <c r="G266" s="40" t="n">
        <v>0.857142857142857</v>
      </c>
      <c r="H266" s="40" t="n">
        <v>0.142857142857143</v>
      </c>
      <c r="I266" s="40" t="n">
        <v>0.714285714285714</v>
      </c>
      <c r="J266" s="40" t="n">
        <v>0.714285714285714</v>
      </c>
      <c r="K266" s="40" t="n">
        <v>0</v>
      </c>
      <c r="L266" s="40" t="n">
        <v>0</v>
      </c>
      <c r="M266" s="40" t="n">
        <v>0.142857142857143</v>
      </c>
      <c r="N266" s="40" t="n">
        <v>0</v>
      </c>
      <c r="O266" s="40" t="n">
        <v>0</v>
      </c>
      <c r="P266" s="32"/>
      <c r="Q266" s="32"/>
      <c r="R266" s="32"/>
      <c r="S266" s="32"/>
      <c r="T266" s="32"/>
    </row>
    <row r="267" customFormat="false" ht="15" hidden="false" customHeight="true" outlineLevel="0" collapsed="false">
      <c r="A267" s="42" t="s">
        <v>123</v>
      </c>
      <c r="B267" s="31" t="n">
        <v>11</v>
      </c>
      <c r="C267" s="43" t="s">
        <v>338</v>
      </c>
      <c r="D267" s="31" t="n">
        <v>28</v>
      </c>
      <c r="E267" s="40" t="n">
        <v>1</v>
      </c>
      <c r="F267" s="40" t="n">
        <v>0.928571428571429</v>
      </c>
      <c r="G267" s="40" t="n">
        <v>0.75</v>
      </c>
      <c r="H267" s="40" t="n">
        <v>0.785714285714286</v>
      </c>
      <c r="I267" s="40" t="n">
        <v>0.785714285714286</v>
      </c>
      <c r="J267" s="40" t="n">
        <v>0.214285714285714</v>
      </c>
      <c r="K267" s="40" t="n">
        <v>0.285714285714286</v>
      </c>
      <c r="L267" s="40" t="n">
        <v>0.25</v>
      </c>
      <c r="M267" s="40" t="n">
        <v>0.0357142857142857</v>
      </c>
      <c r="N267" s="40" t="n">
        <v>0.142857142857143</v>
      </c>
      <c r="O267" s="32"/>
      <c r="P267" s="32"/>
      <c r="Q267" s="32"/>
      <c r="R267" s="32"/>
      <c r="S267" s="32"/>
      <c r="T267" s="32"/>
    </row>
    <row r="268" customFormat="false" ht="15" hidden="false" customHeight="true" outlineLevel="0" collapsed="false">
      <c r="A268" s="42" t="s">
        <v>124</v>
      </c>
      <c r="B268" s="31" t="n">
        <v>12</v>
      </c>
      <c r="C268" s="43" t="s">
        <v>338</v>
      </c>
      <c r="D268" s="31" t="n">
        <v>20</v>
      </c>
      <c r="E268" s="40" t="n">
        <v>1</v>
      </c>
      <c r="F268" s="40" t="n">
        <v>0.75</v>
      </c>
      <c r="G268" s="40" t="n">
        <v>0.75</v>
      </c>
      <c r="H268" s="40" t="n">
        <v>0.75</v>
      </c>
      <c r="I268" s="40" t="n">
        <v>0.8</v>
      </c>
      <c r="J268" s="40" t="n">
        <v>0.2</v>
      </c>
      <c r="K268" s="40" t="n">
        <v>0.15</v>
      </c>
      <c r="L268" s="40" t="n">
        <v>0.2</v>
      </c>
      <c r="M268" s="40" t="n">
        <v>0.05</v>
      </c>
      <c r="N268" s="32"/>
      <c r="O268" s="32"/>
      <c r="P268" s="32"/>
      <c r="Q268" s="32"/>
      <c r="R268" s="32"/>
      <c r="S268" s="32"/>
      <c r="T268" s="32"/>
    </row>
    <row r="269" customFormat="false" ht="15" hidden="false" customHeight="true" outlineLevel="0" collapsed="false">
      <c r="A269" s="38" t="s">
        <v>126</v>
      </c>
      <c r="B269" s="31" t="n">
        <v>14</v>
      </c>
      <c r="C269" s="39" t="s">
        <v>334</v>
      </c>
      <c r="D269" s="31" t="n">
        <v>33</v>
      </c>
      <c r="E269" s="40" t="n">
        <v>1</v>
      </c>
      <c r="F269" s="40" t="n">
        <v>0.818181818181818</v>
      </c>
      <c r="G269" s="40" t="n">
        <v>0.636363636363636</v>
      </c>
      <c r="H269" s="40" t="n">
        <v>0.727272727272727</v>
      </c>
      <c r="I269" s="40" t="n">
        <v>0.696969696969697</v>
      </c>
      <c r="J269" s="40" t="n">
        <v>0.121212121212121</v>
      </c>
      <c r="K269" s="40" t="n">
        <v>0.121212121212121</v>
      </c>
      <c r="L269" s="32"/>
      <c r="M269" s="32"/>
      <c r="N269" s="32"/>
      <c r="O269" s="32"/>
      <c r="P269" s="32"/>
      <c r="Q269" s="32"/>
      <c r="R269" s="32"/>
      <c r="S269" s="32"/>
      <c r="T269" s="32"/>
    </row>
    <row r="270" customFormat="false" ht="15" hidden="false" customHeight="true" outlineLevel="0" collapsed="false">
      <c r="A270" s="38" t="s">
        <v>127</v>
      </c>
      <c r="B270" s="31" t="n">
        <v>15</v>
      </c>
      <c r="C270" s="39" t="s">
        <v>334</v>
      </c>
      <c r="D270" s="31" t="n">
        <v>22</v>
      </c>
      <c r="E270" s="40" t="n">
        <v>1</v>
      </c>
      <c r="F270" s="40" t="n">
        <v>0.818181818181818</v>
      </c>
      <c r="G270" s="40" t="n">
        <v>0.818181818181818</v>
      </c>
      <c r="H270" s="40" t="n">
        <v>0.818181818181818</v>
      </c>
      <c r="I270" s="40" t="n">
        <v>0.681818181818182</v>
      </c>
      <c r="J270" s="40" t="n">
        <v>0.227272727272727</v>
      </c>
      <c r="K270" s="32"/>
      <c r="L270" s="32"/>
      <c r="M270" s="32"/>
      <c r="N270" s="32"/>
      <c r="O270" s="32"/>
      <c r="P270" s="32"/>
      <c r="Q270" s="32"/>
      <c r="R270" s="32"/>
      <c r="S270" s="32"/>
      <c r="T270" s="32"/>
    </row>
    <row r="271" customFormat="false" ht="15" hidden="false" customHeight="true" outlineLevel="0" collapsed="false">
      <c r="A271" s="38" t="s">
        <v>129</v>
      </c>
      <c r="B271" s="31" t="n">
        <v>17</v>
      </c>
      <c r="C271" s="39" t="s">
        <v>334</v>
      </c>
      <c r="D271" s="31" t="n">
        <v>39</v>
      </c>
      <c r="E271" s="40" t="n">
        <v>1</v>
      </c>
      <c r="F271" s="40" t="n">
        <v>0.948717948717949</v>
      </c>
      <c r="G271" s="40" t="n">
        <v>0.794871794871795</v>
      </c>
      <c r="H271" s="40" t="n">
        <v>0.846153846153846</v>
      </c>
      <c r="I271" s="32"/>
      <c r="J271" s="32"/>
      <c r="K271" s="32"/>
      <c r="L271" s="32"/>
      <c r="M271" s="32"/>
      <c r="N271" s="32"/>
      <c r="O271" s="32"/>
      <c r="P271" s="32"/>
      <c r="Q271" s="32"/>
      <c r="R271" s="32"/>
      <c r="S271" s="32"/>
      <c r="T271" s="32"/>
    </row>
    <row r="272" customFormat="false" ht="15" hidden="false" customHeight="true" outlineLevel="0" collapsed="false">
      <c r="A272" s="38" t="s">
        <v>130</v>
      </c>
      <c r="B272" s="31" t="n">
        <v>18</v>
      </c>
      <c r="C272" s="39" t="s">
        <v>334</v>
      </c>
      <c r="D272" s="31" t="n">
        <v>18</v>
      </c>
      <c r="E272" s="40" t="n">
        <v>1</v>
      </c>
      <c r="F272" s="40" t="n">
        <v>0.888888888888889</v>
      </c>
      <c r="G272" s="40" t="n">
        <v>0.777777777777778</v>
      </c>
      <c r="H272" s="32"/>
      <c r="I272" s="32"/>
      <c r="J272" s="32"/>
      <c r="K272" s="32"/>
      <c r="L272" s="32"/>
      <c r="M272" s="32"/>
      <c r="N272" s="32"/>
      <c r="O272" s="32"/>
      <c r="P272" s="32"/>
      <c r="Q272" s="32"/>
      <c r="R272" s="32"/>
      <c r="S272" s="32"/>
      <c r="T272" s="32"/>
    </row>
    <row r="273" customFormat="false" ht="15" hidden="false" customHeight="true" outlineLevel="0" collapsed="false">
      <c r="A273" s="38" t="s">
        <v>132</v>
      </c>
      <c r="B273" s="31" t="n">
        <v>20</v>
      </c>
      <c r="C273" s="39" t="s">
        <v>334</v>
      </c>
      <c r="D273" s="31" t="n">
        <v>32</v>
      </c>
      <c r="E273" s="40" t="n">
        <v>1</v>
      </c>
      <c r="F273" s="32"/>
      <c r="G273" s="32"/>
      <c r="H273" s="32"/>
      <c r="I273" s="32"/>
      <c r="J273" s="32"/>
      <c r="K273" s="32"/>
      <c r="L273" s="32"/>
      <c r="M273" s="32"/>
      <c r="N273" s="32"/>
      <c r="O273" s="32"/>
      <c r="P273" s="32"/>
      <c r="Q273" s="32"/>
      <c r="R273" s="32"/>
      <c r="S273" s="32"/>
      <c r="T273" s="32"/>
    </row>
    <row r="274" customFormat="false" ht="15" hidden="false" customHeight="true" outlineLevel="0" collapsed="false">
      <c r="A274" s="34" t="s">
        <v>335</v>
      </c>
      <c r="B274" s="36"/>
      <c r="C274" s="36"/>
      <c r="D274" s="36"/>
      <c r="E274" s="44" t="n">
        <v>1</v>
      </c>
      <c r="F274" s="44" t="n">
        <v>0.791338582677165</v>
      </c>
      <c r="G274" s="44" t="n">
        <v>0.724409448818898</v>
      </c>
      <c r="H274" s="44" t="n">
        <v>0.71259842519685</v>
      </c>
      <c r="I274" s="44" t="n">
        <v>0.720472440944882</v>
      </c>
      <c r="J274" s="44" t="n">
        <v>0.188976377952756</v>
      </c>
      <c r="K274" s="44" t="n">
        <v>0.161417322834646</v>
      </c>
      <c r="L274" s="44" t="n">
        <v>0.122047244094488</v>
      </c>
      <c r="M274" s="44" t="n">
        <v>0.047244094488189</v>
      </c>
      <c r="N274" s="44" t="n">
        <v>0.0433070866141732</v>
      </c>
      <c r="O274" s="44" t="n">
        <v>0.0354330708661417</v>
      </c>
      <c r="P274" s="44" t="n">
        <v>0.0078740157480315</v>
      </c>
      <c r="Q274" s="44" t="n">
        <v>0.00393700787401575</v>
      </c>
      <c r="R274" s="44" t="n">
        <v>0.00393700787401575</v>
      </c>
      <c r="S274" s="44" t="n">
        <v>0</v>
      </c>
      <c r="T274" s="44" t="n">
        <v>0.00393700787401575</v>
      </c>
    </row>
    <row r="275" customFormat="false" ht="15" hidden="false" customHeight="true" outlineLevel="0" collapsed="false">
      <c r="A275" s="34" t="s">
        <v>336</v>
      </c>
      <c r="B275" s="36"/>
      <c r="C275" s="36"/>
      <c r="D275" s="36"/>
      <c r="E275" s="44" t="n">
        <v>1</v>
      </c>
      <c r="F275" s="44" t="n">
        <v>0.800536868966949</v>
      </c>
      <c r="G275" s="44" t="n">
        <v>0.70742494392851</v>
      </c>
      <c r="H275" s="44" t="n">
        <v>0.549172908882217</v>
      </c>
      <c r="I275" s="44" t="n">
        <v>0.653427913304234</v>
      </c>
      <c r="J275" s="44" t="n">
        <v>0.263325806329327</v>
      </c>
      <c r="K275" s="44" t="n">
        <v>0.135011908637439</v>
      </c>
      <c r="L275" s="44" t="n">
        <v>0.0998472062478562</v>
      </c>
      <c r="M275" s="44" t="n">
        <v>0.0685440731617494</v>
      </c>
      <c r="N275" s="44" t="n">
        <v>0.0367998326290283</v>
      </c>
      <c r="O275" s="44" t="n">
        <v>0.0863152656433027</v>
      </c>
      <c r="P275" s="44" t="n">
        <v>0.0653409090909091</v>
      </c>
      <c r="Q275" s="44" t="n">
        <v>0.0037593984962406</v>
      </c>
      <c r="R275" s="44" t="n">
        <v>0.0833333333333333</v>
      </c>
      <c r="S275" s="44" t="n">
        <v>0</v>
      </c>
      <c r="T275" s="44" t="n">
        <v>0.00657894736842105</v>
      </c>
    </row>
    <row r="276" customFormat="false" ht="15" hidden="false" customHeight="true" outlineLevel="0" collapsed="false">
      <c r="A276" s="45" t="s">
        <v>349</v>
      </c>
      <c r="B276" s="45"/>
      <c r="C276" s="45"/>
      <c r="D276" s="45"/>
      <c r="E276" s="45"/>
      <c r="F276" s="45"/>
      <c r="G276" s="45"/>
      <c r="H276" s="45"/>
      <c r="I276" s="45"/>
      <c r="J276" s="45"/>
      <c r="K276" s="45"/>
      <c r="L276" s="45"/>
      <c r="M276" s="45"/>
      <c r="N276" s="45"/>
      <c r="O276" s="45"/>
      <c r="P276" s="45"/>
      <c r="Q276" s="45"/>
      <c r="R276" s="45"/>
      <c r="S276" s="45"/>
      <c r="T276" s="45"/>
    </row>
    <row r="278" customFormat="false" ht="15" hidden="false" customHeight="true" outlineLevel="0" collapsed="false">
      <c r="A278" s="28" t="s">
        <v>304</v>
      </c>
      <c r="B278" s="28"/>
      <c r="C278" s="28"/>
      <c r="D278" s="28"/>
      <c r="E278" s="28"/>
      <c r="F278" s="28"/>
      <c r="G278" s="28"/>
      <c r="H278" s="28"/>
      <c r="I278" s="28"/>
      <c r="J278" s="28"/>
      <c r="K278" s="28"/>
      <c r="L278" s="28"/>
      <c r="M278" s="28"/>
      <c r="N278" s="28"/>
      <c r="O278" s="28"/>
      <c r="P278" s="28"/>
      <c r="Q278" s="28"/>
    </row>
    <row r="279" customFormat="false" ht="15" hidden="false" customHeight="true" outlineLevel="0" collapsed="false">
      <c r="A279" s="12" t="s">
        <v>330</v>
      </c>
      <c r="B279" s="12" t="s">
        <v>331</v>
      </c>
      <c r="C279" s="12" t="s">
        <v>332</v>
      </c>
      <c r="D279" s="12" t="s">
        <v>333</v>
      </c>
      <c r="E279" s="37" t="n">
        <v>1</v>
      </c>
      <c r="F279" s="37" t="n">
        <v>2</v>
      </c>
      <c r="G279" s="37" t="n">
        <v>3</v>
      </c>
      <c r="H279" s="37" t="n">
        <v>4</v>
      </c>
      <c r="I279" s="37" t="n">
        <v>5</v>
      </c>
      <c r="J279" s="37" t="n">
        <v>6</v>
      </c>
      <c r="K279" s="37" t="n">
        <v>7</v>
      </c>
      <c r="L279" s="37" t="n">
        <v>8</v>
      </c>
      <c r="M279" s="37" t="n">
        <v>9</v>
      </c>
      <c r="N279" s="37" t="n">
        <v>10</v>
      </c>
      <c r="O279" s="37" t="n">
        <v>11</v>
      </c>
      <c r="P279" s="37" t="n">
        <v>12</v>
      </c>
      <c r="Q279" s="37" t="n">
        <v>13</v>
      </c>
    </row>
    <row r="280" customFormat="false" ht="15" hidden="false" customHeight="true" outlineLevel="0" collapsed="false">
      <c r="A280" s="42" t="s">
        <v>116</v>
      </c>
      <c r="B280" s="31" t="n">
        <v>4</v>
      </c>
      <c r="C280" s="43" t="s">
        <v>338</v>
      </c>
      <c r="D280" s="31" t="n">
        <v>10</v>
      </c>
      <c r="E280" s="40" t="n">
        <v>1</v>
      </c>
      <c r="F280" s="40" t="n">
        <v>1</v>
      </c>
      <c r="G280" s="40" t="n">
        <v>0.9</v>
      </c>
      <c r="H280" s="40" t="n">
        <v>0.8</v>
      </c>
      <c r="I280" s="40" t="n">
        <v>0.1</v>
      </c>
      <c r="J280" s="40" t="n">
        <v>0.1</v>
      </c>
      <c r="K280" s="40" t="n">
        <v>0.1</v>
      </c>
      <c r="L280" s="40" t="n">
        <v>0</v>
      </c>
      <c r="M280" s="40" t="n">
        <v>0</v>
      </c>
      <c r="N280" s="40" t="n">
        <v>0</v>
      </c>
      <c r="O280" s="40" t="n">
        <v>0</v>
      </c>
      <c r="P280" s="40" t="n">
        <v>0</v>
      </c>
      <c r="Q280" s="40" t="n">
        <v>0</v>
      </c>
    </row>
    <row r="281" customFormat="false" ht="15" hidden="false" customHeight="true" outlineLevel="0" collapsed="false">
      <c r="A281" s="42" t="s">
        <v>117</v>
      </c>
      <c r="B281" s="31" t="n">
        <v>5</v>
      </c>
      <c r="C281" s="43" t="s">
        <v>338</v>
      </c>
      <c r="D281" s="31" t="n">
        <v>12</v>
      </c>
      <c r="E281" s="40" t="n">
        <v>1</v>
      </c>
      <c r="F281" s="40" t="n">
        <v>0.75</v>
      </c>
      <c r="G281" s="40" t="n">
        <v>0.666666666666667</v>
      </c>
      <c r="H281" s="40" t="n">
        <v>0.666666666666667</v>
      </c>
      <c r="I281" s="40" t="n">
        <v>0.166666666666667</v>
      </c>
      <c r="J281" s="40" t="n">
        <v>0.166666666666667</v>
      </c>
      <c r="K281" s="40" t="n">
        <v>0.25</v>
      </c>
      <c r="L281" s="40" t="n">
        <v>0.0833333333333333</v>
      </c>
      <c r="M281" s="40" t="n">
        <v>0</v>
      </c>
      <c r="N281" s="40" t="n">
        <v>0</v>
      </c>
      <c r="O281" s="40" t="n">
        <v>0</v>
      </c>
      <c r="P281" s="40" t="n">
        <v>0</v>
      </c>
      <c r="Q281" s="40" t="n">
        <v>0</v>
      </c>
    </row>
    <row r="282" customFormat="false" ht="15" hidden="false" customHeight="true" outlineLevel="0" collapsed="false">
      <c r="A282" s="42" t="s">
        <v>118</v>
      </c>
      <c r="B282" s="31" t="n">
        <v>6</v>
      </c>
      <c r="C282" s="43" t="s">
        <v>338</v>
      </c>
      <c r="D282" s="31" t="n">
        <v>13</v>
      </c>
      <c r="E282" s="40" t="n">
        <v>1</v>
      </c>
      <c r="F282" s="40" t="n">
        <v>0.538461538461538</v>
      </c>
      <c r="G282" s="40" t="n">
        <v>0.615384615384615</v>
      </c>
      <c r="H282" s="40" t="n">
        <v>0.461538461538462</v>
      </c>
      <c r="I282" s="40" t="n">
        <v>0</v>
      </c>
      <c r="J282" s="40" t="n">
        <v>0</v>
      </c>
      <c r="K282" s="40" t="n">
        <v>0</v>
      </c>
      <c r="L282" s="40" t="n">
        <v>0</v>
      </c>
      <c r="M282" s="40" t="n">
        <v>0</v>
      </c>
      <c r="N282" s="40" t="n">
        <v>0</v>
      </c>
      <c r="O282" s="40" t="n">
        <v>0</v>
      </c>
      <c r="P282" s="40" t="n">
        <v>0</v>
      </c>
      <c r="Q282" s="40" t="n">
        <v>0</v>
      </c>
    </row>
    <row r="283" customFormat="false" ht="15" hidden="false" customHeight="true" outlineLevel="0" collapsed="false">
      <c r="A283" s="42" t="s">
        <v>120</v>
      </c>
      <c r="B283" s="31" t="n">
        <v>8</v>
      </c>
      <c r="C283" s="43" t="s">
        <v>338</v>
      </c>
      <c r="D283" s="31" t="n">
        <v>17</v>
      </c>
      <c r="E283" s="40" t="n">
        <v>1</v>
      </c>
      <c r="F283" s="40" t="n">
        <v>0.764705882352941</v>
      </c>
      <c r="G283" s="40" t="n">
        <v>0.705882352941177</v>
      </c>
      <c r="H283" s="40" t="n">
        <v>0.705882352941177</v>
      </c>
      <c r="I283" s="40" t="n">
        <v>0</v>
      </c>
      <c r="J283" s="40" t="n">
        <v>0</v>
      </c>
      <c r="K283" s="40" t="n">
        <v>0</v>
      </c>
      <c r="L283" s="40" t="n">
        <v>0</v>
      </c>
      <c r="M283" s="40" t="n">
        <v>0.0588235294117647</v>
      </c>
      <c r="N283" s="40" t="n">
        <v>0.0588235294117647</v>
      </c>
      <c r="O283" s="40" t="n">
        <v>0.117647058823529</v>
      </c>
      <c r="P283" s="40" t="n">
        <v>0</v>
      </c>
      <c r="Q283" s="40" t="n">
        <v>0.0588235294117647</v>
      </c>
    </row>
    <row r="284" customFormat="false" ht="15" hidden="false" customHeight="true" outlineLevel="0" collapsed="false">
      <c r="A284" s="42" t="s">
        <v>121</v>
      </c>
      <c r="B284" s="31" t="n">
        <v>9</v>
      </c>
      <c r="C284" s="43" t="s">
        <v>338</v>
      </c>
      <c r="D284" s="31" t="n">
        <v>9</v>
      </c>
      <c r="E284" s="40" t="n">
        <v>1</v>
      </c>
      <c r="F284" s="40" t="n">
        <v>0.555555555555556</v>
      </c>
      <c r="G284" s="40" t="n">
        <v>0.444444444444444</v>
      </c>
      <c r="H284" s="40" t="n">
        <v>0.444444444444444</v>
      </c>
      <c r="I284" s="40" t="n">
        <v>0</v>
      </c>
      <c r="J284" s="40" t="n">
        <v>0</v>
      </c>
      <c r="K284" s="40" t="n">
        <v>0.111111111111111</v>
      </c>
      <c r="L284" s="40" t="n">
        <v>0.111111111111111</v>
      </c>
      <c r="M284" s="40" t="n">
        <v>0.111111111111111</v>
      </c>
      <c r="N284" s="40" t="n">
        <v>0</v>
      </c>
      <c r="O284" s="40" t="n">
        <v>0</v>
      </c>
      <c r="P284" s="40" t="n">
        <v>0.111111111111111</v>
      </c>
      <c r="Q284" s="32"/>
    </row>
    <row r="285" customFormat="false" ht="15" hidden="false" customHeight="true" outlineLevel="0" collapsed="false">
      <c r="A285" s="42" t="s">
        <v>123</v>
      </c>
      <c r="B285" s="31" t="n">
        <v>11</v>
      </c>
      <c r="C285" s="43" t="s">
        <v>338</v>
      </c>
      <c r="D285" s="31" t="n">
        <v>15</v>
      </c>
      <c r="E285" s="40" t="n">
        <v>1</v>
      </c>
      <c r="F285" s="40" t="n">
        <v>0.866666666666667</v>
      </c>
      <c r="G285" s="40" t="n">
        <v>0.733333333333333</v>
      </c>
      <c r="H285" s="40" t="n">
        <v>0.8</v>
      </c>
      <c r="I285" s="40" t="n">
        <v>0.0666666666666667</v>
      </c>
      <c r="J285" s="40" t="n">
        <v>0.133333333333333</v>
      </c>
      <c r="K285" s="40" t="n">
        <v>0.0666666666666667</v>
      </c>
      <c r="L285" s="40" t="n">
        <v>0</v>
      </c>
      <c r="M285" s="40" t="n">
        <v>0</v>
      </c>
      <c r="N285" s="40" t="n">
        <v>0</v>
      </c>
      <c r="O285" s="32"/>
      <c r="P285" s="32"/>
      <c r="Q285" s="32"/>
    </row>
    <row r="286" customFormat="false" ht="15" hidden="false" customHeight="true" outlineLevel="0" collapsed="false">
      <c r="A286" s="42" t="s">
        <v>124</v>
      </c>
      <c r="B286" s="31" t="n">
        <v>12</v>
      </c>
      <c r="C286" s="43" t="s">
        <v>338</v>
      </c>
      <c r="D286" s="31" t="n">
        <v>6</v>
      </c>
      <c r="E286" s="40" t="n">
        <v>1</v>
      </c>
      <c r="F286" s="40" t="n">
        <v>1</v>
      </c>
      <c r="G286" s="40" t="n">
        <v>1</v>
      </c>
      <c r="H286" s="40" t="n">
        <v>1</v>
      </c>
      <c r="I286" s="40" t="n">
        <v>0</v>
      </c>
      <c r="J286" s="40" t="n">
        <v>0.166666666666667</v>
      </c>
      <c r="K286" s="40" t="n">
        <v>0</v>
      </c>
      <c r="L286" s="40" t="n">
        <v>0.166666666666667</v>
      </c>
      <c r="M286" s="40" t="n">
        <v>0.166666666666667</v>
      </c>
      <c r="N286" s="32"/>
      <c r="O286" s="32"/>
      <c r="P286" s="32"/>
      <c r="Q286" s="32"/>
    </row>
    <row r="287" customFormat="false" ht="15" hidden="false" customHeight="true" outlineLevel="0" collapsed="false">
      <c r="A287" s="38" t="s">
        <v>126</v>
      </c>
      <c r="B287" s="31" t="n">
        <v>14</v>
      </c>
      <c r="C287" s="39" t="s">
        <v>334</v>
      </c>
      <c r="D287" s="31" t="n">
        <v>9</v>
      </c>
      <c r="E287" s="40" t="n">
        <v>1</v>
      </c>
      <c r="F287" s="40" t="n">
        <v>0.888888888888889</v>
      </c>
      <c r="G287" s="40" t="n">
        <v>0.777777777777778</v>
      </c>
      <c r="H287" s="40" t="n">
        <v>0.888888888888889</v>
      </c>
      <c r="I287" s="40" t="n">
        <v>0.111111111111111</v>
      </c>
      <c r="J287" s="40" t="n">
        <v>0.222222222222222</v>
      </c>
      <c r="K287" s="40" t="n">
        <v>0</v>
      </c>
      <c r="L287" s="32"/>
      <c r="M287" s="32"/>
      <c r="N287" s="32"/>
      <c r="O287" s="32"/>
      <c r="P287" s="32"/>
      <c r="Q287" s="32"/>
    </row>
    <row r="288" customFormat="false" ht="15" hidden="false" customHeight="true" outlineLevel="0" collapsed="false">
      <c r="A288" s="38" t="s">
        <v>127</v>
      </c>
      <c r="B288" s="31" t="n">
        <v>15</v>
      </c>
      <c r="C288" s="39" t="s">
        <v>334</v>
      </c>
      <c r="D288" s="31" t="n">
        <v>8</v>
      </c>
      <c r="E288" s="40" t="n">
        <v>1</v>
      </c>
      <c r="F288" s="40" t="n">
        <v>0.75</v>
      </c>
      <c r="G288" s="40" t="n">
        <v>0.75</v>
      </c>
      <c r="H288" s="40" t="n">
        <v>0.625</v>
      </c>
      <c r="I288" s="40" t="n">
        <v>0.125</v>
      </c>
      <c r="J288" s="40" t="n">
        <v>0.125</v>
      </c>
      <c r="K288" s="32"/>
      <c r="L288" s="32"/>
      <c r="M288" s="32"/>
      <c r="N288" s="32"/>
      <c r="O288" s="32"/>
      <c r="P288" s="32"/>
      <c r="Q288" s="32"/>
    </row>
    <row r="289" customFormat="false" ht="15" hidden="false" customHeight="true" outlineLevel="0" collapsed="false">
      <c r="A289" s="38" t="s">
        <v>129</v>
      </c>
      <c r="B289" s="31" t="n">
        <v>17</v>
      </c>
      <c r="C289" s="39" t="s">
        <v>334</v>
      </c>
      <c r="D289" s="31" t="n">
        <v>9</v>
      </c>
      <c r="E289" s="40" t="n">
        <v>1</v>
      </c>
      <c r="F289" s="40" t="n">
        <v>0.888888888888889</v>
      </c>
      <c r="G289" s="40" t="n">
        <v>0.777777777777778</v>
      </c>
      <c r="H289" s="40" t="n">
        <v>0.888888888888889</v>
      </c>
      <c r="I289" s="32"/>
      <c r="J289" s="32"/>
      <c r="K289" s="32"/>
      <c r="L289" s="32"/>
      <c r="M289" s="32"/>
      <c r="N289" s="32"/>
      <c r="O289" s="32"/>
      <c r="P289" s="32"/>
      <c r="Q289" s="32"/>
    </row>
    <row r="290" customFormat="false" ht="15" hidden="false" customHeight="true" outlineLevel="0" collapsed="false">
      <c r="A290" s="38" t="s">
        <v>130</v>
      </c>
      <c r="B290" s="31" t="n">
        <v>18</v>
      </c>
      <c r="C290" s="39" t="s">
        <v>334</v>
      </c>
      <c r="D290" s="31" t="n">
        <v>7</v>
      </c>
      <c r="E290" s="40" t="n">
        <v>1</v>
      </c>
      <c r="F290" s="40" t="n">
        <v>0.714285714285714</v>
      </c>
      <c r="G290" s="40" t="n">
        <v>0.857142857142857</v>
      </c>
      <c r="H290" s="32"/>
      <c r="I290" s="32"/>
      <c r="J290" s="32"/>
      <c r="K290" s="32"/>
      <c r="L290" s="32"/>
      <c r="M290" s="32"/>
      <c r="N290" s="32"/>
      <c r="O290" s="32"/>
      <c r="P290" s="32"/>
      <c r="Q290" s="32"/>
    </row>
    <row r="291" customFormat="false" ht="15" hidden="false" customHeight="true" outlineLevel="0" collapsed="false">
      <c r="A291" s="38" t="s">
        <v>132</v>
      </c>
      <c r="B291" s="31" t="n">
        <v>20</v>
      </c>
      <c r="C291" s="39" t="s">
        <v>334</v>
      </c>
      <c r="D291" s="31" t="n">
        <v>18</v>
      </c>
      <c r="E291" s="40" t="n">
        <v>1</v>
      </c>
      <c r="F291" s="32"/>
      <c r="G291" s="32"/>
      <c r="H291" s="32"/>
      <c r="I291" s="32"/>
      <c r="J291" s="32"/>
      <c r="K291" s="32"/>
      <c r="L291" s="32"/>
      <c r="M291" s="32"/>
      <c r="N291" s="32"/>
      <c r="O291" s="32"/>
      <c r="P291" s="32"/>
      <c r="Q291" s="32"/>
    </row>
    <row r="292" customFormat="false" ht="15" hidden="false" customHeight="true" outlineLevel="0" collapsed="false">
      <c r="A292" s="34" t="s">
        <v>335</v>
      </c>
      <c r="B292" s="36"/>
      <c r="C292" s="36"/>
      <c r="D292" s="36"/>
      <c r="E292" s="44" t="n">
        <v>1</v>
      </c>
      <c r="F292" s="44" t="n">
        <v>0.768292682926829</v>
      </c>
      <c r="G292" s="44" t="n">
        <v>0.707317073170732</v>
      </c>
      <c r="H292" s="44" t="n">
        <v>0.682926829268293</v>
      </c>
      <c r="I292" s="44" t="n">
        <v>0.0487804878048781</v>
      </c>
      <c r="J292" s="44" t="n">
        <v>0.0731707317073171</v>
      </c>
      <c r="K292" s="44" t="n">
        <v>0.0731707317073171</v>
      </c>
      <c r="L292" s="44" t="n">
        <v>0.0365853658536585</v>
      </c>
      <c r="M292" s="44" t="n">
        <v>0.0365853658536585</v>
      </c>
      <c r="N292" s="44" t="n">
        <v>0.0121951219512195</v>
      </c>
      <c r="O292" s="44" t="n">
        <v>0.024390243902439</v>
      </c>
      <c r="P292" s="44" t="n">
        <v>0.0121951219512195</v>
      </c>
      <c r="Q292" s="44" t="n">
        <v>0.0121951219512195</v>
      </c>
    </row>
    <row r="293" customFormat="false" ht="15" hidden="false" customHeight="true" outlineLevel="0" collapsed="false">
      <c r="A293" s="34" t="s">
        <v>336</v>
      </c>
      <c r="B293" s="36"/>
      <c r="C293" s="36"/>
      <c r="D293" s="36"/>
      <c r="E293" s="44" t="n">
        <v>1</v>
      </c>
      <c r="F293" s="44" t="n">
        <v>0.782198520433814</v>
      </c>
      <c r="G293" s="44" t="n">
        <v>0.723673058967177</v>
      </c>
      <c r="H293" s="44" t="n">
        <v>0.69693313222725</v>
      </c>
      <c r="I293" s="44" t="n">
        <v>0.0476190476190476</v>
      </c>
      <c r="J293" s="44" t="n">
        <v>0.080952380952381</v>
      </c>
      <c r="K293" s="44" t="n">
        <v>0.0753968253968254</v>
      </c>
      <c r="L293" s="44" t="n">
        <v>0.0515873015873016</v>
      </c>
      <c r="M293" s="44" t="n">
        <v>0.0480859010270775</v>
      </c>
      <c r="N293" s="44" t="n">
        <v>0.00980392156862745</v>
      </c>
      <c r="O293" s="44" t="n">
        <v>0.0235294117647059</v>
      </c>
      <c r="P293" s="44" t="n">
        <v>0.0222222222222222</v>
      </c>
      <c r="Q293" s="44" t="n">
        <v>0.0147058823529412</v>
      </c>
    </row>
    <row r="294" customFormat="false" ht="15" hidden="false" customHeight="true" outlineLevel="0" collapsed="false">
      <c r="A294" s="45" t="s">
        <v>350</v>
      </c>
      <c r="B294" s="45"/>
      <c r="C294" s="45"/>
      <c r="D294" s="45"/>
      <c r="E294" s="45"/>
      <c r="F294" s="45"/>
      <c r="G294" s="45"/>
      <c r="H294" s="45"/>
      <c r="I294" s="45"/>
      <c r="J294" s="45"/>
      <c r="K294" s="45"/>
      <c r="L294" s="45"/>
      <c r="M294" s="45"/>
      <c r="N294" s="45"/>
      <c r="O294" s="45"/>
      <c r="P294" s="45"/>
      <c r="Q294" s="45"/>
    </row>
    <row r="296" customFormat="false" ht="15" hidden="false" customHeight="true" outlineLevel="0" collapsed="false">
      <c r="A296" s="28" t="s">
        <v>305</v>
      </c>
      <c r="B296" s="28"/>
      <c r="C296" s="28"/>
      <c r="D296" s="28"/>
      <c r="E296" s="28"/>
      <c r="F296" s="28"/>
      <c r="G296" s="28"/>
      <c r="H296" s="28"/>
    </row>
    <row r="297" customFormat="false" ht="15" hidden="false" customHeight="true" outlineLevel="0" collapsed="false">
      <c r="A297" s="12" t="s">
        <v>330</v>
      </c>
      <c r="B297" s="12" t="s">
        <v>331</v>
      </c>
      <c r="C297" s="12" t="s">
        <v>332</v>
      </c>
      <c r="D297" s="12" t="s">
        <v>333</v>
      </c>
      <c r="E297" s="37" t="n">
        <v>1</v>
      </c>
      <c r="F297" s="37" t="n">
        <v>2</v>
      </c>
      <c r="G297" s="37" t="n">
        <v>3</v>
      </c>
      <c r="H297" s="37" t="n">
        <v>4</v>
      </c>
    </row>
    <row r="298" customFormat="false" ht="15" hidden="false" customHeight="true" outlineLevel="0" collapsed="false">
      <c r="A298" s="38" t="s">
        <v>128</v>
      </c>
      <c r="B298" s="31" t="n">
        <v>16</v>
      </c>
      <c r="C298" s="39" t="s">
        <v>334</v>
      </c>
      <c r="D298" s="31" t="n">
        <v>1</v>
      </c>
      <c r="E298" s="40" t="n">
        <v>1</v>
      </c>
      <c r="F298" s="40" t="n">
        <v>1</v>
      </c>
      <c r="G298" s="40" t="n">
        <v>1</v>
      </c>
      <c r="H298" s="40" t="n">
        <v>1</v>
      </c>
    </row>
    <row r="299" customFormat="false" ht="15" hidden="false" customHeight="true" outlineLevel="0" collapsed="false">
      <c r="A299" s="38" t="s">
        <v>130</v>
      </c>
      <c r="B299" s="31" t="n">
        <v>18</v>
      </c>
      <c r="C299" s="39" t="s">
        <v>334</v>
      </c>
      <c r="D299" s="31" t="n">
        <v>4</v>
      </c>
      <c r="E299" s="40" t="n">
        <v>1</v>
      </c>
      <c r="F299" s="40" t="n">
        <v>0.5</v>
      </c>
      <c r="G299" s="40" t="n">
        <v>0.25</v>
      </c>
      <c r="H299" s="32"/>
    </row>
    <row r="300" customFormat="false" ht="15" hidden="false" customHeight="true" outlineLevel="0" collapsed="false">
      <c r="A300" s="38" t="s">
        <v>132</v>
      </c>
      <c r="B300" s="31" t="n">
        <v>20</v>
      </c>
      <c r="C300" s="39" t="s">
        <v>334</v>
      </c>
      <c r="D300" s="31" t="n">
        <v>16</v>
      </c>
      <c r="E300" s="40" t="n">
        <v>1</v>
      </c>
      <c r="F300" s="32"/>
      <c r="G300" s="32"/>
      <c r="H300" s="32"/>
    </row>
    <row r="301" customFormat="false" ht="15" hidden="false" customHeight="true" outlineLevel="0" collapsed="false">
      <c r="A301" s="34" t="s">
        <v>335</v>
      </c>
      <c r="B301" s="36"/>
      <c r="C301" s="36"/>
      <c r="D301" s="36"/>
      <c r="E301" s="36"/>
      <c r="F301" s="36"/>
      <c r="G301" s="36"/>
      <c r="H301" s="36"/>
    </row>
    <row r="302" customFormat="false" ht="15" hidden="false" customHeight="true" outlineLevel="0" collapsed="false">
      <c r="A302" s="34" t="s">
        <v>336</v>
      </c>
      <c r="B302" s="36"/>
      <c r="C302" s="36"/>
      <c r="D302" s="36"/>
      <c r="E302" s="36"/>
      <c r="F302" s="36"/>
      <c r="G302" s="36"/>
      <c r="H302" s="36"/>
    </row>
    <row r="303" customFormat="false" ht="15" hidden="false" customHeight="true" outlineLevel="0" collapsed="false">
      <c r="A303" s="41" t="s">
        <v>337</v>
      </c>
      <c r="B303" s="41"/>
      <c r="C303" s="41"/>
      <c r="D303" s="41"/>
      <c r="E303" s="41"/>
      <c r="F303" s="41"/>
      <c r="G303" s="41"/>
      <c r="H303" s="41"/>
    </row>
    <row r="305" customFormat="false" ht="15" hidden="false" customHeight="true" outlineLevel="0" collapsed="false">
      <c r="A305" s="28" t="s">
        <v>306</v>
      </c>
      <c r="B305" s="28"/>
      <c r="C305" s="28"/>
      <c r="D305" s="28"/>
      <c r="E305" s="28"/>
      <c r="F305" s="28"/>
      <c r="G305" s="28"/>
      <c r="H305" s="28"/>
      <c r="I305" s="28"/>
      <c r="J305" s="28"/>
      <c r="K305" s="28"/>
      <c r="L305" s="28"/>
      <c r="M305" s="28"/>
      <c r="N305" s="28"/>
      <c r="O305" s="28"/>
      <c r="P305" s="28"/>
      <c r="Q305" s="28"/>
    </row>
    <row r="306" customFormat="false" ht="15" hidden="false" customHeight="true" outlineLevel="0" collapsed="false">
      <c r="A306" s="12" t="s">
        <v>330</v>
      </c>
      <c r="B306" s="12" t="s">
        <v>331</v>
      </c>
      <c r="C306" s="12" t="s">
        <v>332</v>
      </c>
      <c r="D306" s="12" t="s">
        <v>333</v>
      </c>
      <c r="E306" s="37" t="n">
        <v>1</v>
      </c>
      <c r="F306" s="37" t="n">
        <v>2</v>
      </c>
      <c r="G306" s="37" t="n">
        <v>3</v>
      </c>
      <c r="H306" s="37" t="n">
        <v>4</v>
      </c>
      <c r="I306" s="37" t="n">
        <v>5</v>
      </c>
      <c r="J306" s="37" t="n">
        <v>6</v>
      </c>
      <c r="K306" s="37" t="n">
        <v>7</v>
      </c>
      <c r="L306" s="37" t="n">
        <v>8</v>
      </c>
      <c r="M306" s="37" t="n">
        <v>9</v>
      </c>
      <c r="N306" s="37" t="n">
        <v>10</v>
      </c>
      <c r="O306" s="37" t="n">
        <v>11</v>
      </c>
      <c r="P306" s="37" t="n">
        <v>12</v>
      </c>
      <c r="Q306" s="37" t="n">
        <v>13</v>
      </c>
    </row>
    <row r="307" customFormat="false" ht="15" hidden="false" customHeight="true" outlineLevel="0" collapsed="false">
      <c r="A307" s="42" t="s">
        <v>113</v>
      </c>
      <c r="B307" s="31" t="n">
        <v>1</v>
      </c>
      <c r="C307" s="43" t="s">
        <v>338</v>
      </c>
      <c r="D307" s="31" t="n">
        <v>31</v>
      </c>
      <c r="E307" s="40" t="n">
        <v>1</v>
      </c>
      <c r="F307" s="40" t="n">
        <v>0.870967741935484</v>
      </c>
      <c r="G307" s="40" t="n">
        <v>0.870967741935484</v>
      </c>
      <c r="H307" s="40" t="n">
        <v>0.741935483870968</v>
      </c>
      <c r="I307" s="40" t="n">
        <v>0.129032258064516</v>
      </c>
      <c r="J307" s="40" t="n">
        <v>0.0967741935483871</v>
      </c>
      <c r="K307" s="40" t="n">
        <v>0.032258064516129</v>
      </c>
      <c r="L307" s="40" t="n">
        <v>0.0645161290322581</v>
      </c>
      <c r="M307" s="40" t="n">
        <v>0.032258064516129</v>
      </c>
      <c r="N307" s="40" t="n">
        <v>0</v>
      </c>
      <c r="O307" s="40" t="n">
        <v>0</v>
      </c>
      <c r="P307" s="40" t="n">
        <v>0</v>
      </c>
      <c r="Q307" s="40" t="n">
        <v>0</v>
      </c>
    </row>
    <row r="308" customFormat="false" ht="15" hidden="false" customHeight="true" outlineLevel="0" collapsed="false">
      <c r="A308" s="42" t="s">
        <v>114</v>
      </c>
      <c r="B308" s="31" t="n">
        <v>2</v>
      </c>
      <c r="C308" s="43" t="s">
        <v>338</v>
      </c>
      <c r="D308" s="31" t="n">
        <v>38</v>
      </c>
      <c r="E308" s="40" t="n">
        <v>1</v>
      </c>
      <c r="F308" s="40" t="n">
        <v>0.842105263157895</v>
      </c>
      <c r="G308" s="40" t="n">
        <v>0.710526315789474</v>
      </c>
      <c r="H308" s="40" t="n">
        <v>0.789473684210526</v>
      </c>
      <c r="I308" s="40" t="n">
        <v>0.157894736842105</v>
      </c>
      <c r="J308" s="40" t="n">
        <v>0.0263157894736842</v>
      </c>
      <c r="K308" s="40" t="n">
        <v>0.0263157894736842</v>
      </c>
      <c r="L308" s="40" t="n">
        <v>0</v>
      </c>
      <c r="M308" s="40" t="n">
        <v>0</v>
      </c>
      <c r="N308" s="40" t="n">
        <v>0</v>
      </c>
      <c r="O308" s="40" t="n">
        <v>0</v>
      </c>
      <c r="P308" s="40" t="n">
        <v>0</v>
      </c>
      <c r="Q308" s="40" t="n">
        <v>0</v>
      </c>
    </row>
    <row r="309" customFormat="false" ht="15" hidden="false" customHeight="true" outlineLevel="0" collapsed="false">
      <c r="A309" s="42" t="s">
        <v>115</v>
      </c>
      <c r="B309" s="31" t="n">
        <v>3</v>
      </c>
      <c r="C309" s="43" t="s">
        <v>338</v>
      </c>
      <c r="D309" s="31" t="n">
        <v>38</v>
      </c>
      <c r="E309" s="40" t="n">
        <v>1</v>
      </c>
      <c r="F309" s="40" t="n">
        <v>0.763157894736842</v>
      </c>
      <c r="G309" s="40" t="n">
        <v>0.736842105263158</v>
      </c>
      <c r="H309" s="40" t="n">
        <v>0.736842105263158</v>
      </c>
      <c r="I309" s="40" t="n">
        <v>0.105263157894737</v>
      </c>
      <c r="J309" s="40" t="n">
        <v>0.0789473684210526</v>
      </c>
      <c r="K309" s="40" t="n">
        <v>0.0263157894736842</v>
      </c>
      <c r="L309" s="40" t="n">
        <v>0.0263157894736842</v>
      </c>
      <c r="M309" s="40" t="n">
        <v>0.0263157894736842</v>
      </c>
      <c r="N309" s="40" t="n">
        <v>0.0263157894736842</v>
      </c>
      <c r="O309" s="40" t="n">
        <v>0</v>
      </c>
      <c r="P309" s="40" t="n">
        <v>0</v>
      </c>
      <c r="Q309" s="40" t="n">
        <v>0</v>
      </c>
    </row>
    <row r="310" customFormat="false" ht="15" hidden="false" customHeight="true" outlineLevel="0" collapsed="false">
      <c r="A310" s="42" t="s">
        <v>116</v>
      </c>
      <c r="B310" s="31" t="n">
        <v>4</v>
      </c>
      <c r="C310" s="43" t="s">
        <v>338</v>
      </c>
      <c r="D310" s="31" t="n">
        <v>23</v>
      </c>
      <c r="E310" s="40" t="n">
        <v>1</v>
      </c>
      <c r="F310" s="40" t="n">
        <v>0.826086956521739</v>
      </c>
      <c r="G310" s="40" t="n">
        <v>0.739130434782609</v>
      </c>
      <c r="H310" s="40" t="n">
        <v>0.695652173913044</v>
      </c>
      <c r="I310" s="40" t="n">
        <v>0.0434782608695652</v>
      </c>
      <c r="J310" s="40" t="n">
        <v>0.0869565217391304</v>
      </c>
      <c r="K310" s="40" t="n">
        <v>0.0434782608695652</v>
      </c>
      <c r="L310" s="40" t="n">
        <v>0</v>
      </c>
      <c r="M310" s="40" t="n">
        <v>0</v>
      </c>
      <c r="N310" s="40" t="n">
        <v>0</v>
      </c>
      <c r="O310" s="40" t="n">
        <v>0</v>
      </c>
      <c r="P310" s="40" t="n">
        <v>0</v>
      </c>
      <c r="Q310" s="40" t="n">
        <v>0</v>
      </c>
    </row>
    <row r="311" customFormat="false" ht="15" hidden="false" customHeight="true" outlineLevel="0" collapsed="false">
      <c r="A311" s="42" t="s">
        <v>117</v>
      </c>
      <c r="B311" s="31" t="n">
        <v>5</v>
      </c>
      <c r="C311" s="43" t="s">
        <v>338</v>
      </c>
      <c r="D311" s="31" t="n">
        <v>42</v>
      </c>
      <c r="E311" s="40" t="n">
        <v>1</v>
      </c>
      <c r="F311" s="40" t="n">
        <v>0.80952380952381</v>
      </c>
      <c r="G311" s="40" t="n">
        <v>0.714285714285714</v>
      </c>
      <c r="H311" s="40" t="n">
        <v>0.761904761904762</v>
      </c>
      <c r="I311" s="40" t="n">
        <v>0.238095238095238</v>
      </c>
      <c r="J311" s="40" t="n">
        <v>0.0714285714285714</v>
      </c>
      <c r="K311" s="40" t="n">
        <v>0.0714285714285714</v>
      </c>
      <c r="L311" s="40" t="n">
        <v>0.0238095238095238</v>
      </c>
      <c r="M311" s="40" t="n">
        <v>0.0238095238095238</v>
      </c>
      <c r="N311" s="40" t="n">
        <v>0.0714285714285714</v>
      </c>
      <c r="O311" s="40" t="n">
        <v>0.0238095238095238</v>
      </c>
      <c r="P311" s="40" t="n">
        <v>0</v>
      </c>
      <c r="Q311" s="40" t="n">
        <v>0</v>
      </c>
    </row>
    <row r="312" customFormat="false" ht="15" hidden="false" customHeight="true" outlineLevel="0" collapsed="false">
      <c r="A312" s="42" t="s">
        <v>118</v>
      </c>
      <c r="B312" s="31" t="n">
        <v>6</v>
      </c>
      <c r="C312" s="43" t="s">
        <v>338</v>
      </c>
      <c r="D312" s="31" t="n">
        <v>56</v>
      </c>
      <c r="E312" s="40" t="n">
        <v>1</v>
      </c>
      <c r="F312" s="40" t="n">
        <v>0.839285714285714</v>
      </c>
      <c r="G312" s="40" t="n">
        <v>0.767857142857143</v>
      </c>
      <c r="H312" s="40" t="n">
        <v>0.714285714285714</v>
      </c>
      <c r="I312" s="40" t="n">
        <v>0.125</v>
      </c>
      <c r="J312" s="40" t="n">
        <v>0.0535714285714286</v>
      </c>
      <c r="K312" s="40" t="n">
        <v>0.0357142857142857</v>
      </c>
      <c r="L312" s="40" t="n">
        <v>0.0357142857142857</v>
      </c>
      <c r="M312" s="40" t="n">
        <v>0.0178571428571429</v>
      </c>
      <c r="N312" s="40" t="n">
        <v>0.0178571428571429</v>
      </c>
      <c r="O312" s="40" t="n">
        <v>0.0178571428571429</v>
      </c>
      <c r="P312" s="40" t="n">
        <v>0.0178571428571429</v>
      </c>
      <c r="Q312" s="40" t="n">
        <v>0.0178571428571429</v>
      </c>
    </row>
    <row r="313" customFormat="false" ht="15" hidden="false" customHeight="true" outlineLevel="0" collapsed="false">
      <c r="A313" s="42" t="s">
        <v>119</v>
      </c>
      <c r="B313" s="31" t="n">
        <v>7</v>
      </c>
      <c r="C313" s="43" t="s">
        <v>338</v>
      </c>
      <c r="D313" s="31" t="n">
        <v>28</v>
      </c>
      <c r="E313" s="40" t="n">
        <v>1</v>
      </c>
      <c r="F313" s="40" t="n">
        <v>0.964285714285714</v>
      </c>
      <c r="G313" s="40" t="n">
        <v>0.928571428571429</v>
      </c>
      <c r="H313" s="40" t="n">
        <v>0.821428571428571</v>
      </c>
      <c r="I313" s="40" t="n">
        <v>0.0357142857142857</v>
      </c>
      <c r="J313" s="40" t="n">
        <v>0.0357142857142857</v>
      </c>
      <c r="K313" s="40" t="n">
        <v>0.0714285714285714</v>
      </c>
      <c r="L313" s="40" t="n">
        <v>0.0357142857142857</v>
      </c>
      <c r="M313" s="40" t="n">
        <v>0</v>
      </c>
      <c r="N313" s="40" t="n">
        <v>0</v>
      </c>
      <c r="O313" s="40" t="n">
        <v>0</v>
      </c>
      <c r="P313" s="40" t="n">
        <v>0</v>
      </c>
      <c r="Q313" s="40" t="n">
        <v>0</v>
      </c>
    </row>
    <row r="314" customFormat="false" ht="15" hidden="false" customHeight="true" outlineLevel="0" collapsed="false">
      <c r="A314" s="42" t="s">
        <v>120</v>
      </c>
      <c r="B314" s="31" t="n">
        <v>8</v>
      </c>
      <c r="C314" s="43" t="s">
        <v>338</v>
      </c>
      <c r="D314" s="31" t="n">
        <v>51</v>
      </c>
      <c r="E314" s="40" t="n">
        <v>1</v>
      </c>
      <c r="F314" s="40" t="n">
        <v>0.803921568627451</v>
      </c>
      <c r="G314" s="40" t="n">
        <v>0.607843137254902</v>
      </c>
      <c r="H314" s="40" t="n">
        <v>0.705882352941177</v>
      </c>
      <c r="I314" s="40" t="n">
        <v>0.235294117647059</v>
      </c>
      <c r="J314" s="40" t="n">
        <v>0.0392156862745098</v>
      </c>
      <c r="K314" s="40" t="n">
        <v>0.0392156862745098</v>
      </c>
      <c r="L314" s="40" t="n">
        <v>0.0196078431372549</v>
      </c>
      <c r="M314" s="40" t="n">
        <v>0.0196078431372549</v>
      </c>
      <c r="N314" s="40" t="n">
        <v>0</v>
      </c>
      <c r="O314" s="40" t="n">
        <v>0</v>
      </c>
      <c r="P314" s="40" t="n">
        <v>0</v>
      </c>
      <c r="Q314" s="40" t="n">
        <v>0</v>
      </c>
    </row>
    <row r="315" customFormat="false" ht="15" hidden="false" customHeight="true" outlineLevel="0" collapsed="false">
      <c r="A315" s="42" t="s">
        <v>121</v>
      </c>
      <c r="B315" s="31" t="n">
        <v>9</v>
      </c>
      <c r="C315" s="43" t="s">
        <v>338</v>
      </c>
      <c r="D315" s="31" t="n">
        <v>35</v>
      </c>
      <c r="E315" s="40" t="n">
        <v>1</v>
      </c>
      <c r="F315" s="40" t="n">
        <v>0.8</v>
      </c>
      <c r="G315" s="40" t="n">
        <v>0.828571428571429</v>
      </c>
      <c r="H315" s="40" t="n">
        <v>0.828571428571429</v>
      </c>
      <c r="I315" s="40" t="n">
        <v>0.142857142857143</v>
      </c>
      <c r="J315" s="40" t="n">
        <v>0.0857142857142857</v>
      </c>
      <c r="K315" s="40" t="n">
        <v>0.0857142857142857</v>
      </c>
      <c r="L315" s="40" t="n">
        <v>0.0571428571428571</v>
      </c>
      <c r="M315" s="40" t="n">
        <v>0.0285714285714286</v>
      </c>
      <c r="N315" s="40" t="n">
        <v>0</v>
      </c>
      <c r="O315" s="40" t="n">
        <v>0</v>
      </c>
      <c r="P315" s="40" t="n">
        <v>0</v>
      </c>
      <c r="Q315" s="32"/>
    </row>
    <row r="316" customFormat="false" ht="15" hidden="false" customHeight="true" outlineLevel="0" collapsed="false">
      <c r="A316" s="42" t="s">
        <v>122</v>
      </c>
      <c r="B316" s="31" t="n">
        <v>10</v>
      </c>
      <c r="C316" s="43" t="s">
        <v>338</v>
      </c>
      <c r="D316" s="31" t="n">
        <v>26</v>
      </c>
      <c r="E316" s="40" t="n">
        <v>1</v>
      </c>
      <c r="F316" s="40" t="n">
        <v>0.807692307692308</v>
      </c>
      <c r="G316" s="40" t="n">
        <v>0.692307692307692</v>
      </c>
      <c r="H316" s="40" t="n">
        <v>0.730769230769231</v>
      </c>
      <c r="I316" s="40" t="n">
        <v>0.230769230769231</v>
      </c>
      <c r="J316" s="40" t="n">
        <v>0.192307692307692</v>
      </c>
      <c r="K316" s="40" t="n">
        <v>0.0384615384615385</v>
      </c>
      <c r="L316" s="40" t="n">
        <v>0.0769230769230769</v>
      </c>
      <c r="M316" s="40" t="n">
        <v>0</v>
      </c>
      <c r="N316" s="40" t="n">
        <v>0</v>
      </c>
      <c r="O316" s="40" t="n">
        <v>0</v>
      </c>
      <c r="P316" s="32"/>
      <c r="Q316" s="32"/>
    </row>
    <row r="317" customFormat="false" ht="15" hidden="false" customHeight="true" outlineLevel="0" collapsed="false">
      <c r="A317" s="42" t="s">
        <v>123</v>
      </c>
      <c r="B317" s="31" t="n">
        <v>11</v>
      </c>
      <c r="C317" s="43" t="s">
        <v>338</v>
      </c>
      <c r="D317" s="31" t="n">
        <v>36</v>
      </c>
      <c r="E317" s="40" t="n">
        <v>1</v>
      </c>
      <c r="F317" s="40" t="n">
        <v>0.75</v>
      </c>
      <c r="G317" s="40" t="n">
        <v>0.555555555555556</v>
      </c>
      <c r="H317" s="40" t="n">
        <v>0.694444444444444</v>
      </c>
      <c r="I317" s="40" t="n">
        <v>0.388888888888889</v>
      </c>
      <c r="J317" s="40" t="n">
        <v>0.138888888888889</v>
      </c>
      <c r="K317" s="40" t="n">
        <v>0.111111111111111</v>
      </c>
      <c r="L317" s="40" t="n">
        <v>0.111111111111111</v>
      </c>
      <c r="M317" s="40" t="n">
        <v>0.0277777777777778</v>
      </c>
      <c r="N317" s="40" t="n">
        <v>0.0277777777777778</v>
      </c>
      <c r="O317" s="32"/>
      <c r="P317" s="32"/>
      <c r="Q317" s="32"/>
    </row>
    <row r="318" customFormat="false" ht="15" hidden="false" customHeight="true" outlineLevel="0" collapsed="false">
      <c r="A318" s="42" t="s">
        <v>124</v>
      </c>
      <c r="B318" s="31" t="n">
        <v>12</v>
      </c>
      <c r="C318" s="43" t="s">
        <v>338</v>
      </c>
      <c r="D318" s="31" t="n">
        <v>24</v>
      </c>
      <c r="E318" s="40" t="n">
        <v>1</v>
      </c>
      <c r="F318" s="40" t="n">
        <v>0.791666666666667</v>
      </c>
      <c r="G318" s="40" t="n">
        <v>0.75</v>
      </c>
      <c r="H318" s="40" t="n">
        <v>0.75</v>
      </c>
      <c r="I318" s="40" t="n">
        <v>0.166666666666667</v>
      </c>
      <c r="J318" s="40" t="n">
        <v>0.0416666666666667</v>
      </c>
      <c r="K318" s="40" t="n">
        <v>0</v>
      </c>
      <c r="L318" s="40" t="n">
        <v>0</v>
      </c>
      <c r="M318" s="40" t="n">
        <v>0</v>
      </c>
      <c r="N318" s="32"/>
      <c r="O318" s="32"/>
      <c r="P318" s="32"/>
      <c r="Q318" s="32"/>
    </row>
    <row r="319" customFormat="false" ht="15" hidden="false" customHeight="true" outlineLevel="0" collapsed="false">
      <c r="A319" s="38" t="s">
        <v>125</v>
      </c>
      <c r="B319" s="31" t="n">
        <v>13</v>
      </c>
      <c r="C319" s="39" t="s">
        <v>334</v>
      </c>
      <c r="D319" s="31" t="n">
        <v>14</v>
      </c>
      <c r="E319" s="40" t="n">
        <v>1</v>
      </c>
      <c r="F319" s="40" t="n">
        <v>0.785714285714286</v>
      </c>
      <c r="G319" s="40" t="n">
        <v>0.857142857142857</v>
      </c>
      <c r="H319" s="40" t="n">
        <v>0.571428571428571</v>
      </c>
      <c r="I319" s="40" t="n">
        <v>0.0714285714285714</v>
      </c>
      <c r="J319" s="40" t="n">
        <v>0</v>
      </c>
      <c r="K319" s="40" t="n">
        <v>0</v>
      </c>
      <c r="L319" s="40" t="n">
        <v>0</v>
      </c>
      <c r="M319" s="32"/>
      <c r="N319" s="32"/>
      <c r="O319" s="32"/>
      <c r="P319" s="32"/>
      <c r="Q319" s="32"/>
    </row>
    <row r="320" customFormat="false" ht="15" hidden="false" customHeight="true" outlineLevel="0" collapsed="false">
      <c r="A320" s="38" t="s">
        <v>126</v>
      </c>
      <c r="B320" s="31" t="n">
        <v>14</v>
      </c>
      <c r="C320" s="39" t="s">
        <v>334</v>
      </c>
      <c r="D320" s="31" t="n">
        <v>27</v>
      </c>
      <c r="E320" s="40" t="n">
        <v>1</v>
      </c>
      <c r="F320" s="40" t="n">
        <v>0.888888888888889</v>
      </c>
      <c r="G320" s="40" t="n">
        <v>0.703703703703704</v>
      </c>
      <c r="H320" s="40" t="n">
        <v>0.851851851851852</v>
      </c>
      <c r="I320" s="40" t="n">
        <v>0.222222222222222</v>
      </c>
      <c r="J320" s="40" t="n">
        <v>0.111111111111111</v>
      </c>
      <c r="K320" s="40" t="n">
        <v>0.111111111111111</v>
      </c>
      <c r="L320" s="32"/>
      <c r="M320" s="32"/>
      <c r="N320" s="32"/>
      <c r="O320" s="32"/>
      <c r="P320" s="32"/>
      <c r="Q320" s="32"/>
    </row>
    <row r="321" customFormat="false" ht="15" hidden="false" customHeight="true" outlineLevel="0" collapsed="false">
      <c r="A321" s="38" t="s">
        <v>127</v>
      </c>
      <c r="B321" s="31" t="n">
        <v>15</v>
      </c>
      <c r="C321" s="39" t="s">
        <v>334</v>
      </c>
      <c r="D321" s="31" t="n">
        <v>17</v>
      </c>
      <c r="E321" s="40" t="n">
        <v>1</v>
      </c>
      <c r="F321" s="40" t="n">
        <v>0.705882352941177</v>
      </c>
      <c r="G321" s="40" t="n">
        <v>0.647058823529412</v>
      </c>
      <c r="H321" s="40" t="n">
        <v>0.588235294117647</v>
      </c>
      <c r="I321" s="40" t="n">
        <v>0.176470588235294</v>
      </c>
      <c r="J321" s="40" t="n">
        <v>0</v>
      </c>
      <c r="K321" s="32"/>
      <c r="L321" s="32"/>
      <c r="M321" s="32"/>
      <c r="N321" s="32"/>
      <c r="O321" s="32"/>
      <c r="P321" s="32"/>
      <c r="Q321" s="32"/>
    </row>
    <row r="322" customFormat="false" ht="15" hidden="false" customHeight="true" outlineLevel="0" collapsed="false">
      <c r="A322" s="38" t="s">
        <v>128</v>
      </c>
      <c r="B322" s="31" t="n">
        <v>16</v>
      </c>
      <c r="C322" s="39" t="s">
        <v>334</v>
      </c>
      <c r="D322" s="31" t="n">
        <v>10</v>
      </c>
      <c r="E322" s="40" t="n">
        <v>1</v>
      </c>
      <c r="F322" s="40" t="n">
        <v>0.9</v>
      </c>
      <c r="G322" s="40" t="n">
        <v>0.9</v>
      </c>
      <c r="H322" s="40" t="n">
        <v>0.7</v>
      </c>
      <c r="I322" s="40" t="n">
        <v>0.3</v>
      </c>
      <c r="J322" s="32"/>
      <c r="K322" s="32"/>
      <c r="L322" s="32"/>
      <c r="M322" s="32"/>
      <c r="N322" s="32"/>
      <c r="O322" s="32"/>
      <c r="P322" s="32"/>
      <c r="Q322" s="32"/>
    </row>
    <row r="323" customFormat="false" ht="15" hidden="false" customHeight="true" outlineLevel="0" collapsed="false">
      <c r="A323" s="38" t="s">
        <v>129</v>
      </c>
      <c r="B323" s="31" t="n">
        <v>17</v>
      </c>
      <c r="C323" s="39" t="s">
        <v>334</v>
      </c>
      <c r="D323" s="31" t="n">
        <v>28</v>
      </c>
      <c r="E323" s="40" t="n">
        <v>1</v>
      </c>
      <c r="F323" s="40" t="n">
        <v>0.821428571428571</v>
      </c>
      <c r="G323" s="40" t="n">
        <v>0.642857142857143</v>
      </c>
      <c r="H323" s="40" t="n">
        <v>0.75</v>
      </c>
      <c r="I323" s="32"/>
      <c r="J323" s="32"/>
      <c r="K323" s="32"/>
      <c r="L323" s="32"/>
      <c r="M323" s="32"/>
      <c r="N323" s="32"/>
      <c r="O323" s="32"/>
      <c r="P323" s="32"/>
      <c r="Q323" s="32"/>
    </row>
    <row r="324" customFormat="false" ht="15" hidden="false" customHeight="true" outlineLevel="0" collapsed="false">
      <c r="A324" s="38" t="s">
        <v>130</v>
      </c>
      <c r="B324" s="31" t="n">
        <v>18</v>
      </c>
      <c r="C324" s="39" t="s">
        <v>334</v>
      </c>
      <c r="D324" s="31" t="n">
        <v>17</v>
      </c>
      <c r="E324" s="40" t="n">
        <v>1</v>
      </c>
      <c r="F324" s="40" t="n">
        <v>0.941176470588235</v>
      </c>
      <c r="G324" s="40" t="n">
        <v>0.941176470588235</v>
      </c>
      <c r="H324" s="32"/>
      <c r="I324" s="32"/>
      <c r="J324" s="32"/>
      <c r="K324" s="32"/>
      <c r="L324" s="32"/>
      <c r="M324" s="32"/>
      <c r="N324" s="32"/>
      <c r="O324" s="32"/>
      <c r="P324" s="32"/>
      <c r="Q324" s="32"/>
    </row>
    <row r="325" customFormat="false" ht="15" hidden="false" customHeight="true" outlineLevel="0" collapsed="false">
      <c r="A325" s="38" t="s">
        <v>131</v>
      </c>
      <c r="B325" s="31" t="n">
        <v>19</v>
      </c>
      <c r="C325" s="39" t="s">
        <v>334</v>
      </c>
      <c r="D325" s="31" t="n">
        <v>19</v>
      </c>
      <c r="E325" s="40" t="n">
        <v>1</v>
      </c>
      <c r="F325" s="40" t="n">
        <v>0.894736842105263</v>
      </c>
      <c r="G325" s="32"/>
      <c r="H325" s="32"/>
      <c r="I325" s="32"/>
      <c r="J325" s="32"/>
      <c r="K325" s="32"/>
      <c r="L325" s="32"/>
      <c r="M325" s="32"/>
      <c r="N325" s="32"/>
      <c r="O325" s="32"/>
      <c r="P325" s="32"/>
      <c r="Q325" s="32"/>
    </row>
    <row r="326" customFormat="false" ht="15" hidden="false" customHeight="true" outlineLevel="0" collapsed="false">
      <c r="A326" s="38" t="s">
        <v>132</v>
      </c>
      <c r="B326" s="31" t="n">
        <v>20</v>
      </c>
      <c r="C326" s="39" t="s">
        <v>334</v>
      </c>
      <c r="D326" s="31" t="n">
        <v>20</v>
      </c>
      <c r="E326" s="40" t="n">
        <v>1</v>
      </c>
      <c r="F326" s="32"/>
      <c r="G326" s="32"/>
      <c r="H326" s="32"/>
      <c r="I326" s="32"/>
      <c r="J326" s="32"/>
      <c r="K326" s="32"/>
      <c r="L326" s="32"/>
      <c r="M326" s="32"/>
      <c r="N326" s="32"/>
      <c r="O326" s="32"/>
      <c r="P326" s="32"/>
      <c r="Q326" s="32"/>
    </row>
    <row r="327" customFormat="false" ht="15" hidden="false" customHeight="true" outlineLevel="0" collapsed="false">
      <c r="A327" s="34" t="s">
        <v>335</v>
      </c>
      <c r="B327" s="36"/>
      <c r="C327" s="36"/>
      <c r="D327" s="36"/>
      <c r="E327" s="44" t="n">
        <v>1</v>
      </c>
      <c r="F327" s="44" t="n">
        <v>0.820093457943925</v>
      </c>
      <c r="G327" s="44" t="n">
        <v>0.733644859813084</v>
      </c>
      <c r="H327" s="44" t="n">
        <v>0.745327102803738</v>
      </c>
      <c r="I327" s="44" t="n">
        <v>0.172897196261682</v>
      </c>
      <c r="J327" s="44" t="n">
        <v>0.0747663551401869</v>
      </c>
      <c r="K327" s="44" t="n">
        <v>0.0490654205607477</v>
      </c>
      <c r="L327" s="44" t="n">
        <v>0.0373831775700935</v>
      </c>
      <c r="M327" s="44" t="n">
        <v>0.0163551401869159</v>
      </c>
      <c r="N327" s="44" t="n">
        <v>0.0140186915887851</v>
      </c>
      <c r="O327" s="44" t="n">
        <v>0.00467289719626168</v>
      </c>
      <c r="P327" s="44" t="n">
        <v>0.00233644859813084</v>
      </c>
      <c r="Q327" s="44" t="n">
        <v>0.00233644859813084</v>
      </c>
    </row>
    <row r="328" customFormat="false" ht="15" hidden="false" customHeight="true" outlineLevel="0" collapsed="false">
      <c r="A328" s="34" t="s">
        <v>336</v>
      </c>
      <c r="B328" s="36"/>
      <c r="C328" s="36"/>
      <c r="D328" s="36"/>
      <c r="E328" s="44" t="n">
        <v>1</v>
      </c>
      <c r="F328" s="44" t="n">
        <v>0.822391136452802</v>
      </c>
      <c r="G328" s="44" t="n">
        <v>0.741871558097882</v>
      </c>
      <c r="H328" s="44" t="n">
        <v>0.747599162633585</v>
      </c>
      <c r="I328" s="44" t="n">
        <v>0.166579498692453</v>
      </c>
      <c r="J328" s="44" t="n">
        <v>0.0789584482290486</v>
      </c>
      <c r="K328" s="44" t="n">
        <v>0.0484534962054947</v>
      </c>
      <c r="L328" s="44" t="n">
        <v>0.0375712418381948</v>
      </c>
      <c r="M328" s="44" t="n">
        <v>0.0146831308452451</v>
      </c>
      <c r="N328" s="44" t="n">
        <v>0.0130344801397433</v>
      </c>
      <c r="O328" s="44" t="n">
        <v>0.00416666666666667</v>
      </c>
      <c r="P328" s="44" t="n">
        <v>0.00198412698412698</v>
      </c>
      <c r="Q328" s="44" t="n">
        <v>0.00223214285714286</v>
      </c>
    </row>
    <row r="329" customFormat="false" ht="15" hidden="false" customHeight="true" outlineLevel="0" collapsed="false">
      <c r="A329" s="45" t="s">
        <v>351</v>
      </c>
      <c r="B329" s="45"/>
      <c r="C329" s="45"/>
      <c r="D329" s="45"/>
      <c r="E329" s="45"/>
      <c r="F329" s="45"/>
      <c r="G329" s="45"/>
      <c r="H329" s="45"/>
      <c r="I329" s="45"/>
      <c r="J329" s="45"/>
      <c r="K329" s="45"/>
      <c r="L329" s="45"/>
      <c r="M329" s="45"/>
      <c r="N329" s="45"/>
      <c r="O329" s="45"/>
      <c r="P329" s="45"/>
      <c r="Q329" s="45"/>
    </row>
    <row r="331" customFormat="false" ht="15" hidden="false" customHeight="true" outlineLevel="0" collapsed="false">
      <c r="A331" s="28" t="s">
        <v>307</v>
      </c>
      <c r="B331" s="28"/>
      <c r="C331" s="28"/>
      <c r="D331" s="28"/>
      <c r="E331" s="28"/>
      <c r="F331" s="28"/>
      <c r="G331" s="28"/>
      <c r="H331" s="28"/>
      <c r="I331" s="28"/>
      <c r="J331" s="28"/>
      <c r="K331" s="28"/>
      <c r="L331" s="28"/>
      <c r="M331" s="28"/>
      <c r="N331" s="28"/>
      <c r="O331" s="28"/>
      <c r="P331" s="28"/>
      <c r="Q331" s="28"/>
      <c r="R331" s="28"/>
      <c r="S331" s="28"/>
      <c r="T331" s="28"/>
      <c r="U331" s="28"/>
      <c r="V331" s="28"/>
    </row>
    <row r="332" customFormat="false" ht="15" hidden="false" customHeight="true" outlineLevel="0" collapsed="false">
      <c r="A332" s="12" t="s">
        <v>330</v>
      </c>
      <c r="B332" s="12" t="s">
        <v>331</v>
      </c>
      <c r="C332" s="12" t="s">
        <v>332</v>
      </c>
      <c r="D332" s="12" t="s">
        <v>333</v>
      </c>
      <c r="E332" s="37" t="n">
        <v>1</v>
      </c>
      <c r="F332" s="37" t="n">
        <v>2</v>
      </c>
      <c r="G332" s="37" t="n">
        <v>3</v>
      </c>
      <c r="H332" s="37" t="n">
        <v>4</v>
      </c>
      <c r="I332" s="37" t="n">
        <v>5</v>
      </c>
      <c r="J332" s="37" t="n">
        <v>6</v>
      </c>
      <c r="K332" s="37" t="n">
        <v>7</v>
      </c>
      <c r="L332" s="37" t="n">
        <v>8</v>
      </c>
      <c r="M332" s="37" t="n">
        <v>9</v>
      </c>
      <c r="N332" s="37" t="n">
        <v>10</v>
      </c>
      <c r="O332" s="37" t="n">
        <v>11</v>
      </c>
      <c r="P332" s="37" t="n">
        <v>12</v>
      </c>
      <c r="Q332" s="37" t="n">
        <v>13</v>
      </c>
      <c r="R332" s="37" t="n">
        <v>14</v>
      </c>
      <c r="S332" s="37" t="n">
        <v>15</v>
      </c>
      <c r="T332" s="37" t="n">
        <v>16</v>
      </c>
      <c r="U332" s="37" t="n">
        <v>17</v>
      </c>
      <c r="V332" s="37" t="n">
        <v>18</v>
      </c>
    </row>
    <row r="333" customFormat="false" ht="15" hidden="false" customHeight="true" outlineLevel="0" collapsed="false">
      <c r="A333" s="42" t="s">
        <v>113</v>
      </c>
      <c r="B333" s="31" t="n">
        <v>1</v>
      </c>
      <c r="C333" s="43" t="s">
        <v>338</v>
      </c>
      <c r="D333" s="31" t="n">
        <v>22</v>
      </c>
      <c r="E333" s="40" t="n">
        <v>1</v>
      </c>
      <c r="F333" s="40" t="n">
        <v>0.772727272727273</v>
      </c>
      <c r="G333" s="40" t="n">
        <v>0.727272727272727</v>
      </c>
      <c r="H333" s="40" t="n">
        <v>0.727272727272727</v>
      </c>
      <c r="I333" s="40" t="n">
        <v>0.136363636363636</v>
      </c>
      <c r="J333" s="40" t="n">
        <v>0.0454545454545455</v>
      </c>
      <c r="K333" s="40" t="n">
        <v>0</v>
      </c>
      <c r="L333" s="40" t="n">
        <v>0</v>
      </c>
      <c r="M333" s="40" t="n">
        <v>0</v>
      </c>
      <c r="N333" s="40" t="n">
        <v>0</v>
      </c>
      <c r="O333" s="40" t="n">
        <v>0</v>
      </c>
      <c r="P333" s="40" t="n">
        <v>0</v>
      </c>
      <c r="Q333" s="40" t="n">
        <v>0</v>
      </c>
      <c r="R333" s="40" t="n">
        <v>0</v>
      </c>
      <c r="S333" s="40" t="n">
        <v>0</v>
      </c>
      <c r="T333" s="40" t="n">
        <v>0</v>
      </c>
      <c r="U333" s="40" t="n">
        <v>0</v>
      </c>
      <c r="V333" s="40" t="n">
        <v>0</v>
      </c>
    </row>
    <row r="334" customFormat="false" ht="15" hidden="false" customHeight="true" outlineLevel="0" collapsed="false">
      <c r="A334" s="42" t="s">
        <v>114</v>
      </c>
      <c r="B334" s="31" t="n">
        <v>2</v>
      </c>
      <c r="C334" s="43" t="s">
        <v>338</v>
      </c>
      <c r="D334" s="31" t="n">
        <v>61</v>
      </c>
      <c r="E334" s="40" t="n">
        <v>1</v>
      </c>
      <c r="F334" s="40" t="n">
        <v>0.868852459016393</v>
      </c>
      <c r="G334" s="40" t="n">
        <v>0.672131147540984</v>
      </c>
      <c r="H334" s="40" t="n">
        <v>0.819672131147541</v>
      </c>
      <c r="I334" s="40" t="n">
        <v>0.245901639344262</v>
      </c>
      <c r="J334" s="40" t="n">
        <v>0.0491803278688525</v>
      </c>
      <c r="K334" s="40" t="n">
        <v>0.0491803278688525</v>
      </c>
      <c r="L334" s="40" t="n">
        <v>0.0491803278688525</v>
      </c>
      <c r="M334" s="40" t="n">
        <v>0</v>
      </c>
      <c r="N334" s="40" t="n">
        <v>0.0163934426229508</v>
      </c>
      <c r="O334" s="40" t="n">
        <v>0.0163934426229508</v>
      </c>
      <c r="P334" s="40" t="n">
        <v>0</v>
      </c>
      <c r="Q334" s="40" t="n">
        <v>0.0163934426229508</v>
      </c>
      <c r="R334" s="40" t="n">
        <v>0</v>
      </c>
      <c r="S334" s="40" t="n">
        <v>0</v>
      </c>
      <c r="T334" s="40" t="n">
        <v>0.0163934426229508</v>
      </c>
      <c r="U334" s="40" t="n">
        <v>0.0163934426229508</v>
      </c>
      <c r="V334" s="40" t="n">
        <v>0.0163934426229508</v>
      </c>
    </row>
    <row r="335" customFormat="false" ht="15" hidden="false" customHeight="true" outlineLevel="0" collapsed="false">
      <c r="A335" s="42" t="s">
        <v>115</v>
      </c>
      <c r="B335" s="31" t="n">
        <v>3</v>
      </c>
      <c r="C335" s="43" t="s">
        <v>338</v>
      </c>
      <c r="D335" s="31" t="n">
        <v>68</v>
      </c>
      <c r="E335" s="40" t="n">
        <v>1</v>
      </c>
      <c r="F335" s="40" t="n">
        <v>0.823529411764706</v>
      </c>
      <c r="G335" s="40" t="n">
        <v>0.779411764705882</v>
      </c>
      <c r="H335" s="40" t="n">
        <v>0.764705882352941</v>
      </c>
      <c r="I335" s="40" t="n">
        <v>0.117647058823529</v>
      </c>
      <c r="J335" s="40" t="n">
        <v>0.102941176470588</v>
      </c>
      <c r="K335" s="40" t="n">
        <v>0.0441176470588235</v>
      </c>
      <c r="L335" s="40" t="n">
        <v>0.0147058823529412</v>
      </c>
      <c r="M335" s="40" t="n">
        <v>0</v>
      </c>
      <c r="N335" s="40" t="n">
        <v>0</v>
      </c>
      <c r="O335" s="40" t="n">
        <v>0</v>
      </c>
      <c r="P335" s="40" t="n">
        <v>0</v>
      </c>
      <c r="Q335" s="40" t="n">
        <v>0</v>
      </c>
      <c r="R335" s="40" t="n">
        <v>0.0147058823529412</v>
      </c>
      <c r="S335" s="40" t="n">
        <v>0.0147058823529412</v>
      </c>
      <c r="T335" s="40" t="n">
        <v>0</v>
      </c>
      <c r="U335" s="40" t="n">
        <v>0.0147058823529412</v>
      </c>
      <c r="V335" s="40" t="n">
        <v>0</v>
      </c>
    </row>
    <row r="336" customFormat="false" ht="15" hidden="false" customHeight="true" outlineLevel="0" collapsed="false">
      <c r="A336" s="42" t="s">
        <v>116</v>
      </c>
      <c r="B336" s="31" t="n">
        <v>4</v>
      </c>
      <c r="C336" s="43" t="s">
        <v>338</v>
      </c>
      <c r="D336" s="31" t="n">
        <v>32</v>
      </c>
      <c r="E336" s="40" t="n">
        <v>1</v>
      </c>
      <c r="F336" s="40" t="n">
        <v>0.8125</v>
      </c>
      <c r="G336" s="40" t="n">
        <v>0.75</v>
      </c>
      <c r="H336" s="40" t="n">
        <v>0.625</v>
      </c>
      <c r="I336" s="40" t="n">
        <v>0.09375</v>
      </c>
      <c r="J336" s="40" t="n">
        <v>0.15625</v>
      </c>
      <c r="K336" s="40" t="n">
        <v>0.03125</v>
      </c>
      <c r="L336" s="40" t="n">
        <v>0.03125</v>
      </c>
      <c r="M336" s="40" t="n">
        <v>0.0625</v>
      </c>
      <c r="N336" s="40" t="n">
        <v>0</v>
      </c>
      <c r="O336" s="40" t="n">
        <v>0</v>
      </c>
      <c r="P336" s="40" t="n">
        <v>0</v>
      </c>
      <c r="Q336" s="40" t="n">
        <v>0</v>
      </c>
      <c r="R336" s="40" t="n">
        <v>0</v>
      </c>
      <c r="S336" s="40" t="n">
        <v>0</v>
      </c>
      <c r="T336" s="40" t="n">
        <v>0</v>
      </c>
      <c r="U336" s="40" t="n">
        <v>0</v>
      </c>
      <c r="V336" s="32"/>
    </row>
    <row r="337" customFormat="false" ht="15" hidden="false" customHeight="true" outlineLevel="0" collapsed="false">
      <c r="A337" s="42" t="s">
        <v>117</v>
      </c>
      <c r="B337" s="31" t="n">
        <v>5</v>
      </c>
      <c r="C337" s="43" t="s">
        <v>338</v>
      </c>
      <c r="D337" s="31" t="n">
        <v>79</v>
      </c>
      <c r="E337" s="40" t="n">
        <v>1</v>
      </c>
      <c r="F337" s="40" t="n">
        <v>0.835443037974684</v>
      </c>
      <c r="G337" s="40" t="n">
        <v>0.607594936708861</v>
      </c>
      <c r="H337" s="40" t="n">
        <v>0.683544303797468</v>
      </c>
      <c r="I337" s="40" t="n">
        <v>0.253164556962025</v>
      </c>
      <c r="J337" s="40" t="n">
        <v>0.0759493670886076</v>
      </c>
      <c r="K337" s="40" t="n">
        <v>0.139240506329114</v>
      </c>
      <c r="L337" s="40" t="n">
        <v>0.0632911392405063</v>
      </c>
      <c r="M337" s="40" t="n">
        <v>0.0253164556962025</v>
      </c>
      <c r="N337" s="40" t="n">
        <v>0.0253164556962025</v>
      </c>
      <c r="O337" s="40" t="n">
        <v>0.0379746835443038</v>
      </c>
      <c r="P337" s="40" t="n">
        <v>0.0253164556962025</v>
      </c>
      <c r="Q337" s="40" t="n">
        <v>0.0126582278481013</v>
      </c>
      <c r="R337" s="40" t="n">
        <v>0.0126582278481013</v>
      </c>
      <c r="S337" s="40" t="n">
        <v>0</v>
      </c>
      <c r="T337" s="40" t="n">
        <v>0</v>
      </c>
      <c r="U337" s="32"/>
      <c r="V337" s="32"/>
    </row>
    <row r="338" customFormat="false" ht="15" hidden="false" customHeight="true" outlineLevel="0" collapsed="false">
      <c r="A338" s="42" t="s">
        <v>118</v>
      </c>
      <c r="B338" s="31" t="n">
        <v>6</v>
      </c>
      <c r="C338" s="43" t="s">
        <v>338</v>
      </c>
      <c r="D338" s="31" t="n">
        <v>53</v>
      </c>
      <c r="E338" s="40" t="n">
        <v>1</v>
      </c>
      <c r="F338" s="40" t="n">
        <v>0.716981132075472</v>
      </c>
      <c r="G338" s="40" t="n">
        <v>0.660377358490566</v>
      </c>
      <c r="H338" s="40" t="n">
        <v>0.584905660377359</v>
      </c>
      <c r="I338" s="40" t="n">
        <v>0.0943396226415094</v>
      </c>
      <c r="J338" s="40" t="n">
        <v>0.0566037735849057</v>
      </c>
      <c r="K338" s="40" t="n">
        <v>0.0377358490566038</v>
      </c>
      <c r="L338" s="40" t="n">
        <v>0</v>
      </c>
      <c r="M338" s="40" t="n">
        <v>0</v>
      </c>
      <c r="N338" s="40" t="n">
        <v>0</v>
      </c>
      <c r="O338" s="40" t="n">
        <v>0</v>
      </c>
      <c r="P338" s="40" t="n">
        <v>0</v>
      </c>
      <c r="Q338" s="40" t="n">
        <v>0</v>
      </c>
      <c r="R338" s="40" t="n">
        <v>0</v>
      </c>
      <c r="S338" s="40" t="n">
        <v>0</v>
      </c>
      <c r="T338" s="32"/>
      <c r="U338" s="32"/>
      <c r="V338" s="32"/>
    </row>
    <row r="339" customFormat="false" ht="15" hidden="false" customHeight="true" outlineLevel="0" collapsed="false">
      <c r="A339" s="42" t="s">
        <v>119</v>
      </c>
      <c r="B339" s="31" t="n">
        <v>7</v>
      </c>
      <c r="C339" s="43" t="s">
        <v>338</v>
      </c>
      <c r="D339" s="31" t="n">
        <v>29</v>
      </c>
      <c r="E339" s="40" t="n">
        <v>1</v>
      </c>
      <c r="F339" s="40" t="n">
        <v>0.758620689655172</v>
      </c>
      <c r="G339" s="40" t="n">
        <v>0.620689655172414</v>
      </c>
      <c r="H339" s="40" t="n">
        <v>0.551724137931035</v>
      </c>
      <c r="I339" s="40" t="n">
        <v>0.0344827586206897</v>
      </c>
      <c r="J339" s="40" t="n">
        <v>0.0689655172413793</v>
      </c>
      <c r="K339" s="40" t="n">
        <v>0.0689655172413793</v>
      </c>
      <c r="L339" s="40" t="n">
        <v>0.0344827586206897</v>
      </c>
      <c r="M339" s="40" t="n">
        <v>0</v>
      </c>
      <c r="N339" s="40" t="n">
        <v>0.0344827586206897</v>
      </c>
      <c r="O339" s="40" t="n">
        <v>0</v>
      </c>
      <c r="P339" s="40" t="n">
        <v>0</v>
      </c>
      <c r="Q339" s="40" t="n">
        <v>0</v>
      </c>
      <c r="R339" s="40" t="n">
        <v>0</v>
      </c>
      <c r="S339" s="32"/>
      <c r="T339" s="32"/>
      <c r="U339" s="32"/>
      <c r="V339" s="32"/>
    </row>
    <row r="340" customFormat="false" ht="15" hidden="false" customHeight="true" outlineLevel="0" collapsed="false">
      <c r="A340" s="42" t="s">
        <v>120</v>
      </c>
      <c r="B340" s="31" t="n">
        <v>8</v>
      </c>
      <c r="C340" s="43" t="s">
        <v>338</v>
      </c>
      <c r="D340" s="31" t="n">
        <v>53</v>
      </c>
      <c r="E340" s="40" t="n">
        <v>1</v>
      </c>
      <c r="F340" s="40" t="n">
        <v>0.679245283018868</v>
      </c>
      <c r="G340" s="40" t="n">
        <v>0.584905660377359</v>
      </c>
      <c r="H340" s="40" t="n">
        <v>0.660377358490566</v>
      </c>
      <c r="I340" s="40" t="n">
        <v>0.226415094339623</v>
      </c>
      <c r="J340" s="40" t="n">
        <v>0.0377358490566038</v>
      </c>
      <c r="K340" s="40" t="n">
        <v>0.0566037735849057</v>
      </c>
      <c r="L340" s="40" t="n">
        <v>0.0188679245283019</v>
      </c>
      <c r="M340" s="40" t="n">
        <v>0.0188679245283019</v>
      </c>
      <c r="N340" s="40" t="n">
        <v>0.0188679245283019</v>
      </c>
      <c r="O340" s="40" t="n">
        <v>0.0188679245283019</v>
      </c>
      <c r="P340" s="40" t="n">
        <v>0</v>
      </c>
      <c r="Q340" s="40" t="n">
        <v>0</v>
      </c>
      <c r="R340" s="32"/>
      <c r="S340" s="32"/>
      <c r="T340" s="32"/>
      <c r="U340" s="32"/>
      <c r="V340" s="32"/>
    </row>
    <row r="341" customFormat="false" ht="15" hidden="false" customHeight="true" outlineLevel="0" collapsed="false">
      <c r="A341" s="42" t="s">
        <v>121</v>
      </c>
      <c r="B341" s="31" t="n">
        <v>9</v>
      </c>
      <c r="C341" s="43" t="s">
        <v>338</v>
      </c>
      <c r="D341" s="31" t="n">
        <v>44</v>
      </c>
      <c r="E341" s="40" t="n">
        <v>1</v>
      </c>
      <c r="F341" s="40" t="n">
        <v>0.75</v>
      </c>
      <c r="G341" s="40" t="n">
        <v>0.75</v>
      </c>
      <c r="H341" s="40" t="n">
        <v>0.727272727272727</v>
      </c>
      <c r="I341" s="40" t="n">
        <v>0.0909090909090909</v>
      </c>
      <c r="J341" s="40" t="n">
        <v>0.136363636363636</v>
      </c>
      <c r="K341" s="40" t="n">
        <v>0.0454545454545455</v>
      </c>
      <c r="L341" s="40" t="n">
        <v>0.0227272727272727</v>
      </c>
      <c r="M341" s="40" t="n">
        <v>0.0227272727272727</v>
      </c>
      <c r="N341" s="40" t="n">
        <v>0.0454545454545455</v>
      </c>
      <c r="O341" s="40" t="n">
        <v>0.0227272727272727</v>
      </c>
      <c r="P341" s="40" t="n">
        <v>0.0227272727272727</v>
      </c>
      <c r="Q341" s="32"/>
      <c r="R341" s="32"/>
      <c r="S341" s="32"/>
      <c r="T341" s="32"/>
      <c r="U341" s="32"/>
      <c r="V341" s="32"/>
    </row>
    <row r="342" customFormat="false" ht="15" hidden="false" customHeight="true" outlineLevel="0" collapsed="false">
      <c r="A342" s="42" t="s">
        <v>122</v>
      </c>
      <c r="B342" s="31" t="n">
        <v>10</v>
      </c>
      <c r="C342" s="43" t="s">
        <v>338</v>
      </c>
      <c r="D342" s="31" t="n">
        <v>20</v>
      </c>
      <c r="E342" s="40" t="n">
        <v>1</v>
      </c>
      <c r="F342" s="40" t="n">
        <v>0.65</v>
      </c>
      <c r="G342" s="40" t="n">
        <v>0.6</v>
      </c>
      <c r="H342" s="40" t="n">
        <v>0.55</v>
      </c>
      <c r="I342" s="40" t="n">
        <v>0</v>
      </c>
      <c r="J342" s="40" t="n">
        <v>0</v>
      </c>
      <c r="K342" s="40" t="n">
        <v>0</v>
      </c>
      <c r="L342" s="40" t="n">
        <v>0</v>
      </c>
      <c r="M342" s="40" t="n">
        <v>0</v>
      </c>
      <c r="N342" s="40" t="n">
        <v>0</v>
      </c>
      <c r="O342" s="40" t="n">
        <v>0</v>
      </c>
      <c r="P342" s="32"/>
      <c r="Q342" s="32"/>
      <c r="R342" s="32"/>
      <c r="S342" s="32"/>
      <c r="T342" s="32"/>
      <c r="U342" s="32"/>
      <c r="V342" s="32"/>
    </row>
    <row r="343" customFormat="false" ht="15" hidden="false" customHeight="true" outlineLevel="0" collapsed="false">
      <c r="A343" s="42" t="s">
        <v>123</v>
      </c>
      <c r="B343" s="31" t="n">
        <v>11</v>
      </c>
      <c r="C343" s="43" t="s">
        <v>338</v>
      </c>
      <c r="D343" s="31" t="n">
        <v>61</v>
      </c>
      <c r="E343" s="40" t="n">
        <v>1</v>
      </c>
      <c r="F343" s="40" t="n">
        <v>0.885245901639344</v>
      </c>
      <c r="G343" s="40" t="n">
        <v>0.688524590163934</v>
      </c>
      <c r="H343" s="40" t="n">
        <v>0.672131147540984</v>
      </c>
      <c r="I343" s="40" t="n">
        <v>0.131147540983607</v>
      </c>
      <c r="J343" s="40" t="n">
        <v>0.0327868852459016</v>
      </c>
      <c r="K343" s="40" t="n">
        <v>0.0819672131147541</v>
      </c>
      <c r="L343" s="40" t="n">
        <v>0.0327868852459016</v>
      </c>
      <c r="M343" s="40" t="n">
        <v>0</v>
      </c>
      <c r="N343" s="40" t="n">
        <v>0</v>
      </c>
      <c r="O343" s="32"/>
      <c r="P343" s="32"/>
      <c r="Q343" s="32"/>
      <c r="R343" s="32"/>
      <c r="S343" s="32"/>
      <c r="T343" s="32"/>
      <c r="U343" s="32"/>
      <c r="V343" s="32"/>
    </row>
    <row r="344" customFormat="false" ht="15" hidden="false" customHeight="true" outlineLevel="0" collapsed="false">
      <c r="A344" s="42" t="s">
        <v>124</v>
      </c>
      <c r="B344" s="31" t="n">
        <v>12</v>
      </c>
      <c r="C344" s="43" t="s">
        <v>338</v>
      </c>
      <c r="D344" s="31" t="n">
        <v>44</v>
      </c>
      <c r="E344" s="40" t="n">
        <v>1</v>
      </c>
      <c r="F344" s="40" t="n">
        <v>0.772727272727273</v>
      </c>
      <c r="G344" s="40" t="n">
        <v>0.704545454545455</v>
      </c>
      <c r="H344" s="40" t="n">
        <v>0.659090909090909</v>
      </c>
      <c r="I344" s="40" t="n">
        <v>0.227272727272727</v>
      </c>
      <c r="J344" s="40" t="n">
        <v>0.159090909090909</v>
      </c>
      <c r="K344" s="40" t="n">
        <v>0.0681818181818182</v>
      </c>
      <c r="L344" s="40" t="n">
        <v>0.0227272727272727</v>
      </c>
      <c r="M344" s="40" t="n">
        <v>0.0227272727272727</v>
      </c>
      <c r="N344" s="32"/>
      <c r="O344" s="32"/>
      <c r="P344" s="32"/>
      <c r="Q344" s="32"/>
      <c r="R344" s="32"/>
      <c r="S344" s="32"/>
      <c r="T344" s="32"/>
      <c r="U344" s="32"/>
      <c r="V344" s="32"/>
    </row>
    <row r="345" customFormat="false" ht="15" hidden="false" customHeight="true" outlineLevel="0" collapsed="false">
      <c r="A345" s="38" t="s">
        <v>125</v>
      </c>
      <c r="B345" s="31" t="n">
        <v>13</v>
      </c>
      <c r="C345" s="39" t="s">
        <v>334</v>
      </c>
      <c r="D345" s="31" t="n">
        <v>19</v>
      </c>
      <c r="E345" s="40" t="n">
        <v>1</v>
      </c>
      <c r="F345" s="40" t="n">
        <v>0.526315789473684</v>
      </c>
      <c r="G345" s="40" t="n">
        <v>0.421052631578947</v>
      </c>
      <c r="H345" s="40" t="n">
        <v>0.473684210526316</v>
      </c>
      <c r="I345" s="40" t="n">
        <v>0.157894736842105</v>
      </c>
      <c r="J345" s="40" t="n">
        <v>0.105263157894737</v>
      </c>
      <c r="K345" s="40" t="n">
        <v>0.0526315789473684</v>
      </c>
      <c r="L345" s="40" t="n">
        <v>0.0526315789473684</v>
      </c>
      <c r="M345" s="32"/>
      <c r="N345" s="32"/>
      <c r="O345" s="32"/>
      <c r="P345" s="32"/>
      <c r="Q345" s="32"/>
      <c r="R345" s="32"/>
      <c r="S345" s="32"/>
      <c r="T345" s="32"/>
      <c r="U345" s="32"/>
      <c r="V345" s="32"/>
    </row>
    <row r="346" customFormat="false" ht="15" hidden="false" customHeight="true" outlineLevel="0" collapsed="false">
      <c r="A346" s="38" t="s">
        <v>126</v>
      </c>
      <c r="B346" s="31" t="n">
        <v>14</v>
      </c>
      <c r="C346" s="39" t="s">
        <v>334</v>
      </c>
      <c r="D346" s="31" t="n">
        <v>46</v>
      </c>
      <c r="E346" s="40" t="n">
        <v>1</v>
      </c>
      <c r="F346" s="40" t="n">
        <v>0.891304347826087</v>
      </c>
      <c r="G346" s="40" t="n">
        <v>0.608695652173913</v>
      </c>
      <c r="H346" s="40" t="n">
        <v>0.826086956521739</v>
      </c>
      <c r="I346" s="40" t="n">
        <v>0.326086956521739</v>
      </c>
      <c r="J346" s="40" t="n">
        <v>0.108695652173913</v>
      </c>
      <c r="K346" s="40" t="n">
        <v>0.130434782608696</v>
      </c>
      <c r="L346" s="32"/>
      <c r="M346" s="32"/>
      <c r="N346" s="32"/>
      <c r="O346" s="32"/>
      <c r="P346" s="32"/>
      <c r="Q346" s="32"/>
      <c r="R346" s="32"/>
      <c r="S346" s="32"/>
      <c r="T346" s="32"/>
      <c r="U346" s="32"/>
      <c r="V346" s="32"/>
    </row>
    <row r="347" customFormat="false" ht="15" hidden="false" customHeight="true" outlineLevel="0" collapsed="false">
      <c r="A347" s="38" t="s">
        <v>127</v>
      </c>
      <c r="B347" s="31" t="n">
        <v>15</v>
      </c>
      <c r="C347" s="39" t="s">
        <v>334</v>
      </c>
      <c r="D347" s="31" t="n">
        <v>30</v>
      </c>
      <c r="E347" s="40" t="n">
        <v>1</v>
      </c>
      <c r="F347" s="40" t="n">
        <v>0.8</v>
      </c>
      <c r="G347" s="40" t="n">
        <v>0.833333333333333</v>
      </c>
      <c r="H347" s="40" t="n">
        <v>0.766666666666667</v>
      </c>
      <c r="I347" s="40" t="n">
        <v>0.133333333333333</v>
      </c>
      <c r="J347" s="40" t="n">
        <v>0.1</v>
      </c>
      <c r="K347" s="32"/>
      <c r="L347" s="32"/>
      <c r="M347" s="32"/>
      <c r="N347" s="32"/>
      <c r="O347" s="32"/>
      <c r="P347" s="32"/>
      <c r="Q347" s="32"/>
      <c r="R347" s="32"/>
      <c r="S347" s="32"/>
      <c r="T347" s="32"/>
      <c r="U347" s="32"/>
      <c r="V347" s="32"/>
    </row>
    <row r="348" customFormat="false" ht="15" hidden="false" customHeight="true" outlineLevel="0" collapsed="false">
      <c r="A348" s="38" t="s">
        <v>128</v>
      </c>
      <c r="B348" s="31" t="n">
        <v>16</v>
      </c>
      <c r="C348" s="39" t="s">
        <v>334</v>
      </c>
      <c r="D348" s="31" t="n">
        <v>13</v>
      </c>
      <c r="E348" s="40" t="n">
        <v>1</v>
      </c>
      <c r="F348" s="40" t="n">
        <v>0.769230769230769</v>
      </c>
      <c r="G348" s="40" t="n">
        <v>0.769230769230769</v>
      </c>
      <c r="H348" s="40" t="n">
        <v>0.692307692307692</v>
      </c>
      <c r="I348" s="40" t="n">
        <v>0.0769230769230769</v>
      </c>
      <c r="J348" s="32"/>
      <c r="K348" s="32"/>
      <c r="L348" s="32"/>
      <c r="M348" s="32"/>
      <c r="N348" s="32"/>
      <c r="O348" s="32"/>
      <c r="P348" s="32"/>
      <c r="Q348" s="32"/>
      <c r="R348" s="32"/>
      <c r="S348" s="32"/>
      <c r="T348" s="32"/>
      <c r="U348" s="32"/>
      <c r="V348" s="32"/>
    </row>
    <row r="349" customFormat="false" ht="15" hidden="false" customHeight="true" outlineLevel="0" collapsed="false">
      <c r="A349" s="38" t="s">
        <v>129</v>
      </c>
      <c r="B349" s="31" t="n">
        <v>17</v>
      </c>
      <c r="C349" s="39" t="s">
        <v>334</v>
      </c>
      <c r="D349" s="31" t="n">
        <v>34</v>
      </c>
      <c r="E349" s="40" t="n">
        <v>1</v>
      </c>
      <c r="F349" s="40" t="n">
        <v>0.705882352941177</v>
      </c>
      <c r="G349" s="40" t="n">
        <v>0.617647058823529</v>
      </c>
      <c r="H349" s="40" t="n">
        <v>0.676470588235294</v>
      </c>
      <c r="I349" s="32"/>
      <c r="J349" s="32"/>
      <c r="K349" s="32"/>
      <c r="L349" s="32"/>
      <c r="M349" s="32"/>
      <c r="N349" s="32"/>
      <c r="O349" s="32"/>
      <c r="P349" s="32"/>
      <c r="Q349" s="32"/>
      <c r="R349" s="32"/>
      <c r="S349" s="32"/>
      <c r="T349" s="32"/>
      <c r="U349" s="32"/>
      <c r="V349" s="32"/>
    </row>
    <row r="350" customFormat="false" ht="15" hidden="false" customHeight="true" outlineLevel="0" collapsed="false">
      <c r="A350" s="38" t="s">
        <v>130</v>
      </c>
      <c r="B350" s="31" t="n">
        <v>18</v>
      </c>
      <c r="C350" s="39" t="s">
        <v>334</v>
      </c>
      <c r="D350" s="31" t="n">
        <v>23</v>
      </c>
      <c r="E350" s="40" t="n">
        <v>1</v>
      </c>
      <c r="F350" s="40" t="n">
        <v>0.652173913043478</v>
      </c>
      <c r="G350" s="40" t="n">
        <v>0.826086956521739</v>
      </c>
      <c r="H350" s="32"/>
      <c r="I350" s="32"/>
      <c r="J350" s="32"/>
      <c r="K350" s="32"/>
      <c r="L350" s="32"/>
      <c r="M350" s="32"/>
      <c r="N350" s="32"/>
      <c r="O350" s="32"/>
      <c r="P350" s="32"/>
      <c r="Q350" s="32"/>
      <c r="R350" s="32"/>
      <c r="S350" s="32"/>
      <c r="T350" s="32"/>
      <c r="U350" s="32"/>
      <c r="V350" s="32"/>
    </row>
    <row r="351" customFormat="false" ht="15" hidden="false" customHeight="true" outlineLevel="0" collapsed="false">
      <c r="A351" s="38" t="s">
        <v>131</v>
      </c>
      <c r="B351" s="31" t="n">
        <v>19</v>
      </c>
      <c r="C351" s="39" t="s">
        <v>334</v>
      </c>
      <c r="D351" s="31" t="n">
        <v>13</v>
      </c>
      <c r="E351" s="40" t="n">
        <v>1</v>
      </c>
      <c r="F351" s="40" t="n">
        <v>0.846153846153846</v>
      </c>
      <c r="G351" s="32"/>
      <c r="H351" s="32"/>
      <c r="I351" s="32"/>
      <c r="J351" s="32"/>
      <c r="K351" s="32"/>
      <c r="L351" s="32"/>
      <c r="M351" s="32"/>
      <c r="N351" s="32"/>
      <c r="O351" s="32"/>
      <c r="P351" s="32"/>
      <c r="Q351" s="32"/>
      <c r="R351" s="32"/>
      <c r="S351" s="32"/>
      <c r="T351" s="32"/>
      <c r="U351" s="32"/>
      <c r="V351" s="32"/>
    </row>
    <row r="352" customFormat="false" ht="15" hidden="false" customHeight="true" outlineLevel="0" collapsed="false">
      <c r="A352" s="38" t="s">
        <v>132</v>
      </c>
      <c r="B352" s="31" t="n">
        <v>20</v>
      </c>
      <c r="C352" s="39" t="s">
        <v>334</v>
      </c>
      <c r="D352" s="31" t="n">
        <v>24</v>
      </c>
      <c r="E352" s="40" t="n">
        <v>1</v>
      </c>
      <c r="F352" s="32"/>
      <c r="G352" s="32"/>
      <c r="H352" s="32"/>
      <c r="I352" s="32"/>
      <c r="J352" s="32"/>
      <c r="K352" s="32"/>
      <c r="L352" s="32"/>
      <c r="M352" s="32"/>
      <c r="N352" s="32"/>
      <c r="O352" s="32"/>
      <c r="P352" s="32"/>
      <c r="Q352" s="32"/>
      <c r="R352" s="32"/>
      <c r="S352" s="32"/>
      <c r="T352" s="32"/>
      <c r="U352" s="32"/>
      <c r="V352" s="32"/>
    </row>
    <row r="353" customFormat="false" ht="15" hidden="false" customHeight="true" outlineLevel="0" collapsed="false">
      <c r="A353" s="34" t="s">
        <v>335</v>
      </c>
      <c r="B353" s="36"/>
      <c r="C353" s="36"/>
      <c r="D353" s="36"/>
      <c r="E353" s="44" t="n">
        <v>1</v>
      </c>
      <c r="F353" s="44" t="n">
        <v>0.791519434628975</v>
      </c>
      <c r="G353" s="44" t="n">
        <v>0.678445229681979</v>
      </c>
      <c r="H353" s="44" t="n">
        <v>0.683745583038869</v>
      </c>
      <c r="I353" s="44" t="n">
        <v>0.157243816254417</v>
      </c>
      <c r="J353" s="44" t="n">
        <v>0.0777385159010601</v>
      </c>
      <c r="K353" s="44" t="n">
        <v>0.0618374558303887</v>
      </c>
      <c r="L353" s="44" t="n">
        <v>0.0282685512367491</v>
      </c>
      <c r="M353" s="44" t="n">
        <v>0.0123674911660777</v>
      </c>
      <c r="N353" s="44" t="n">
        <v>0.0123674911660777</v>
      </c>
      <c r="O353" s="44" t="n">
        <v>0.0106007067137809</v>
      </c>
      <c r="P353" s="44" t="n">
        <v>0.00530035335689046</v>
      </c>
      <c r="Q353" s="44" t="n">
        <v>0.00353356890459364</v>
      </c>
      <c r="R353" s="44" t="n">
        <v>0.00353356890459364</v>
      </c>
      <c r="S353" s="44" t="n">
        <v>0.00176678445229682</v>
      </c>
      <c r="T353" s="44" t="n">
        <v>0.00176678445229682</v>
      </c>
      <c r="U353" s="44" t="n">
        <v>0.00353356890459364</v>
      </c>
      <c r="V353" s="44" t="n">
        <v>0.00176678445229682</v>
      </c>
    </row>
    <row r="354" customFormat="false" ht="15" hidden="false" customHeight="true" outlineLevel="0" collapsed="false">
      <c r="A354" s="34" t="s">
        <v>336</v>
      </c>
      <c r="B354" s="36"/>
      <c r="C354" s="36"/>
      <c r="D354" s="36"/>
      <c r="E354" s="44" t="n">
        <v>1</v>
      </c>
      <c r="F354" s="44" t="n">
        <v>0.777156038383266</v>
      </c>
      <c r="G354" s="44" t="n">
        <v>0.678787774581515</v>
      </c>
      <c r="H354" s="44" t="n">
        <v>0.668808082106188</v>
      </c>
      <c r="I354" s="44" t="n">
        <v>0.137616143855058</v>
      </c>
      <c r="J354" s="44" t="n">
        <v>0.0767768322888275</v>
      </c>
      <c r="K354" s="44" t="n">
        <v>0.0518914331575664</v>
      </c>
      <c r="L354" s="44" t="n">
        <v>0.0241682886093116</v>
      </c>
      <c r="M354" s="44" t="n">
        <v>0.0126782438065875</v>
      </c>
      <c r="N354" s="44" t="n">
        <v>0.0127741024475173</v>
      </c>
      <c r="O354" s="44" t="n">
        <v>0.00959633234228292</v>
      </c>
      <c r="P354" s="44" t="n">
        <v>0.00533819204705281</v>
      </c>
      <c r="Q354" s="44" t="n">
        <v>0.00363145880888151</v>
      </c>
      <c r="R354" s="44" t="n">
        <v>0.00390915860014892</v>
      </c>
      <c r="S354" s="44" t="n">
        <v>0.00245098039215686</v>
      </c>
      <c r="T354" s="44" t="n">
        <v>0.00327868852459016</v>
      </c>
      <c r="U354" s="44" t="n">
        <v>0.007774831243973</v>
      </c>
      <c r="V354" s="44" t="n">
        <v>0.00546448087431694</v>
      </c>
    </row>
    <row r="355" customFormat="false" ht="15" hidden="false" customHeight="true" outlineLevel="0" collapsed="false">
      <c r="A355" s="45" t="s">
        <v>352</v>
      </c>
      <c r="B355" s="45"/>
      <c r="C355" s="45"/>
      <c r="D355" s="45"/>
      <c r="E355" s="45"/>
      <c r="F355" s="45"/>
      <c r="G355" s="45"/>
      <c r="H355" s="45"/>
      <c r="I355" s="45"/>
      <c r="J355" s="45"/>
      <c r="K355" s="45"/>
      <c r="L355" s="45"/>
      <c r="M355" s="45"/>
      <c r="N355" s="45"/>
      <c r="O355" s="45"/>
      <c r="P355" s="45"/>
      <c r="Q355" s="45"/>
      <c r="R355" s="45"/>
      <c r="S355" s="45"/>
      <c r="T355" s="45"/>
      <c r="U355" s="45"/>
      <c r="V355" s="45"/>
    </row>
    <row r="357" customFormat="false" ht="15" hidden="false" customHeight="true" outlineLevel="0" collapsed="false">
      <c r="A357" s="28" t="s">
        <v>308</v>
      </c>
      <c r="B357" s="28"/>
      <c r="C357" s="28"/>
      <c r="D357" s="28"/>
      <c r="E357" s="28"/>
      <c r="F357" s="28"/>
      <c r="G357" s="28"/>
      <c r="H357" s="28"/>
      <c r="I357" s="28"/>
      <c r="J357" s="28"/>
      <c r="K357" s="28"/>
      <c r="L357" s="28"/>
      <c r="M357" s="28"/>
      <c r="N357" s="28"/>
    </row>
    <row r="358" customFormat="false" ht="15" hidden="false" customHeight="true" outlineLevel="0" collapsed="false">
      <c r="A358" s="12" t="s">
        <v>330</v>
      </c>
      <c r="B358" s="12" t="s">
        <v>331</v>
      </c>
      <c r="C358" s="12" t="s">
        <v>332</v>
      </c>
      <c r="D358" s="12" t="s">
        <v>333</v>
      </c>
      <c r="E358" s="37" t="n">
        <v>1</v>
      </c>
      <c r="F358" s="37" t="n">
        <v>2</v>
      </c>
      <c r="G358" s="37" t="n">
        <v>3</v>
      </c>
      <c r="H358" s="37" t="n">
        <v>4</v>
      </c>
      <c r="I358" s="37" t="n">
        <v>5</v>
      </c>
      <c r="J358" s="37" t="n">
        <v>6</v>
      </c>
      <c r="K358" s="37" t="n">
        <v>7</v>
      </c>
      <c r="L358" s="37" t="n">
        <v>8</v>
      </c>
      <c r="M358" s="37" t="n">
        <v>9</v>
      </c>
      <c r="N358" s="37" t="n">
        <v>10</v>
      </c>
    </row>
    <row r="359" customFormat="false" ht="15" hidden="false" customHeight="true" outlineLevel="0" collapsed="false">
      <c r="A359" s="42" t="s">
        <v>114</v>
      </c>
      <c r="B359" s="31" t="n">
        <v>2</v>
      </c>
      <c r="C359" s="43" t="s">
        <v>338</v>
      </c>
      <c r="D359" s="31" t="n">
        <v>14</v>
      </c>
      <c r="E359" s="40" t="n">
        <v>1</v>
      </c>
      <c r="F359" s="40" t="n">
        <v>0.857142857142857</v>
      </c>
      <c r="G359" s="40" t="n">
        <v>0.857142857142857</v>
      </c>
      <c r="H359" s="40" t="n">
        <v>0.928571428571429</v>
      </c>
      <c r="I359" s="40" t="n">
        <v>0.214285714285714</v>
      </c>
      <c r="J359" s="40" t="n">
        <v>0.142857142857143</v>
      </c>
      <c r="K359" s="40" t="n">
        <v>0.142857142857143</v>
      </c>
      <c r="L359" s="40" t="n">
        <v>0</v>
      </c>
      <c r="M359" s="40" t="n">
        <v>0</v>
      </c>
      <c r="N359" s="40" t="n">
        <v>0</v>
      </c>
    </row>
    <row r="360" customFormat="false" ht="15" hidden="false" customHeight="true" outlineLevel="0" collapsed="false">
      <c r="A360" s="42" t="s">
        <v>115</v>
      </c>
      <c r="B360" s="31" t="n">
        <v>3</v>
      </c>
      <c r="C360" s="43" t="s">
        <v>338</v>
      </c>
      <c r="D360" s="31" t="n">
        <v>14</v>
      </c>
      <c r="E360" s="40" t="n">
        <v>1</v>
      </c>
      <c r="F360" s="40" t="n">
        <v>0.785714285714286</v>
      </c>
      <c r="G360" s="40" t="n">
        <v>0.642857142857143</v>
      </c>
      <c r="H360" s="40" t="n">
        <v>0.642857142857143</v>
      </c>
      <c r="I360" s="40" t="n">
        <v>0.142857142857143</v>
      </c>
      <c r="J360" s="40" t="n">
        <v>0.0714285714285714</v>
      </c>
      <c r="K360" s="40" t="n">
        <v>0</v>
      </c>
      <c r="L360" s="40" t="n">
        <v>0</v>
      </c>
      <c r="M360" s="40" t="n">
        <v>0</v>
      </c>
      <c r="N360" s="40" t="n">
        <v>0</v>
      </c>
    </row>
    <row r="361" customFormat="false" ht="15" hidden="false" customHeight="true" outlineLevel="0" collapsed="false">
      <c r="A361" s="42" t="s">
        <v>117</v>
      </c>
      <c r="B361" s="31" t="n">
        <v>5</v>
      </c>
      <c r="C361" s="43" t="s">
        <v>338</v>
      </c>
      <c r="D361" s="31" t="n">
        <v>11</v>
      </c>
      <c r="E361" s="40" t="n">
        <v>1</v>
      </c>
      <c r="F361" s="40" t="n">
        <v>0.727272727272727</v>
      </c>
      <c r="G361" s="40" t="n">
        <v>0.727272727272727</v>
      </c>
      <c r="H361" s="40" t="n">
        <v>0.636363636363636</v>
      </c>
      <c r="I361" s="40" t="n">
        <v>0.0909090909090909</v>
      </c>
      <c r="J361" s="40" t="n">
        <v>0</v>
      </c>
      <c r="K361" s="40" t="n">
        <v>0</v>
      </c>
      <c r="L361" s="40" t="n">
        <v>0</v>
      </c>
      <c r="M361" s="40" t="n">
        <v>0</v>
      </c>
      <c r="N361" s="40" t="n">
        <v>0</v>
      </c>
    </row>
    <row r="362" customFormat="false" ht="15" hidden="false" customHeight="true" outlineLevel="0" collapsed="false">
      <c r="A362" s="42" t="s">
        <v>118</v>
      </c>
      <c r="B362" s="31" t="n">
        <v>6</v>
      </c>
      <c r="C362" s="43" t="s">
        <v>338</v>
      </c>
      <c r="D362" s="31" t="n">
        <v>5</v>
      </c>
      <c r="E362" s="40" t="n">
        <v>1</v>
      </c>
      <c r="F362" s="40" t="n">
        <v>0.8</v>
      </c>
      <c r="G362" s="40" t="n">
        <v>0.6</v>
      </c>
      <c r="H362" s="40" t="n">
        <v>0.6</v>
      </c>
      <c r="I362" s="40" t="n">
        <v>0</v>
      </c>
      <c r="J362" s="40" t="n">
        <v>0</v>
      </c>
      <c r="K362" s="40" t="n">
        <v>0</v>
      </c>
      <c r="L362" s="40" t="n">
        <v>0</v>
      </c>
      <c r="M362" s="40" t="n">
        <v>0</v>
      </c>
      <c r="N362" s="40" t="n">
        <v>0</v>
      </c>
    </row>
    <row r="363" customFormat="false" ht="15" hidden="false" customHeight="true" outlineLevel="0" collapsed="false">
      <c r="A363" s="42" t="s">
        <v>120</v>
      </c>
      <c r="B363" s="31" t="n">
        <v>8</v>
      </c>
      <c r="C363" s="43" t="s">
        <v>338</v>
      </c>
      <c r="D363" s="31" t="n">
        <v>6</v>
      </c>
      <c r="E363" s="40" t="n">
        <v>1</v>
      </c>
      <c r="F363" s="40" t="n">
        <v>0.833333333333333</v>
      </c>
      <c r="G363" s="40" t="n">
        <v>0.833333333333333</v>
      </c>
      <c r="H363" s="40" t="n">
        <v>0.833333333333333</v>
      </c>
      <c r="I363" s="40" t="n">
        <v>0.166666666666667</v>
      </c>
      <c r="J363" s="40" t="n">
        <v>0.166666666666667</v>
      </c>
      <c r="K363" s="40" t="n">
        <v>0.166666666666667</v>
      </c>
      <c r="L363" s="40" t="n">
        <v>0.166666666666667</v>
      </c>
      <c r="M363" s="40" t="n">
        <v>0</v>
      </c>
      <c r="N363" s="40" t="n">
        <v>0</v>
      </c>
    </row>
    <row r="364" customFormat="false" ht="15" hidden="false" customHeight="true" outlineLevel="0" collapsed="false">
      <c r="A364" s="42" t="s">
        <v>121</v>
      </c>
      <c r="B364" s="31" t="n">
        <v>9</v>
      </c>
      <c r="C364" s="43" t="s">
        <v>338</v>
      </c>
      <c r="D364" s="31" t="n">
        <v>4</v>
      </c>
      <c r="E364" s="40" t="n">
        <v>1</v>
      </c>
      <c r="F364" s="40" t="n">
        <v>0.75</v>
      </c>
      <c r="G364" s="40" t="n">
        <v>1</v>
      </c>
      <c r="H364" s="40" t="n">
        <v>0.75</v>
      </c>
      <c r="I364" s="40" t="n">
        <v>0</v>
      </c>
      <c r="J364" s="40" t="n">
        <v>0</v>
      </c>
      <c r="K364" s="40" t="n">
        <v>0</v>
      </c>
      <c r="L364" s="40" t="n">
        <v>0</v>
      </c>
      <c r="M364" s="40" t="n">
        <v>0</v>
      </c>
      <c r="N364" s="40" t="n">
        <v>0</v>
      </c>
    </row>
    <row r="365" customFormat="false" ht="15" hidden="false" customHeight="true" outlineLevel="0" collapsed="false">
      <c r="A365" s="42" t="s">
        <v>123</v>
      </c>
      <c r="B365" s="31" t="n">
        <v>11</v>
      </c>
      <c r="C365" s="43" t="s">
        <v>338</v>
      </c>
      <c r="D365" s="31" t="n">
        <v>8</v>
      </c>
      <c r="E365" s="40" t="n">
        <v>1</v>
      </c>
      <c r="F365" s="40" t="n">
        <v>0.625</v>
      </c>
      <c r="G365" s="40" t="n">
        <v>0.5</v>
      </c>
      <c r="H365" s="40" t="n">
        <v>0.75</v>
      </c>
      <c r="I365" s="40" t="n">
        <v>0.375</v>
      </c>
      <c r="J365" s="40" t="n">
        <v>0.125</v>
      </c>
      <c r="K365" s="40" t="n">
        <v>0.25</v>
      </c>
      <c r="L365" s="40" t="n">
        <v>0.125</v>
      </c>
      <c r="M365" s="40" t="n">
        <v>0.125</v>
      </c>
      <c r="N365" s="40" t="n">
        <v>0.125</v>
      </c>
    </row>
    <row r="366" customFormat="false" ht="15" hidden="false" customHeight="true" outlineLevel="0" collapsed="false">
      <c r="A366" s="42" t="s">
        <v>124</v>
      </c>
      <c r="B366" s="31" t="n">
        <v>12</v>
      </c>
      <c r="C366" s="43" t="s">
        <v>338</v>
      </c>
      <c r="D366" s="31" t="n">
        <v>6</v>
      </c>
      <c r="E366" s="40" t="n">
        <v>1</v>
      </c>
      <c r="F366" s="40" t="n">
        <v>0.666666666666667</v>
      </c>
      <c r="G366" s="40" t="n">
        <v>0.5</v>
      </c>
      <c r="H366" s="40" t="n">
        <v>0.333333333333333</v>
      </c>
      <c r="I366" s="40" t="n">
        <v>0.166666666666667</v>
      </c>
      <c r="J366" s="40" t="n">
        <v>0</v>
      </c>
      <c r="K366" s="40" t="n">
        <v>0</v>
      </c>
      <c r="L366" s="40" t="n">
        <v>0</v>
      </c>
      <c r="M366" s="40" t="n">
        <v>0</v>
      </c>
      <c r="N366" s="32"/>
    </row>
    <row r="367" customFormat="false" ht="15" hidden="false" customHeight="true" outlineLevel="0" collapsed="false">
      <c r="A367" s="38" t="s">
        <v>129</v>
      </c>
      <c r="B367" s="31" t="n">
        <v>17</v>
      </c>
      <c r="C367" s="39" t="s">
        <v>334</v>
      </c>
      <c r="D367" s="31" t="n">
        <v>5</v>
      </c>
      <c r="E367" s="40" t="n">
        <v>1</v>
      </c>
      <c r="F367" s="40" t="n">
        <v>0.8</v>
      </c>
      <c r="G367" s="40" t="n">
        <v>0.6</v>
      </c>
      <c r="H367" s="40" t="n">
        <v>0.8</v>
      </c>
      <c r="I367" s="32"/>
      <c r="J367" s="32"/>
      <c r="K367" s="32"/>
      <c r="L367" s="32"/>
      <c r="M367" s="32"/>
      <c r="N367" s="32"/>
    </row>
    <row r="368" customFormat="false" ht="15" hidden="false" customHeight="true" outlineLevel="0" collapsed="false">
      <c r="A368" s="38" t="s">
        <v>130</v>
      </c>
      <c r="B368" s="31" t="n">
        <v>18</v>
      </c>
      <c r="C368" s="39" t="s">
        <v>334</v>
      </c>
      <c r="D368" s="31" t="n">
        <v>2</v>
      </c>
      <c r="E368" s="40" t="n">
        <v>1</v>
      </c>
      <c r="F368" s="40" t="n">
        <v>1</v>
      </c>
      <c r="G368" s="40" t="n">
        <v>1</v>
      </c>
      <c r="H368" s="32"/>
      <c r="I368" s="32"/>
      <c r="J368" s="32"/>
      <c r="K368" s="32"/>
      <c r="L368" s="32"/>
      <c r="M368" s="32"/>
      <c r="N368" s="32"/>
    </row>
    <row r="369" customFormat="false" ht="15" hidden="false" customHeight="true" outlineLevel="0" collapsed="false">
      <c r="A369" s="38" t="s">
        <v>132</v>
      </c>
      <c r="B369" s="31" t="n">
        <v>20</v>
      </c>
      <c r="C369" s="39" t="s">
        <v>334</v>
      </c>
      <c r="D369" s="31" t="n">
        <v>5</v>
      </c>
      <c r="E369" s="40" t="n">
        <v>1</v>
      </c>
      <c r="F369" s="32"/>
      <c r="G369" s="32"/>
      <c r="H369" s="32"/>
      <c r="I369" s="32"/>
      <c r="J369" s="32"/>
      <c r="K369" s="32"/>
      <c r="L369" s="32"/>
      <c r="M369" s="32"/>
      <c r="N369" s="32"/>
    </row>
    <row r="370" customFormat="false" ht="15" hidden="false" customHeight="true" outlineLevel="0" collapsed="false">
      <c r="A370" s="34" t="s">
        <v>335</v>
      </c>
      <c r="B370" s="36"/>
      <c r="C370" s="36"/>
      <c r="D370" s="36"/>
      <c r="E370" s="44" t="n">
        <v>1</v>
      </c>
      <c r="F370" s="44" t="n">
        <v>0.764705882352941</v>
      </c>
      <c r="G370" s="44" t="n">
        <v>0.705882352941177</v>
      </c>
      <c r="H370" s="44" t="n">
        <v>0.705882352941177</v>
      </c>
      <c r="I370" s="44" t="n">
        <v>0.161764705882353</v>
      </c>
      <c r="J370" s="44" t="n">
        <v>0.0735294117647059</v>
      </c>
      <c r="K370" s="44" t="n">
        <v>0.0735294117647059</v>
      </c>
      <c r="L370" s="44" t="n">
        <v>0.0294117647058824</v>
      </c>
      <c r="M370" s="44" t="n">
        <v>0.0147058823529412</v>
      </c>
      <c r="N370" s="44" t="n">
        <v>0.0147058823529412</v>
      </c>
    </row>
    <row r="371" customFormat="false" ht="15" hidden="false" customHeight="true" outlineLevel="0" collapsed="false">
      <c r="A371" s="34" t="s">
        <v>336</v>
      </c>
      <c r="B371" s="36"/>
      <c r="C371" s="36"/>
      <c r="D371" s="36"/>
      <c r="E371" s="44" t="n">
        <v>1</v>
      </c>
      <c r="F371" s="44" t="n">
        <v>0.755641233766234</v>
      </c>
      <c r="G371" s="44" t="n">
        <v>0.707575757575758</v>
      </c>
      <c r="H371" s="44" t="n">
        <v>0.684307359307359</v>
      </c>
      <c r="I371" s="44" t="n">
        <v>0.14454816017316</v>
      </c>
      <c r="J371" s="44" t="n">
        <v>0.0632440476190476</v>
      </c>
      <c r="K371" s="44" t="n">
        <v>0.0699404761904762</v>
      </c>
      <c r="L371" s="44" t="n">
        <v>0.0364583333333333</v>
      </c>
      <c r="M371" s="44" t="n">
        <v>0.015625</v>
      </c>
      <c r="N371" s="44" t="n">
        <v>0.0178571428571429</v>
      </c>
    </row>
    <row r="372" customFormat="false" ht="15" hidden="false" customHeight="true" outlineLevel="0" collapsed="false">
      <c r="A372" s="45" t="s">
        <v>353</v>
      </c>
      <c r="B372" s="45"/>
      <c r="C372" s="45"/>
      <c r="D372" s="45"/>
      <c r="E372" s="45"/>
      <c r="F372" s="45"/>
      <c r="G372" s="45"/>
      <c r="H372" s="45"/>
      <c r="I372" s="45"/>
      <c r="J372" s="45"/>
      <c r="K372" s="45"/>
      <c r="L372" s="45"/>
      <c r="M372" s="45"/>
      <c r="N372" s="45"/>
    </row>
    <row r="374" customFormat="false" ht="15" hidden="false" customHeight="true" outlineLevel="0" collapsed="false">
      <c r="A374" s="28" t="s">
        <v>309</v>
      </c>
      <c r="B374" s="28"/>
      <c r="C374" s="28"/>
      <c r="D374" s="28"/>
      <c r="E374" s="28"/>
      <c r="F374" s="28"/>
      <c r="G374" s="28"/>
      <c r="H374" s="28"/>
      <c r="I374" s="28"/>
      <c r="J374" s="28"/>
    </row>
    <row r="375" customFormat="false" ht="15" hidden="false" customHeight="true" outlineLevel="0" collapsed="false">
      <c r="A375" s="12" t="s">
        <v>330</v>
      </c>
      <c r="B375" s="12" t="s">
        <v>331</v>
      </c>
      <c r="C375" s="12" t="s">
        <v>332</v>
      </c>
      <c r="D375" s="12" t="s">
        <v>333</v>
      </c>
      <c r="E375" s="37" t="n">
        <v>1</v>
      </c>
      <c r="F375" s="37" t="n">
        <v>2</v>
      </c>
      <c r="G375" s="37" t="n">
        <v>3</v>
      </c>
      <c r="H375" s="37" t="n">
        <v>4</v>
      </c>
      <c r="I375" s="37" t="n">
        <v>5</v>
      </c>
      <c r="J375" s="37" t="n">
        <v>6</v>
      </c>
    </row>
    <row r="376" customFormat="false" ht="15" hidden="false" customHeight="true" outlineLevel="0" collapsed="false">
      <c r="A376" s="38" t="s">
        <v>126</v>
      </c>
      <c r="B376" s="31" t="n">
        <v>14</v>
      </c>
      <c r="C376" s="39" t="s">
        <v>334</v>
      </c>
      <c r="D376" s="31" t="n">
        <v>16</v>
      </c>
      <c r="E376" s="40" t="n">
        <v>1</v>
      </c>
      <c r="F376" s="40" t="n">
        <v>0.75</v>
      </c>
      <c r="G376" s="40" t="n">
        <v>0.6875</v>
      </c>
      <c r="H376" s="40" t="n">
        <v>0.1875</v>
      </c>
      <c r="I376" s="40" t="n">
        <v>0.125</v>
      </c>
      <c r="J376" s="40" t="n">
        <v>0.0625</v>
      </c>
    </row>
    <row r="377" customFormat="false" ht="15" hidden="false" customHeight="true" outlineLevel="0" collapsed="false">
      <c r="A377" s="38" t="s">
        <v>127</v>
      </c>
      <c r="B377" s="31" t="n">
        <v>15</v>
      </c>
      <c r="C377" s="39" t="s">
        <v>334</v>
      </c>
      <c r="D377" s="31" t="n">
        <v>12</v>
      </c>
      <c r="E377" s="40" t="n">
        <v>1</v>
      </c>
      <c r="F377" s="40" t="n">
        <v>0.916666666666667</v>
      </c>
      <c r="G377" s="40" t="n">
        <v>0.916666666666667</v>
      </c>
      <c r="H377" s="40" t="n">
        <v>0.25</v>
      </c>
      <c r="I377" s="40" t="n">
        <v>0.25</v>
      </c>
      <c r="J377" s="40" t="n">
        <v>0.166666666666667</v>
      </c>
    </row>
    <row r="378" customFormat="false" ht="15" hidden="false" customHeight="true" outlineLevel="0" collapsed="false">
      <c r="A378" s="38" t="s">
        <v>128</v>
      </c>
      <c r="B378" s="31" t="n">
        <v>16</v>
      </c>
      <c r="C378" s="39" t="s">
        <v>334</v>
      </c>
      <c r="D378" s="31" t="n">
        <v>1</v>
      </c>
      <c r="E378" s="40" t="n">
        <v>1</v>
      </c>
      <c r="F378" s="40" t="n">
        <v>1</v>
      </c>
      <c r="G378" s="40" t="n">
        <v>1</v>
      </c>
      <c r="H378" s="40" t="n">
        <v>1</v>
      </c>
      <c r="I378" s="40" t="n">
        <v>0</v>
      </c>
      <c r="J378" s="32"/>
    </row>
    <row r="379" customFormat="false" ht="15" hidden="false" customHeight="true" outlineLevel="0" collapsed="false">
      <c r="A379" s="38" t="s">
        <v>129</v>
      </c>
      <c r="B379" s="31" t="n">
        <v>17</v>
      </c>
      <c r="C379" s="39" t="s">
        <v>334</v>
      </c>
      <c r="D379" s="31" t="n">
        <v>15</v>
      </c>
      <c r="E379" s="40" t="n">
        <v>1</v>
      </c>
      <c r="F379" s="40" t="n">
        <v>0.933333333333333</v>
      </c>
      <c r="G379" s="40" t="n">
        <v>0.866666666666667</v>
      </c>
      <c r="H379" s="40" t="n">
        <v>0.533333333333333</v>
      </c>
      <c r="I379" s="32"/>
      <c r="J379" s="32"/>
    </row>
    <row r="380" customFormat="false" ht="15" hidden="false" customHeight="true" outlineLevel="0" collapsed="false">
      <c r="A380" s="38" t="s">
        <v>130</v>
      </c>
      <c r="B380" s="31" t="n">
        <v>18</v>
      </c>
      <c r="C380" s="39" t="s">
        <v>334</v>
      </c>
      <c r="D380" s="31" t="n">
        <v>3</v>
      </c>
      <c r="E380" s="40" t="n">
        <v>1</v>
      </c>
      <c r="F380" s="40" t="n">
        <v>0.666666666666667</v>
      </c>
      <c r="G380" s="40" t="n">
        <v>0.333333333333333</v>
      </c>
      <c r="H380" s="32"/>
      <c r="I380" s="32"/>
      <c r="J380" s="32"/>
    </row>
    <row r="381" customFormat="false" ht="15" hidden="false" customHeight="true" outlineLevel="0" collapsed="false">
      <c r="A381" s="38" t="s">
        <v>132</v>
      </c>
      <c r="B381" s="31" t="n">
        <v>20</v>
      </c>
      <c r="C381" s="39" t="s">
        <v>334</v>
      </c>
      <c r="D381" s="31" t="n">
        <v>19</v>
      </c>
      <c r="E381" s="40" t="n">
        <v>1</v>
      </c>
      <c r="F381" s="32"/>
      <c r="G381" s="32"/>
      <c r="H381" s="32"/>
      <c r="I381" s="32"/>
      <c r="J381" s="32"/>
    </row>
    <row r="382" customFormat="false" ht="15" hidden="false" customHeight="true" outlineLevel="0" collapsed="false">
      <c r="A382" s="34" t="s">
        <v>335</v>
      </c>
      <c r="B382" s="36"/>
      <c r="C382" s="36"/>
      <c r="D382" s="36"/>
      <c r="E382" s="36"/>
      <c r="F382" s="36"/>
      <c r="G382" s="36"/>
      <c r="H382" s="36"/>
      <c r="I382" s="36"/>
      <c r="J382" s="36"/>
    </row>
    <row r="383" customFormat="false" ht="15" hidden="false" customHeight="true" outlineLevel="0" collapsed="false">
      <c r="A383" s="34" t="s">
        <v>336</v>
      </c>
      <c r="B383" s="36"/>
      <c r="C383" s="36"/>
      <c r="D383" s="36"/>
      <c r="E383" s="36"/>
      <c r="F383" s="36"/>
      <c r="G383" s="36"/>
      <c r="H383" s="36"/>
      <c r="I383" s="36"/>
      <c r="J383" s="36"/>
    </row>
    <row r="384" customFormat="false" ht="15" hidden="false" customHeight="true" outlineLevel="0" collapsed="false">
      <c r="A384" s="41" t="s">
        <v>337</v>
      </c>
      <c r="B384" s="41"/>
      <c r="C384" s="41"/>
      <c r="D384" s="41"/>
      <c r="E384" s="41"/>
      <c r="F384" s="41"/>
      <c r="G384" s="41"/>
      <c r="H384" s="41"/>
      <c r="I384" s="41"/>
      <c r="J384" s="41"/>
    </row>
    <row r="386" customFormat="false" ht="15" hidden="false" customHeight="true" outlineLevel="0" collapsed="false">
      <c r="A386" s="28" t="s">
        <v>310</v>
      </c>
      <c r="B386" s="28"/>
      <c r="C386" s="28"/>
      <c r="D386" s="28"/>
      <c r="E386" s="28"/>
      <c r="F386" s="28"/>
      <c r="G386" s="28"/>
      <c r="H386" s="28"/>
      <c r="I386" s="28"/>
      <c r="J386" s="28"/>
      <c r="K386" s="28"/>
      <c r="L386" s="28"/>
      <c r="M386" s="28"/>
    </row>
    <row r="387" customFormat="false" ht="15" hidden="false" customHeight="true" outlineLevel="0" collapsed="false">
      <c r="A387" s="12" t="s">
        <v>330</v>
      </c>
      <c r="B387" s="12" t="s">
        <v>331</v>
      </c>
      <c r="C387" s="12" t="s">
        <v>332</v>
      </c>
      <c r="D387" s="12" t="s">
        <v>333</v>
      </c>
      <c r="E387" s="37" t="n">
        <v>1</v>
      </c>
      <c r="F387" s="37" t="n">
        <v>2</v>
      </c>
      <c r="G387" s="37" t="n">
        <v>3</v>
      </c>
      <c r="H387" s="37" t="n">
        <v>4</v>
      </c>
      <c r="I387" s="37" t="n">
        <v>5</v>
      </c>
      <c r="J387" s="37" t="n">
        <v>6</v>
      </c>
      <c r="K387" s="37" t="n">
        <v>7</v>
      </c>
      <c r="L387" s="37" t="n">
        <v>8</v>
      </c>
      <c r="M387" s="37" t="n">
        <v>9</v>
      </c>
    </row>
    <row r="388" customFormat="false" ht="15" hidden="false" customHeight="true" outlineLevel="0" collapsed="false">
      <c r="A388" s="42" t="s">
        <v>123</v>
      </c>
      <c r="B388" s="31" t="n">
        <v>11</v>
      </c>
      <c r="C388" s="43" t="s">
        <v>338</v>
      </c>
      <c r="D388" s="31" t="n">
        <v>22</v>
      </c>
      <c r="E388" s="40" t="n">
        <v>1</v>
      </c>
      <c r="F388" s="40" t="n">
        <v>0.5</v>
      </c>
      <c r="G388" s="40" t="n">
        <v>0.409090909090909</v>
      </c>
      <c r="H388" s="40" t="n">
        <v>0.409090909090909</v>
      </c>
      <c r="I388" s="40" t="n">
        <v>0.318181818181818</v>
      </c>
      <c r="J388" s="40" t="n">
        <v>0.0909090909090909</v>
      </c>
      <c r="K388" s="40" t="n">
        <v>0.136363636363636</v>
      </c>
      <c r="L388" s="40" t="n">
        <v>0.0909090909090909</v>
      </c>
      <c r="M388" s="40" t="n">
        <v>0.0454545454545455</v>
      </c>
    </row>
    <row r="389" customFormat="false" ht="15" hidden="false" customHeight="true" outlineLevel="0" collapsed="false">
      <c r="A389" s="42" t="s">
        <v>124</v>
      </c>
      <c r="B389" s="31" t="n">
        <v>12</v>
      </c>
      <c r="C389" s="43" t="s">
        <v>338</v>
      </c>
      <c r="D389" s="31" t="n">
        <v>27</v>
      </c>
      <c r="E389" s="40" t="n">
        <v>1</v>
      </c>
      <c r="F389" s="40" t="n">
        <v>0.592592592592593</v>
      </c>
      <c r="G389" s="40" t="n">
        <v>0.444444444444444</v>
      </c>
      <c r="H389" s="40" t="n">
        <v>0.444444444444444</v>
      </c>
      <c r="I389" s="40" t="n">
        <v>0.444444444444444</v>
      </c>
      <c r="J389" s="40" t="n">
        <v>0.148148148148148</v>
      </c>
      <c r="K389" s="40" t="n">
        <v>0.111111111111111</v>
      </c>
      <c r="L389" s="40" t="n">
        <v>0</v>
      </c>
      <c r="M389" s="40" t="n">
        <v>0.037037037037037</v>
      </c>
    </row>
    <row r="390" customFormat="false" ht="15" hidden="false" customHeight="true" outlineLevel="0" collapsed="false">
      <c r="A390" s="38" t="s">
        <v>125</v>
      </c>
      <c r="B390" s="31" t="n">
        <v>13</v>
      </c>
      <c r="C390" s="39" t="s">
        <v>334</v>
      </c>
      <c r="D390" s="31" t="n">
        <v>26</v>
      </c>
      <c r="E390" s="40" t="n">
        <v>1</v>
      </c>
      <c r="F390" s="40" t="n">
        <v>0.653846153846154</v>
      </c>
      <c r="G390" s="40" t="n">
        <v>0.461538461538462</v>
      </c>
      <c r="H390" s="40" t="n">
        <v>0.423076923076923</v>
      </c>
      <c r="I390" s="40" t="n">
        <v>0.423076923076923</v>
      </c>
      <c r="J390" s="40" t="n">
        <v>0.0769230769230769</v>
      </c>
      <c r="K390" s="40" t="n">
        <v>0.0384615384615385</v>
      </c>
      <c r="L390" s="40" t="n">
        <v>0.0384615384615385</v>
      </c>
      <c r="M390" s="32"/>
    </row>
    <row r="391" customFormat="false" ht="15" hidden="false" customHeight="true" outlineLevel="0" collapsed="false">
      <c r="A391" s="38" t="s">
        <v>126</v>
      </c>
      <c r="B391" s="31" t="n">
        <v>14</v>
      </c>
      <c r="C391" s="39" t="s">
        <v>334</v>
      </c>
      <c r="D391" s="31" t="n">
        <v>28</v>
      </c>
      <c r="E391" s="40" t="n">
        <v>1</v>
      </c>
      <c r="F391" s="40" t="n">
        <v>0.857142857142857</v>
      </c>
      <c r="G391" s="40" t="n">
        <v>0.678571428571429</v>
      </c>
      <c r="H391" s="40" t="n">
        <v>0.75</v>
      </c>
      <c r="I391" s="40" t="n">
        <v>0.642857142857143</v>
      </c>
      <c r="J391" s="40" t="n">
        <v>0.0714285714285714</v>
      </c>
      <c r="K391" s="40" t="n">
        <v>0</v>
      </c>
      <c r="L391" s="32"/>
      <c r="M391" s="32"/>
    </row>
    <row r="392" customFormat="false" ht="15" hidden="false" customHeight="true" outlineLevel="0" collapsed="false">
      <c r="A392" s="38" t="s">
        <v>127</v>
      </c>
      <c r="B392" s="31" t="n">
        <v>15</v>
      </c>
      <c r="C392" s="39" t="s">
        <v>334</v>
      </c>
      <c r="D392" s="31" t="n">
        <v>19</v>
      </c>
      <c r="E392" s="40" t="n">
        <v>1</v>
      </c>
      <c r="F392" s="40" t="n">
        <v>0.736842105263158</v>
      </c>
      <c r="G392" s="40" t="n">
        <v>0.68421052631579</v>
      </c>
      <c r="H392" s="40" t="n">
        <v>0.631578947368421</v>
      </c>
      <c r="I392" s="40" t="n">
        <v>0.473684210526316</v>
      </c>
      <c r="J392" s="40" t="n">
        <v>0.105263157894737</v>
      </c>
      <c r="K392" s="32"/>
      <c r="L392" s="32"/>
      <c r="M392" s="32"/>
    </row>
    <row r="393" customFormat="false" ht="15" hidden="false" customHeight="true" outlineLevel="0" collapsed="false">
      <c r="A393" s="38" t="s">
        <v>129</v>
      </c>
      <c r="B393" s="31" t="n">
        <v>17</v>
      </c>
      <c r="C393" s="39" t="s">
        <v>334</v>
      </c>
      <c r="D393" s="31" t="n">
        <v>26</v>
      </c>
      <c r="E393" s="40" t="n">
        <v>1</v>
      </c>
      <c r="F393" s="40" t="n">
        <v>0.846153846153846</v>
      </c>
      <c r="G393" s="40" t="n">
        <v>0.692307692307692</v>
      </c>
      <c r="H393" s="40" t="n">
        <v>0.730769230769231</v>
      </c>
      <c r="I393" s="32"/>
      <c r="J393" s="32"/>
      <c r="K393" s="32"/>
      <c r="L393" s="32"/>
      <c r="M393" s="32"/>
    </row>
    <row r="394" customFormat="false" ht="15" hidden="false" customHeight="true" outlineLevel="0" collapsed="false">
      <c r="A394" s="38" t="s">
        <v>130</v>
      </c>
      <c r="B394" s="31" t="n">
        <v>18</v>
      </c>
      <c r="C394" s="39" t="s">
        <v>334</v>
      </c>
      <c r="D394" s="31" t="n">
        <v>4</v>
      </c>
      <c r="E394" s="40" t="n">
        <v>1</v>
      </c>
      <c r="F394" s="40" t="n">
        <v>0.75</v>
      </c>
      <c r="G394" s="40" t="n">
        <v>0.75</v>
      </c>
      <c r="H394" s="32"/>
      <c r="I394" s="32"/>
      <c r="J394" s="32"/>
      <c r="K394" s="32"/>
      <c r="L394" s="32"/>
      <c r="M394" s="32"/>
    </row>
    <row r="395" customFormat="false" ht="15" hidden="false" customHeight="true" outlineLevel="0" collapsed="false">
      <c r="A395" s="38" t="s">
        <v>131</v>
      </c>
      <c r="B395" s="31" t="n">
        <v>19</v>
      </c>
      <c r="C395" s="39" t="s">
        <v>334</v>
      </c>
      <c r="D395" s="31" t="n">
        <v>5</v>
      </c>
      <c r="E395" s="40" t="n">
        <v>1</v>
      </c>
      <c r="F395" s="40" t="n">
        <v>1</v>
      </c>
      <c r="G395" s="32"/>
      <c r="H395" s="32"/>
      <c r="I395" s="32"/>
      <c r="J395" s="32"/>
      <c r="K395" s="32"/>
      <c r="L395" s="32"/>
      <c r="M395" s="32"/>
    </row>
    <row r="396" customFormat="false" ht="15" hidden="false" customHeight="true" outlineLevel="0" collapsed="false">
      <c r="A396" s="38" t="s">
        <v>132</v>
      </c>
      <c r="B396" s="31" t="n">
        <v>20</v>
      </c>
      <c r="C396" s="39" t="s">
        <v>334</v>
      </c>
      <c r="D396" s="31" t="n">
        <v>1</v>
      </c>
      <c r="E396" s="40" t="n">
        <v>1</v>
      </c>
      <c r="F396" s="32"/>
      <c r="G396" s="32"/>
      <c r="H396" s="32"/>
      <c r="I396" s="32"/>
      <c r="J396" s="32"/>
      <c r="K396" s="32"/>
      <c r="L396" s="32"/>
      <c r="M396" s="32"/>
    </row>
    <row r="397" customFormat="false" ht="15" hidden="false" customHeight="true" outlineLevel="0" collapsed="false">
      <c r="A397" s="34" t="s">
        <v>335</v>
      </c>
      <c r="B397" s="36"/>
      <c r="C397" s="36"/>
      <c r="D397" s="36"/>
      <c r="E397" s="44" t="n">
        <v>1</v>
      </c>
      <c r="F397" s="44" t="n">
        <v>0.551020408163265</v>
      </c>
      <c r="G397" s="44" t="n">
        <v>0.428571428571429</v>
      </c>
      <c r="H397" s="44" t="n">
        <v>0.428571428571429</v>
      </c>
      <c r="I397" s="44" t="n">
        <v>0.387755102040816</v>
      </c>
      <c r="J397" s="44" t="n">
        <v>0.122448979591837</v>
      </c>
      <c r="K397" s="44" t="n">
        <v>0.122448979591837</v>
      </c>
      <c r="L397" s="44" t="n">
        <v>0.0408163265306122</v>
      </c>
      <c r="M397" s="44" t="n">
        <v>0.0408163265306122</v>
      </c>
    </row>
    <row r="398" customFormat="false" ht="15" hidden="false" customHeight="true" outlineLevel="0" collapsed="false">
      <c r="A398" s="34" t="s">
        <v>336</v>
      </c>
      <c r="B398" s="36"/>
      <c r="C398" s="36"/>
      <c r="D398" s="36"/>
      <c r="E398" s="44" t="n">
        <v>1</v>
      </c>
      <c r="F398" s="44" t="n">
        <v>0.546296296296296</v>
      </c>
      <c r="G398" s="44" t="n">
        <v>0.426767676767677</v>
      </c>
      <c r="H398" s="44" t="n">
        <v>0.426767676767677</v>
      </c>
      <c r="I398" s="44" t="n">
        <v>0.381313131313131</v>
      </c>
      <c r="J398" s="44" t="n">
        <v>0.11952861952862</v>
      </c>
      <c r="K398" s="44" t="n">
        <v>0.123737373737374</v>
      </c>
      <c r="L398" s="44" t="n">
        <v>0.0454545454545455</v>
      </c>
      <c r="M398" s="44" t="n">
        <v>0.0412457912457913</v>
      </c>
    </row>
    <row r="399" customFormat="false" ht="15" hidden="false" customHeight="true" outlineLevel="0" collapsed="false">
      <c r="A399" s="45" t="s">
        <v>354</v>
      </c>
      <c r="B399" s="45"/>
      <c r="C399" s="45"/>
      <c r="D399" s="45"/>
      <c r="E399" s="45"/>
      <c r="F399" s="45"/>
      <c r="G399" s="45"/>
      <c r="H399" s="45"/>
      <c r="I399" s="45"/>
      <c r="J399" s="45"/>
      <c r="K399" s="45"/>
      <c r="L399" s="45"/>
      <c r="M399" s="45"/>
    </row>
    <row r="401" customFormat="false" ht="15" hidden="false" customHeight="true" outlineLevel="0" collapsed="false">
      <c r="A401" s="28" t="s">
        <v>311</v>
      </c>
      <c r="B401" s="28"/>
      <c r="C401" s="28"/>
      <c r="D401" s="28"/>
      <c r="E401" s="28"/>
      <c r="F401" s="28"/>
      <c r="G401" s="28"/>
      <c r="H401" s="28"/>
      <c r="I401" s="28"/>
      <c r="J401" s="28"/>
      <c r="K401" s="28"/>
      <c r="L401" s="28"/>
      <c r="M401" s="28"/>
      <c r="N401" s="28"/>
    </row>
    <row r="402" customFormat="false" ht="15" hidden="false" customHeight="true" outlineLevel="0" collapsed="false">
      <c r="A402" s="12" t="s">
        <v>330</v>
      </c>
      <c r="B402" s="12" t="s">
        <v>331</v>
      </c>
      <c r="C402" s="12" t="s">
        <v>332</v>
      </c>
      <c r="D402" s="12" t="s">
        <v>333</v>
      </c>
      <c r="E402" s="37" t="n">
        <v>1</v>
      </c>
      <c r="F402" s="37" t="n">
        <v>2</v>
      </c>
      <c r="G402" s="37" t="n">
        <v>3</v>
      </c>
      <c r="H402" s="37" t="n">
        <v>4</v>
      </c>
      <c r="I402" s="37" t="n">
        <v>5</v>
      </c>
      <c r="J402" s="37" t="n">
        <v>6</v>
      </c>
      <c r="K402" s="37" t="n">
        <v>7</v>
      </c>
      <c r="L402" s="37" t="n">
        <v>8</v>
      </c>
      <c r="M402" s="37" t="n">
        <v>9</v>
      </c>
      <c r="N402" s="37" t="n">
        <v>10</v>
      </c>
    </row>
    <row r="403" customFormat="false" ht="15" hidden="false" customHeight="true" outlineLevel="0" collapsed="false">
      <c r="A403" s="42" t="s">
        <v>120</v>
      </c>
      <c r="B403" s="31" t="n">
        <v>8</v>
      </c>
      <c r="C403" s="43" t="s">
        <v>338</v>
      </c>
      <c r="D403" s="31" t="n">
        <v>17</v>
      </c>
      <c r="E403" s="40" t="n">
        <v>1</v>
      </c>
      <c r="F403" s="40" t="n">
        <v>0.764705882352941</v>
      </c>
      <c r="G403" s="40" t="n">
        <v>0.647058823529412</v>
      </c>
      <c r="H403" s="40" t="n">
        <v>0.588235294117647</v>
      </c>
      <c r="I403" s="40" t="n">
        <v>0.235294117647059</v>
      </c>
      <c r="J403" s="40" t="n">
        <v>0.0588235294117647</v>
      </c>
      <c r="K403" s="40" t="n">
        <v>0.0588235294117647</v>
      </c>
      <c r="L403" s="40" t="n">
        <v>0.0588235294117647</v>
      </c>
      <c r="M403" s="40" t="n">
        <v>0.0588235294117647</v>
      </c>
      <c r="N403" s="40" t="n">
        <v>0</v>
      </c>
    </row>
    <row r="404" customFormat="false" ht="15" hidden="false" customHeight="true" outlineLevel="0" collapsed="false">
      <c r="A404" s="42" t="s">
        <v>121</v>
      </c>
      <c r="B404" s="31" t="n">
        <v>9</v>
      </c>
      <c r="C404" s="43" t="s">
        <v>338</v>
      </c>
      <c r="D404" s="31" t="n">
        <v>18</v>
      </c>
      <c r="E404" s="40" t="n">
        <v>1</v>
      </c>
      <c r="F404" s="40" t="n">
        <v>0.833333333333333</v>
      </c>
      <c r="G404" s="40" t="n">
        <v>0.722222222222222</v>
      </c>
      <c r="H404" s="40" t="n">
        <v>0.666666666666667</v>
      </c>
      <c r="I404" s="40" t="n">
        <v>0.277777777777778</v>
      </c>
      <c r="J404" s="40" t="n">
        <v>0.166666666666667</v>
      </c>
      <c r="K404" s="40" t="n">
        <v>0.0555555555555556</v>
      </c>
      <c r="L404" s="40" t="n">
        <v>0.0555555555555556</v>
      </c>
      <c r="M404" s="40" t="n">
        <v>0.0555555555555556</v>
      </c>
      <c r="N404" s="40" t="n">
        <v>0.0555555555555556</v>
      </c>
    </row>
    <row r="405" customFormat="false" ht="15" hidden="false" customHeight="true" outlineLevel="0" collapsed="false">
      <c r="A405" s="42" t="s">
        <v>122</v>
      </c>
      <c r="B405" s="31" t="n">
        <v>10</v>
      </c>
      <c r="C405" s="43" t="s">
        <v>338</v>
      </c>
      <c r="D405" s="31" t="n">
        <v>1</v>
      </c>
      <c r="E405" s="40" t="n">
        <v>1</v>
      </c>
      <c r="F405" s="40" t="n">
        <v>1</v>
      </c>
      <c r="G405" s="40" t="n">
        <v>1</v>
      </c>
      <c r="H405" s="40" t="n">
        <v>0</v>
      </c>
      <c r="I405" s="40" t="n">
        <v>0</v>
      </c>
      <c r="J405" s="40" t="n">
        <v>0</v>
      </c>
      <c r="K405" s="40" t="n">
        <v>0</v>
      </c>
      <c r="L405" s="40" t="n">
        <v>0</v>
      </c>
      <c r="M405" s="40" t="n">
        <v>0</v>
      </c>
      <c r="N405" s="40" t="n">
        <v>0</v>
      </c>
    </row>
    <row r="406" customFormat="false" ht="15" hidden="false" customHeight="true" outlineLevel="0" collapsed="false">
      <c r="A406" s="42" t="s">
        <v>123</v>
      </c>
      <c r="B406" s="31" t="n">
        <v>11</v>
      </c>
      <c r="C406" s="43" t="s">
        <v>338</v>
      </c>
      <c r="D406" s="31" t="n">
        <v>25</v>
      </c>
      <c r="E406" s="40" t="n">
        <v>1</v>
      </c>
      <c r="F406" s="40" t="n">
        <v>0.84</v>
      </c>
      <c r="G406" s="40" t="n">
        <v>0.6</v>
      </c>
      <c r="H406" s="40" t="n">
        <v>0.72</v>
      </c>
      <c r="I406" s="40" t="n">
        <v>0.12</v>
      </c>
      <c r="J406" s="40" t="n">
        <v>0.04</v>
      </c>
      <c r="K406" s="40" t="n">
        <v>0.08</v>
      </c>
      <c r="L406" s="40" t="n">
        <v>0.12</v>
      </c>
      <c r="M406" s="40" t="n">
        <v>0.08</v>
      </c>
      <c r="N406" s="40" t="n">
        <v>0</v>
      </c>
    </row>
    <row r="407" customFormat="false" ht="15" hidden="false" customHeight="true" outlineLevel="0" collapsed="false">
      <c r="A407" s="42" t="s">
        <v>124</v>
      </c>
      <c r="B407" s="31" t="n">
        <v>12</v>
      </c>
      <c r="C407" s="43" t="s">
        <v>338</v>
      </c>
      <c r="D407" s="31" t="n">
        <v>16</v>
      </c>
      <c r="E407" s="40" t="n">
        <v>1</v>
      </c>
      <c r="F407" s="40" t="n">
        <v>0.4375</v>
      </c>
      <c r="G407" s="40" t="n">
        <v>0.4375</v>
      </c>
      <c r="H407" s="40" t="n">
        <v>0.5625</v>
      </c>
      <c r="I407" s="40" t="n">
        <v>0.0625</v>
      </c>
      <c r="J407" s="40" t="n">
        <v>0.0625</v>
      </c>
      <c r="K407" s="40" t="n">
        <v>0.0625</v>
      </c>
      <c r="L407" s="40" t="n">
        <v>0</v>
      </c>
      <c r="M407" s="40" t="n">
        <v>0</v>
      </c>
      <c r="N407" s="32"/>
    </row>
    <row r="408" customFormat="false" ht="15" hidden="false" customHeight="true" outlineLevel="0" collapsed="false">
      <c r="A408" s="38" t="s">
        <v>126</v>
      </c>
      <c r="B408" s="31" t="n">
        <v>14</v>
      </c>
      <c r="C408" s="39" t="s">
        <v>334</v>
      </c>
      <c r="D408" s="31" t="n">
        <v>12</v>
      </c>
      <c r="E408" s="40" t="n">
        <v>1</v>
      </c>
      <c r="F408" s="40" t="n">
        <v>0.833333333333333</v>
      </c>
      <c r="G408" s="40" t="n">
        <v>0.583333333333333</v>
      </c>
      <c r="H408" s="40" t="n">
        <v>0.75</v>
      </c>
      <c r="I408" s="40" t="n">
        <v>0.333333333333333</v>
      </c>
      <c r="J408" s="40" t="n">
        <v>0.333333333333333</v>
      </c>
      <c r="K408" s="40" t="n">
        <v>0.166666666666667</v>
      </c>
      <c r="L408" s="32"/>
      <c r="M408" s="32"/>
      <c r="N408" s="32"/>
    </row>
    <row r="409" customFormat="false" ht="15" hidden="false" customHeight="true" outlineLevel="0" collapsed="false">
      <c r="A409" s="38" t="s">
        <v>127</v>
      </c>
      <c r="B409" s="31" t="n">
        <v>15</v>
      </c>
      <c r="C409" s="39" t="s">
        <v>334</v>
      </c>
      <c r="D409" s="31" t="n">
        <v>12</v>
      </c>
      <c r="E409" s="40" t="n">
        <v>1</v>
      </c>
      <c r="F409" s="40" t="n">
        <v>0.916666666666667</v>
      </c>
      <c r="G409" s="40" t="n">
        <v>0.916666666666667</v>
      </c>
      <c r="H409" s="40" t="n">
        <v>0.916666666666667</v>
      </c>
      <c r="I409" s="40" t="n">
        <v>0.0833333333333333</v>
      </c>
      <c r="J409" s="40" t="n">
        <v>0.0833333333333333</v>
      </c>
      <c r="K409" s="32"/>
      <c r="L409" s="32"/>
      <c r="M409" s="32"/>
      <c r="N409" s="32"/>
    </row>
    <row r="410" customFormat="false" ht="15" hidden="false" customHeight="true" outlineLevel="0" collapsed="false">
      <c r="A410" s="38" t="s">
        <v>129</v>
      </c>
      <c r="B410" s="31" t="n">
        <v>17</v>
      </c>
      <c r="C410" s="39" t="s">
        <v>334</v>
      </c>
      <c r="D410" s="31" t="n">
        <v>27</v>
      </c>
      <c r="E410" s="40" t="n">
        <v>1</v>
      </c>
      <c r="F410" s="40" t="n">
        <v>0.925925925925926</v>
      </c>
      <c r="G410" s="40" t="n">
        <v>0.814814814814815</v>
      </c>
      <c r="H410" s="40" t="n">
        <v>0.888888888888889</v>
      </c>
      <c r="I410" s="32"/>
      <c r="J410" s="32"/>
      <c r="K410" s="32"/>
      <c r="L410" s="32"/>
      <c r="M410" s="32"/>
      <c r="N410" s="32"/>
    </row>
    <row r="411" customFormat="false" ht="15" hidden="false" customHeight="true" outlineLevel="0" collapsed="false">
      <c r="A411" s="38" t="s">
        <v>130</v>
      </c>
      <c r="B411" s="31" t="n">
        <v>18</v>
      </c>
      <c r="C411" s="39" t="s">
        <v>334</v>
      </c>
      <c r="D411" s="31" t="n">
        <v>13</v>
      </c>
      <c r="E411" s="40" t="n">
        <v>1</v>
      </c>
      <c r="F411" s="40" t="n">
        <v>0.923076923076923</v>
      </c>
      <c r="G411" s="40" t="n">
        <v>0.923076923076923</v>
      </c>
      <c r="H411" s="32"/>
      <c r="I411" s="32"/>
      <c r="J411" s="32"/>
      <c r="K411" s="32"/>
      <c r="L411" s="32"/>
      <c r="M411" s="32"/>
      <c r="N411" s="32"/>
    </row>
    <row r="412" customFormat="false" ht="15" hidden="false" customHeight="true" outlineLevel="0" collapsed="false">
      <c r="A412" s="38" t="s">
        <v>132</v>
      </c>
      <c r="B412" s="31" t="n">
        <v>20</v>
      </c>
      <c r="C412" s="39" t="s">
        <v>334</v>
      </c>
      <c r="D412" s="31" t="n">
        <v>12</v>
      </c>
      <c r="E412" s="40" t="n">
        <v>1</v>
      </c>
      <c r="F412" s="32"/>
      <c r="G412" s="32"/>
      <c r="H412" s="32"/>
      <c r="I412" s="32"/>
      <c r="J412" s="32"/>
      <c r="K412" s="32"/>
      <c r="L412" s="32"/>
      <c r="M412" s="32"/>
      <c r="N412" s="32"/>
    </row>
    <row r="413" customFormat="false" ht="15" hidden="false" customHeight="true" outlineLevel="0" collapsed="false">
      <c r="A413" s="34" t="s">
        <v>335</v>
      </c>
      <c r="B413" s="36"/>
      <c r="C413" s="36"/>
      <c r="D413" s="36"/>
      <c r="E413" s="44" t="n">
        <v>1</v>
      </c>
      <c r="F413" s="44" t="n">
        <v>0.74025974025974</v>
      </c>
      <c r="G413" s="44" t="n">
        <v>0.61038961038961</v>
      </c>
      <c r="H413" s="44" t="n">
        <v>0.636363636363636</v>
      </c>
      <c r="I413" s="44" t="n">
        <v>0.168831168831169</v>
      </c>
      <c r="J413" s="44" t="n">
        <v>0.0779220779220779</v>
      </c>
      <c r="K413" s="44" t="n">
        <v>0.0649350649350649</v>
      </c>
      <c r="L413" s="44" t="n">
        <v>0.0649350649350649</v>
      </c>
      <c r="M413" s="44" t="n">
        <v>0.051948051948052</v>
      </c>
      <c r="N413" s="44" t="n">
        <v>0.012987012987013</v>
      </c>
    </row>
    <row r="414" customFormat="false" ht="15" hidden="false" customHeight="true" outlineLevel="0" collapsed="false">
      <c r="A414" s="34" t="s">
        <v>336</v>
      </c>
      <c r="B414" s="36"/>
      <c r="C414" s="36"/>
      <c r="D414" s="36"/>
      <c r="E414" s="44" t="n">
        <v>1</v>
      </c>
      <c r="F414" s="44" t="n">
        <v>0.775107843137255</v>
      </c>
      <c r="G414" s="44" t="n">
        <v>0.681356209150327</v>
      </c>
      <c r="H414" s="44" t="n">
        <v>0.507480392156863</v>
      </c>
      <c r="I414" s="44" t="n">
        <v>0.139114379084967</v>
      </c>
      <c r="J414" s="44" t="n">
        <v>0.0655980392156863</v>
      </c>
      <c r="K414" s="44" t="n">
        <v>0.0513758169934641</v>
      </c>
      <c r="L414" s="44" t="n">
        <v>0.0468758169934641</v>
      </c>
      <c r="M414" s="44" t="n">
        <v>0.0388758169934641</v>
      </c>
      <c r="N414" s="44" t="n">
        <v>0.0138888888888889</v>
      </c>
    </row>
    <row r="415" customFormat="false" ht="15" hidden="false" customHeight="true" outlineLevel="0" collapsed="false">
      <c r="A415" s="45" t="s">
        <v>355</v>
      </c>
      <c r="B415" s="45"/>
      <c r="C415" s="45"/>
      <c r="D415" s="45"/>
      <c r="E415" s="45"/>
      <c r="F415" s="45"/>
      <c r="G415" s="45"/>
      <c r="H415" s="45"/>
      <c r="I415" s="45"/>
      <c r="J415" s="45"/>
      <c r="K415" s="45"/>
      <c r="L415" s="45"/>
      <c r="M415" s="45"/>
      <c r="N415" s="45"/>
    </row>
    <row r="417" customFormat="false" ht="15" hidden="false" customHeight="true" outlineLevel="0" collapsed="false">
      <c r="A417" s="28" t="s">
        <v>312</v>
      </c>
      <c r="B417" s="28"/>
      <c r="C417" s="28"/>
      <c r="D417" s="28"/>
      <c r="E417" s="28"/>
      <c r="F417" s="28"/>
      <c r="G417" s="28"/>
      <c r="H417" s="28"/>
      <c r="I417" s="28"/>
      <c r="J417" s="28"/>
      <c r="K417" s="28"/>
      <c r="L417" s="28"/>
      <c r="M417" s="28"/>
      <c r="N417" s="28"/>
      <c r="O417" s="28"/>
      <c r="P417" s="28"/>
      <c r="Q417" s="28"/>
      <c r="R417" s="28"/>
      <c r="S417" s="28"/>
      <c r="T417" s="28"/>
    </row>
    <row r="418" customFormat="false" ht="15" hidden="false" customHeight="true" outlineLevel="0" collapsed="false">
      <c r="A418" s="12" t="s">
        <v>330</v>
      </c>
      <c r="B418" s="12" t="s">
        <v>331</v>
      </c>
      <c r="C418" s="12" t="s">
        <v>332</v>
      </c>
      <c r="D418" s="12" t="s">
        <v>333</v>
      </c>
      <c r="E418" s="37" t="n">
        <v>1</v>
      </c>
      <c r="F418" s="37" t="n">
        <v>2</v>
      </c>
      <c r="G418" s="37" t="n">
        <v>3</v>
      </c>
      <c r="H418" s="37" t="n">
        <v>4</v>
      </c>
      <c r="I418" s="37" t="n">
        <v>5</v>
      </c>
      <c r="J418" s="37" t="n">
        <v>6</v>
      </c>
      <c r="K418" s="37" t="n">
        <v>7</v>
      </c>
      <c r="L418" s="37" t="n">
        <v>8</v>
      </c>
      <c r="M418" s="37" t="n">
        <v>9</v>
      </c>
      <c r="N418" s="37" t="n">
        <v>10</v>
      </c>
      <c r="O418" s="37" t="n">
        <v>11</v>
      </c>
      <c r="P418" s="37" t="n">
        <v>12</v>
      </c>
      <c r="Q418" s="37" t="n">
        <v>13</v>
      </c>
      <c r="R418" s="37" t="n">
        <v>14</v>
      </c>
      <c r="S418" s="37" t="n">
        <v>15</v>
      </c>
      <c r="T418" s="37" t="n">
        <v>16</v>
      </c>
    </row>
    <row r="419" customFormat="false" ht="15" hidden="false" customHeight="true" outlineLevel="0" collapsed="false">
      <c r="A419" s="42" t="s">
        <v>114</v>
      </c>
      <c r="B419" s="31" t="n">
        <v>2</v>
      </c>
      <c r="C419" s="43" t="s">
        <v>338</v>
      </c>
      <c r="D419" s="31" t="n">
        <v>28</v>
      </c>
      <c r="E419" s="40" t="n">
        <v>1</v>
      </c>
      <c r="F419" s="40" t="n">
        <v>0.964285714285714</v>
      </c>
      <c r="G419" s="40" t="n">
        <v>0.928571428571429</v>
      </c>
      <c r="H419" s="40" t="n">
        <v>0.892857142857143</v>
      </c>
      <c r="I419" s="40" t="n">
        <v>0.857142857142857</v>
      </c>
      <c r="J419" s="40" t="n">
        <v>0.0714285714285714</v>
      </c>
      <c r="K419" s="40" t="n">
        <v>0.142857142857143</v>
      </c>
      <c r="L419" s="40" t="n">
        <v>0.214285714285714</v>
      </c>
      <c r="M419" s="40" t="n">
        <v>0.0357142857142857</v>
      </c>
      <c r="N419" s="40" t="n">
        <v>0</v>
      </c>
      <c r="O419" s="40" t="n">
        <v>0.0357142857142857</v>
      </c>
      <c r="P419" s="40" t="n">
        <v>0</v>
      </c>
      <c r="Q419" s="40" t="n">
        <v>0</v>
      </c>
      <c r="R419" s="40" t="n">
        <v>0</v>
      </c>
      <c r="S419" s="40" t="n">
        <v>0</v>
      </c>
      <c r="T419" s="40" t="n">
        <v>0</v>
      </c>
    </row>
    <row r="420" customFormat="false" ht="15" hidden="false" customHeight="true" outlineLevel="0" collapsed="false">
      <c r="A420" s="42" t="s">
        <v>115</v>
      </c>
      <c r="B420" s="31" t="n">
        <v>3</v>
      </c>
      <c r="C420" s="43" t="s">
        <v>338</v>
      </c>
      <c r="D420" s="31" t="n">
        <v>15</v>
      </c>
      <c r="E420" s="40" t="n">
        <v>1</v>
      </c>
      <c r="F420" s="40" t="n">
        <v>0.733333333333333</v>
      </c>
      <c r="G420" s="40" t="n">
        <v>0.8</v>
      </c>
      <c r="H420" s="40" t="n">
        <v>0.6</v>
      </c>
      <c r="I420" s="40" t="n">
        <v>0.133333333333333</v>
      </c>
      <c r="J420" s="40" t="n">
        <v>0.666666666666667</v>
      </c>
      <c r="K420" s="40" t="n">
        <v>0.133333333333333</v>
      </c>
      <c r="L420" s="40" t="n">
        <v>0.0666666666666667</v>
      </c>
      <c r="M420" s="40" t="n">
        <v>0.0666666666666667</v>
      </c>
      <c r="N420" s="40" t="n">
        <v>0.133333333333333</v>
      </c>
      <c r="O420" s="40" t="n">
        <v>0</v>
      </c>
      <c r="P420" s="40" t="n">
        <v>0.133333333333333</v>
      </c>
      <c r="Q420" s="40" t="n">
        <v>0.0666666666666667</v>
      </c>
      <c r="R420" s="40" t="n">
        <v>0</v>
      </c>
      <c r="S420" s="40" t="n">
        <v>0.0666666666666667</v>
      </c>
      <c r="T420" s="40" t="n">
        <v>0.0666666666666667</v>
      </c>
    </row>
    <row r="421" customFormat="false" ht="15" hidden="false" customHeight="true" outlineLevel="0" collapsed="false">
      <c r="A421" s="42" t="s">
        <v>117</v>
      </c>
      <c r="B421" s="31" t="n">
        <v>5</v>
      </c>
      <c r="C421" s="43" t="s">
        <v>338</v>
      </c>
      <c r="D421" s="31" t="n">
        <v>21</v>
      </c>
      <c r="E421" s="40" t="n">
        <v>1</v>
      </c>
      <c r="F421" s="40" t="n">
        <v>0.904761904761905</v>
      </c>
      <c r="G421" s="40" t="n">
        <v>0.857142857142857</v>
      </c>
      <c r="H421" s="40" t="n">
        <v>0.857142857142857</v>
      </c>
      <c r="I421" s="40" t="n">
        <v>0.857142857142857</v>
      </c>
      <c r="J421" s="40" t="n">
        <v>0.0476190476190476</v>
      </c>
      <c r="K421" s="40" t="n">
        <v>0.0952380952380952</v>
      </c>
      <c r="L421" s="40" t="n">
        <v>0.142857142857143</v>
      </c>
      <c r="M421" s="40" t="n">
        <v>0.0476190476190476</v>
      </c>
      <c r="N421" s="40" t="n">
        <v>0.0476190476190476</v>
      </c>
      <c r="O421" s="40" t="n">
        <v>0.0476190476190476</v>
      </c>
      <c r="P421" s="40" t="n">
        <v>0</v>
      </c>
      <c r="Q421" s="40" t="n">
        <v>0</v>
      </c>
      <c r="R421" s="40" t="n">
        <v>0</v>
      </c>
      <c r="S421" s="40" t="n">
        <v>0</v>
      </c>
      <c r="T421" s="40" t="n">
        <v>0</v>
      </c>
    </row>
    <row r="422" customFormat="false" ht="15" hidden="false" customHeight="true" outlineLevel="0" collapsed="false">
      <c r="A422" s="42" t="s">
        <v>118</v>
      </c>
      <c r="B422" s="31" t="n">
        <v>6</v>
      </c>
      <c r="C422" s="43" t="s">
        <v>338</v>
      </c>
      <c r="D422" s="31" t="n">
        <v>15</v>
      </c>
      <c r="E422" s="40" t="n">
        <v>1</v>
      </c>
      <c r="F422" s="40" t="n">
        <v>0.8</v>
      </c>
      <c r="G422" s="40" t="n">
        <v>0.866666666666667</v>
      </c>
      <c r="H422" s="40" t="n">
        <v>0.733333333333333</v>
      </c>
      <c r="I422" s="40" t="n">
        <v>0.2</v>
      </c>
      <c r="J422" s="40" t="n">
        <v>0.733333333333333</v>
      </c>
      <c r="K422" s="40" t="n">
        <v>0.2</v>
      </c>
      <c r="L422" s="40" t="n">
        <v>0.133333333333333</v>
      </c>
      <c r="M422" s="40" t="n">
        <v>0.2</v>
      </c>
      <c r="N422" s="40" t="n">
        <v>0</v>
      </c>
      <c r="O422" s="40" t="n">
        <v>0.0666666666666667</v>
      </c>
      <c r="P422" s="40" t="n">
        <v>0</v>
      </c>
      <c r="Q422" s="40" t="n">
        <v>0</v>
      </c>
      <c r="R422" s="40" t="n">
        <v>0</v>
      </c>
      <c r="S422" s="40" t="n">
        <v>0</v>
      </c>
      <c r="T422" s="32"/>
    </row>
    <row r="423" customFormat="false" ht="15" hidden="false" customHeight="true" outlineLevel="0" collapsed="false">
      <c r="A423" s="42" t="s">
        <v>120</v>
      </c>
      <c r="B423" s="31" t="n">
        <v>8</v>
      </c>
      <c r="C423" s="43" t="s">
        <v>338</v>
      </c>
      <c r="D423" s="31" t="n">
        <v>17</v>
      </c>
      <c r="E423" s="40" t="n">
        <v>1</v>
      </c>
      <c r="F423" s="40" t="n">
        <v>0.882352941176471</v>
      </c>
      <c r="G423" s="40" t="n">
        <v>0.764705882352941</v>
      </c>
      <c r="H423" s="40" t="n">
        <v>0.705882352941177</v>
      </c>
      <c r="I423" s="40" t="n">
        <v>0.705882352941177</v>
      </c>
      <c r="J423" s="40" t="n">
        <v>0.0588235294117647</v>
      </c>
      <c r="K423" s="40" t="n">
        <v>0.176470588235294</v>
      </c>
      <c r="L423" s="40" t="n">
        <v>0.117647058823529</v>
      </c>
      <c r="M423" s="40" t="n">
        <v>0</v>
      </c>
      <c r="N423" s="40" t="n">
        <v>0.0588235294117647</v>
      </c>
      <c r="O423" s="40" t="n">
        <v>0.0588235294117647</v>
      </c>
      <c r="P423" s="40" t="n">
        <v>0</v>
      </c>
      <c r="Q423" s="40" t="n">
        <v>0</v>
      </c>
      <c r="R423" s="32"/>
      <c r="S423" s="32"/>
      <c r="T423" s="32"/>
    </row>
    <row r="424" customFormat="false" ht="15" hidden="false" customHeight="true" outlineLevel="0" collapsed="false">
      <c r="A424" s="42" t="s">
        <v>121</v>
      </c>
      <c r="B424" s="31" t="n">
        <v>9</v>
      </c>
      <c r="C424" s="43" t="s">
        <v>338</v>
      </c>
      <c r="D424" s="31" t="n">
        <v>12</v>
      </c>
      <c r="E424" s="40" t="n">
        <v>1</v>
      </c>
      <c r="F424" s="40" t="n">
        <v>0.75</v>
      </c>
      <c r="G424" s="40" t="n">
        <v>0.916666666666667</v>
      </c>
      <c r="H424" s="40" t="n">
        <v>0.833333333333333</v>
      </c>
      <c r="I424" s="40" t="n">
        <v>0.166666666666667</v>
      </c>
      <c r="J424" s="40" t="n">
        <v>0.75</v>
      </c>
      <c r="K424" s="40" t="n">
        <v>0</v>
      </c>
      <c r="L424" s="40" t="n">
        <v>0</v>
      </c>
      <c r="M424" s="40" t="n">
        <v>0</v>
      </c>
      <c r="N424" s="40" t="n">
        <v>0</v>
      </c>
      <c r="O424" s="40" t="n">
        <v>0</v>
      </c>
      <c r="P424" s="40" t="n">
        <v>0</v>
      </c>
      <c r="Q424" s="32"/>
      <c r="R424" s="32"/>
      <c r="S424" s="32"/>
      <c r="T424" s="32"/>
    </row>
    <row r="425" customFormat="false" ht="15" hidden="false" customHeight="true" outlineLevel="0" collapsed="false">
      <c r="A425" s="42" t="s">
        <v>122</v>
      </c>
      <c r="B425" s="31" t="n">
        <v>10</v>
      </c>
      <c r="C425" s="43" t="s">
        <v>338</v>
      </c>
      <c r="D425" s="31" t="n">
        <v>1</v>
      </c>
      <c r="E425" s="40" t="n">
        <v>1</v>
      </c>
      <c r="F425" s="40" t="n">
        <v>1</v>
      </c>
      <c r="G425" s="40" t="n">
        <v>1</v>
      </c>
      <c r="H425" s="40" t="n">
        <v>0</v>
      </c>
      <c r="I425" s="40" t="n">
        <v>0</v>
      </c>
      <c r="J425" s="40" t="n">
        <v>0</v>
      </c>
      <c r="K425" s="40" t="n">
        <v>0</v>
      </c>
      <c r="L425" s="40" t="n">
        <v>0</v>
      </c>
      <c r="M425" s="40" t="n">
        <v>0</v>
      </c>
      <c r="N425" s="40" t="n">
        <v>0</v>
      </c>
      <c r="O425" s="40" t="n">
        <v>0</v>
      </c>
      <c r="P425" s="32"/>
      <c r="Q425" s="32"/>
      <c r="R425" s="32"/>
      <c r="S425" s="32"/>
      <c r="T425" s="32"/>
    </row>
    <row r="426" customFormat="false" ht="15" hidden="false" customHeight="true" outlineLevel="0" collapsed="false">
      <c r="A426" s="42" t="s">
        <v>123</v>
      </c>
      <c r="B426" s="31" t="n">
        <v>11</v>
      </c>
      <c r="C426" s="43" t="s">
        <v>338</v>
      </c>
      <c r="D426" s="31" t="n">
        <v>26</v>
      </c>
      <c r="E426" s="40" t="n">
        <v>1</v>
      </c>
      <c r="F426" s="40" t="n">
        <v>0.730769230769231</v>
      </c>
      <c r="G426" s="40" t="n">
        <v>0.730769230769231</v>
      </c>
      <c r="H426" s="40" t="n">
        <v>0.730769230769231</v>
      </c>
      <c r="I426" s="40" t="n">
        <v>0.615384615384615</v>
      </c>
      <c r="J426" s="40" t="n">
        <v>0.115384615384615</v>
      </c>
      <c r="K426" s="40" t="n">
        <v>0.115384615384615</v>
      </c>
      <c r="L426" s="40" t="n">
        <v>0.115384615384615</v>
      </c>
      <c r="M426" s="40" t="n">
        <v>0</v>
      </c>
      <c r="N426" s="40" t="n">
        <v>0.0384615384615385</v>
      </c>
      <c r="O426" s="32"/>
      <c r="P426" s="32"/>
      <c r="Q426" s="32"/>
      <c r="R426" s="32"/>
      <c r="S426" s="32"/>
      <c r="T426" s="32"/>
    </row>
    <row r="427" customFormat="false" ht="15" hidden="false" customHeight="true" outlineLevel="0" collapsed="false">
      <c r="A427" s="42" t="s">
        <v>124</v>
      </c>
      <c r="B427" s="31" t="n">
        <v>12</v>
      </c>
      <c r="C427" s="43" t="s">
        <v>338</v>
      </c>
      <c r="D427" s="31" t="n">
        <v>10</v>
      </c>
      <c r="E427" s="40" t="n">
        <v>1</v>
      </c>
      <c r="F427" s="40" t="n">
        <v>0.8</v>
      </c>
      <c r="G427" s="40" t="n">
        <v>0.8</v>
      </c>
      <c r="H427" s="40" t="n">
        <v>0.7</v>
      </c>
      <c r="I427" s="40" t="n">
        <v>0.3</v>
      </c>
      <c r="J427" s="40" t="n">
        <v>0.6</v>
      </c>
      <c r="K427" s="40" t="n">
        <v>0.1</v>
      </c>
      <c r="L427" s="40" t="n">
        <v>0</v>
      </c>
      <c r="M427" s="40" t="n">
        <v>0.2</v>
      </c>
      <c r="N427" s="32"/>
      <c r="O427" s="32"/>
      <c r="P427" s="32"/>
      <c r="Q427" s="32"/>
      <c r="R427" s="32"/>
      <c r="S427" s="32"/>
      <c r="T427" s="32"/>
    </row>
    <row r="428" customFormat="false" ht="15" hidden="false" customHeight="true" outlineLevel="0" collapsed="false">
      <c r="A428" s="38" t="s">
        <v>126</v>
      </c>
      <c r="B428" s="31" t="n">
        <v>14</v>
      </c>
      <c r="C428" s="39" t="s">
        <v>334</v>
      </c>
      <c r="D428" s="31" t="n">
        <v>24</v>
      </c>
      <c r="E428" s="40" t="n">
        <v>1</v>
      </c>
      <c r="F428" s="40" t="n">
        <v>0.833333333333333</v>
      </c>
      <c r="G428" s="40" t="n">
        <v>0.625</v>
      </c>
      <c r="H428" s="40" t="n">
        <v>0.75</v>
      </c>
      <c r="I428" s="40" t="n">
        <v>0.75</v>
      </c>
      <c r="J428" s="40" t="n">
        <v>0.166666666666667</v>
      </c>
      <c r="K428" s="40" t="n">
        <v>0.166666666666667</v>
      </c>
      <c r="L428" s="32"/>
      <c r="M428" s="32"/>
      <c r="N428" s="32"/>
      <c r="O428" s="32"/>
      <c r="P428" s="32"/>
      <c r="Q428" s="32"/>
      <c r="R428" s="32"/>
      <c r="S428" s="32"/>
      <c r="T428" s="32"/>
    </row>
    <row r="429" customFormat="false" ht="15" hidden="false" customHeight="true" outlineLevel="0" collapsed="false">
      <c r="A429" s="38" t="s">
        <v>127</v>
      </c>
      <c r="B429" s="31" t="n">
        <v>15</v>
      </c>
      <c r="C429" s="39" t="s">
        <v>334</v>
      </c>
      <c r="D429" s="31" t="n">
        <v>12</v>
      </c>
      <c r="E429" s="40" t="n">
        <v>1</v>
      </c>
      <c r="F429" s="40" t="n">
        <v>0.833333333333333</v>
      </c>
      <c r="G429" s="40" t="n">
        <v>1</v>
      </c>
      <c r="H429" s="40" t="n">
        <v>0.916666666666667</v>
      </c>
      <c r="I429" s="40" t="n">
        <v>0.166666666666667</v>
      </c>
      <c r="J429" s="40" t="n">
        <v>0.75</v>
      </c>
      <c r="K429" s="32"/>
      <c r="L429" s="32"/>
      <c r="M429" s="32"/>
      <c r="N429" s="32"/>
      <c r="O429" s="32"/>
      <c r="P429" s="32"/>
      <c r="Q429" s="32"/>
      <c r="R429" s="32"/>
      <c r="S429" s="32"/>
      <c r="T429" s="32"/>
    </row>
    <row r="430" customFormat="false" ht="15" hidden="false" customHeight="true" outlineLevel="0" collapsed="false">
      <c r="A430" s="38" t="s">
        <v>129</v>
      </c>
      <c r="B430" s="31" t="n">
        <v>17</v>
      </c>
      <c r="C430" s="39" t="s">
        <v>334</v>
      </c>
      <c r="D430" s="31" t="n">
        <v>27</v>
      </c>
      <c r="E430" s="40" t="n">
        <v>1</v>
      </c>
      <c r="F430" s="40" t="n">
        <v>0.962962962962963</v>
      </c>
      <c r="G430" s="40" t="n">
        <v>0.814814814814815</v>
      </c>
      <c r="H430" s="40" t="n">
        <v>0.703703703703704</v>
      </c>
      <c r="I430" s="32"/>
      <c r="J430" s="32"/>
      <c r="K430" s="32"/>
      <c r="L430" s="32"/>
      <c r="M430" s="32"/>
      <c r="N430" s="32"/>
      <c r="O430" s="32"/>
      <c r="P430" s="32"/>
      <c r="Q430" s="32"/>
      <c r="R430" s="32"/>
      <c r="S430" s="32"/>
      <c r="T430" s="32"/>
    </row>
    <row r="431" customFormat="false" ht="15" hidden="false" customHeight="true" outlineLevel="0" collapsed="false">
      <c r="A431" s="38" t="s">
        <v>130</v>
      </c>
      <c r="B431" s="31" t="n">
        <v>18</v>
      </c>
      <c r="C431" s="39" t="s">
        <v>334</v>
      </c>
      <c r="D431" s="31" t="n">
        <v>14</v>
      </c>
      <c r="E431" s="40" t="n">
        <v>1</v>
      </c>
      <c r="F431" s="40" t="n">
        <v>0.857142857142857</v>
      </c>
      <c r="G431" s="40" t="n">
        <v>0.928571428571429</v>
      </c>
      <c r="H431" s="32"/>
      <c r="I431" s="32"/>
      <c r="J431" s="32"/>
      <c r="K431" s="32"/>
      <c r="L431" s="32"/>
      <c r="M431" s="32"/>
      <c r="N431" s="32"/>
      <c r="O431" s="32"/>
      <c r="P431" s="32"/>
      <c r="Q431" s="32"/>
      <c r="R431" s="32"/>
      <c r="S431" s="32"/>
      <c r="T431" s="32"/>
    </row>
    <row r="432" customFormat="false" ht="15" hidden="false" customHeight="true" outlineLevel="0" collapsed="false">
      <c r="A432" s="38" t="s">
        <v>132</v>
      </c>
      <c r="B432" s="31" t="n">
        <v>20</v>
      </c>
      <c r="C432" s="39" t="s">
        <v>334</v>
      </c>
      <c r="D432" s="31" t="n">
        <v>19</v>
      </c>
      <c r="E432" s="40" t="n">
        <v>1</v>
      </c>
      <c r="F432" s="32"/>
      <c r="G432" s="32"/>
      <c r="H432" s="32"/>
      <c r="I432" s="32"/>
      <c r="J432" s="32"/>
      <c r="K432" s="32"/>
      <c r="L432" s="32"/>
      <c r="M432" s="32"/>
      <c r="N432" s="32"/>
      <c r="O432" s="32"/>
      <c r="P432" s="32"/>
      <c r="Q432" s="32"/>
      <c r="R432" s="32"/>
      <c r="S432" s="32"/>
      <c r="T432" s="32"/>
    </row>
    <row r="433" customFormat="false" ht="15" hidden="false" customHeight="true" outlineLevel="0" collapsed="false">
      <c r="A433" s="34" t="s">
        <v>335</v>
      </c>
      <c r="B433" s="36"/>
      <c r="C433" s="36"/>
      <c r="D433" s="36"/>
      <c r="E433" s="44" t="n">
        <v>1</v>
      </c>
      <c r="F433" s="44" t="n">
        <v>0.83448275862069</v>
      </c>
      <c r="G433" s="44" t="n">
        <v>0.83448275862069</v>
      </c>
      <c r="H433" s="44" t="n">
        <v>0.76551724137931</v>
      </c>
      <c r="I433" s="44" t="n">
        <v>0.551724137931035</v>
      </c>
      <c r="J433" s="44" t="n">
        <v>0.296551724137931</v>
      </c>
      <c r="K433" s="44" t="n">
        <v>0.124137931034483</v>
      </c>
      <c r="L433" s="44" t="n">
        <v>0.117241379310345</v>
      </c>
      <c r="M433" s="44" t="n">
        <v>0.0551724137931035</v>
      </c>
      <c r="N433" s="44" t="n">
        <v>0.0344827586206897</v>
      </c>
      <c r="O433" s="44" t="n">
        <v>0.0275862068965517</v>
      </c>
      <c r="P433" s="44" t="n">
        <v>0.0137931034482759</v>
      </c>
      <c r="Q433" s="44" t="n">
        <v>0.00689655172413793</v>
      </c>
      <c r="R433" s="44" t="n">
        <v>0</v>
      </c>
      <c r="S433" s="44" t="n">
        <v>0.00689655172413793</v>
      </c>
      <c r="T433" s="44" t="n">
        <v>0.00689655172413793</v>
      </c>
    </row>
    <row r="434" customFormat="false" ht="15" hidden="false" customHeight="true" outlineLevel="0" collapsed="false">
      <c r="A434" s="34" t="s">
        <v>336</v>
      </c>
      <c r="B434" s="36"/>
      <c r="C434" s="36"/>
      <c r="D434" s="36"/>
      <c r="E434" s="44" t="n">
        <v>1</v>
      </c>
      <c r="F434" s="44" t="n">
        <v>0.840611458258517</v>
      </c>
      <c r="G434" s="44" t="n">
        <v>0.851613636907755</v>
      </c>
      <c r="H434" s="44" t="n">
        <v>0.672590916708564</v>
      </c>
      <c r="I434" s="44" t="n">
        <v>0.426172520290167</v>
      </c>
      <c r="J434" s="44" t="n">
        <v>0.338139529316</v>
      </c>
      <c r="K434" s="44" t="n">
        <v>0.107031530560942</v>
      </c>
      <c r="L434" s="44" t="n">
        <v>0.0877971701501113</v>
      </c>
      <c r="M434" s="44" t="n">
        <v>0.0611111111111111</v>
      </c>
      <c r="N434" s="44" t="n">
        <v>0.0347796811032105</v>
      </c>
      <c r="O434" s="44" t="n">
        <v>0.0298319327731092</v>
      </c>
      <c r="P434" s="44" t="n">
        <v>0.0222222222222222</v>
      </c>
      <c r="Q434" s="44" t="n">
        <v>0.0133333333333333</v>
      </c>
      <c r="R434" s="44" t="n">
        <v>0</v>
      </c>
      <c r="S434" s="44" t="n">
        <v>0.0166666666666667</v>
      </c>
      <c r="T434" s="44" t="n">
        <v>0.0222222222222222</v>
      </c>
    </row>
    <row r="435" customFormat="false" ht="15" hidden="false" customHeight="true" outlineLevel="0" collapsed="false">
      <c r="A435" s="45" t="s">
        <v>356</v>
      </c>
      <c r="B435" s="45"/>
      <c r="C435" s="45"/>
      <c r="D435" s="45"/>
      <c r="E435" s="45"/>
      <c r="F435" s="45"/>
      <c r="G435" s="45"/>
      <c r="H435" s="45"/>
      <c r="I435" s="45"/>
      <c r="J435" s="45"/>
      <c r="K435" s="45"/>
      <c r="L435" s="45"/>
      <c r="M435" s="45"/>
      <c r="N435" s="45"/>
      <c r="O435" s="45"/>
      <c r="P435" s="45"/>
      <c r="Q435" s="45"/>
      <c r="R435" s="45"/>
      <c r="S435" s="45"/>
      <c r="T435" s="45"/>
    </row>
    <row r="437" customFormat="false" ht="15" hidden="false" customHeight="true" outlineLevel="0" collapsed="false">
      <c r="A437" s="28" t="s">
        <v>313</v>
      </c>
      <c r="B437" s="28"/>
      <c r="C437" s="28"/>
      <c r="D437" s="28"/>
      <c r="E437" s="28"/>
      <c r="F437" s="28"/>
      <c r="G437" s="28"/>
      <c r="H437" s="28"/>
      <c r="I437" s="28"/>
      <c r="J437" s="28"/>
      <c r="K437" s="28"/>
      <c r="L437" s="28"/>
      <c r="M437" s="28"/>
      <c r="N437" s="28"/>
      <c r="O437" s="28"/>
      <c r="P437" s="28"/>
      <c r="Q437" s="28"/>
    </row>
    <row r="438" customFormat="false" ht="15" hidden="false" customHeight="true" outlineLevel="0" collapsed="false">
      <c r="A438" s="12" t="s">
        <v>330</v>
      </c>
      <c r="B438" s="12" t="s">
        <v>331</v>
      </c>
      <c r="C438" s="12" t="s">
        <v>332</v>
      </c>
      <c r="D438" s="12" t="s">
        <v>333</v>
      </c>
      <c r="E438" s="37" t="n">
        <v>1</v>
      </c>
      <c r="F438" s="37" t="n">
        <v>2</v>
      </c>
      <c r="G438" s="37" t="n">
        <v>3</v>
      </c>
      <c r="H438" s="37" t="n">
        <v>4</v>
      </c>
      <c r="I438" s="37" t="n">
        <v>5</v>
      </c>
      <c r="J438" s="37" t="n">
        <v>6</v>
      </c>
      <c r="K438" s="37" t="n">
        <v>7</v>
      </c>
      <c r="L438" s="37" t="n">
        <v>8</v>
      </c>
      <c r="M438" s="37" t="n">
        <v>9</v>
      </c>
      <c r="N438" s="37" t="n">
        <v>10</v>
      </c>
      <c r="O438" s="37" t="n">
        <v>11</v>
      </c>
      <c r="P438" s="37" t="n">
        <v>12</v>
      </c>
      <c r="Q438" s="37" t="n">
        <v>13</v>
      </c>
    </row>
    <row r="439" customFormat="false" ht="15" hidden="false" customHeight="true" outlineLevel="0" collapsed="false">
      <c r="A439" s="42" t="s">
        <v>113</v>
      </c>
      <c r="B439" s="31" t="n">
        <v>1</v>
      </c>
      <c r="C439" s="43" t="s">
        <v>338</v>
      </c>
      <c r="D439" s="31" t="n">
        <v>4</v>
      </c>
      <c r="E439" s="40" t="n">
        <v>1</v>
      </c>
      <c r="F439" s="40" t="n">
        <v>1</v>
      </c>
      <c r="G439" s="40" t="n">
        <v>1</v>
      </c>
      <c r="H439" s="40" t="n">
        <v>0.75</v>
      </c>
      <c r="I439" s="40" t="n">
        <v>1</v>
      </c>
      <c r="J439" s="40" t="n">
        <v>0.5</v>
      </c>
      <c r="K439" s="40" t="n">
        <v>0</v>
      </c>
      <c r="L439" s="40" t="n">
        <v>0.25</v>
      </c>
      <c r="M439" s="40" t="n">
        <v>0.25</v>
      </c>
      <c r="N439" s="40" t="n">
        <v>0</v>
      </c>
      <c r="O439" s="40" t="n">
        <v>0.25</v>
      </c>
      <c r="P439" s="40" t="n">
        <v>0</v>
      </c>
      <c r="Q439" s="40" t="n">
        <v>0</v>
      </c>
    </row>
    <row r="440" customFormat="false" ht="15" hidden="false" customHeight="true" outlineLevel="0" collapsed="false">
      <c r="A440" s="42" t="s">
        <v>114</v>
      </c>
      <c r="B440" s="31" t="n">
        <v>2</v>
      </c>
      <c r="C440" s="43" t="s">
        <v>338</v>
      </c>
      <c r="D440" s="31" t="n">
        <v>7</v>
      </c>
      <c r="E440" s="40" t="n">
        <v>1</v>
      </c>
      <c r="F440" s="40" t="n">
        <v>0.714285714285714</v>
      </c>
      <c r="G440" s="40" t="n">
        <v>0.285714285714286</v>
      </c>
      <c r="H440" s="40" t="n">
        <v>0.428571428571429</v>
      </c>
      <c r="I440" s="40" t="n">
        <v>0.428571428571429</v>
      </c>
      <c r="J440" s="40" t="n">
        <v>0.428571428571429</v>
      </c>
      <c r="K440" s="40" t="n">
        <v>0.428571428571429</v>
      </c>
      <c r="L440" s="40" t="n">
        <v>0.142857142857143</v>
      </c>
      <c r="M440" s="40" t="n">
        <v>0</v>
      </c>
      <c r="N440" s="40" t="n">
        <v>0</v>
      </c>
      <c r="O440" s="40" t="n">
        <v>0</v>
      </c>
      <c r="P440" s="40" t="n">
        <v>0</v>
      </c>
      <c r="Q440" s="40" t="n">
        <v>0</v>
      </c>
    </row>
    <row r="441" customFormat="false" ht="15" hidden="false" customHeight="true" outlineLevel="0" collapsed="false">
      <c r="A441" s="42" t="s">
        <v>115</v>
      </c>
      <c r="B441" s="31" t="n">
        <v>3</v>
      </c>
      <c r="C441" s="43" t="s">
        <v>338</v>
      </c>
      <c r="D441" s="31" t="n">
        <v>8</v>
      </c>
      <c r="E441" s="40" t="n">
        <v>1</v>
      </c>
      <c r="F441" s="40" t="n">
        <v>0.75</v>
      </c>
      <c r="G441" s="40" t="n">
        <v>0.75</v>
      </c>
      <c r="H441" s="40" t="n">
        <v>0.875</v>
      </c>
      <c r="I441" s="40" t="n">
        <v>0.625</v>
      </c>
      <c r="J441" s="40" t="n">
        <v>0.625</v>
      </c>
      <c r="K441" s="40" t="n">
        <v>0.625</v>
      </c>
      <c r="L441" s="40" t="n">
        <v>0.5</v>
      </c>
      <c r="M441" s="40" t="n">
        <v>0.25</v>
      </c>
      <c r="N441" s="40" t="n">
        <v>0.25</v>
      </c>
      <c r="O441" s="40" t="n">
        <v>0.125</v>
      </c>
      <c r="P441" s="40" t="n">
        <v>0.125</v>
      </c>
      <c r="Q441" s="40" t="n">
        <v>0.125</v>
      </c>
    </row>
    <row r="442" customFormat="false" ht="15" hidden="false" customHeight="true" outlineLevel="0" collapsed="false">
      <c r="A442" s="42" t="s">
        <v>116</v>
      </c>
      <c r="B442" s="31" t="n">
        <v>4</v>
      </c>
      <c r="C442" s="43" t="s">
        <v>338</v>
      </c>
      <c r="D442" s="31" t="n">
        <v>6</v>
      </c>
      <c r="E442" s="40" t="n">
        <v>1</v>
      </c>
      <c r="F442" s="40" t="n">
        <v>1</v>
      </c>
      <c r="G442" s="40" t="n">
        <v>0.833333333333333</v>
      </c>
      <c r="H442" s="40" t="n">
        <v>0.5</v>
      </c>
      <c r="I442" s="40" t="n">
        <v>0.833333333333333</v>
      </c>
      <c r="J442" s="40" t="n">
        <v>0.666666666666667</v>
      </c>
      <c r="K442" s="40" t="n">
        <v>0.166666666666667</v>
      </c>
      <c r="L442" s="40" t="n">
        <v>0.333333333333333</v>
      </c>
      <c r="M442" s="40" t="n">
        <v>0.333333333333333</v>
      </c>
      <c r="N442" s="40" t="n">
        <v>0</v>
      </c>
      <c r="O442" s="40" t="n">
        <v>0.5</v>
      </c>
      <c r="P442" s="40" t="n">
        <v>0.333333333333333</v>
      </c>
      <c r="Q442" s="40" t="n">
        <v>0</v>
      </c>
    </row>
    <row r="443" customFormat="false" ht="15" hidden="false" customHeight="true" outlineLevel="0" collapsed="false">
      <c r="A443" s="42" t="s">
        <v>117</v>
      </c>
      <c r="B443" s="31" t="n">
        <v>5</v>
      </c>
      <c r="C443" s="43" t="s">
        <v>338</v>
      </c>
      <c r="D443" s="31" t="n">
        <v>18</v>
      </c>
      <c r="E443" s="40" t="n">
        <v>1</v>
      </c>
      <c r="F443" s="40" t="n">
        <v>0.777777777777778</v>
      </c>
      <c r="G443" s="40" t="n">
        <v>0.444444444444444</v>
      </c>
      <c r="H443" s="40" t="n">
        <v>0.555555555555556</v>
      </c>
      <c r="I443" s="40" t="n">
        <v>0.5</v>
      </c>
      <c r="J443" s="40" t="n">
        <v>0.277777777777778</v>
      </c>
      <c r="K443" s="40" t="n">
        <v>0.444444444444444</v>
      </c>
      <c r="L443" s="40" t="n">
        <v>0.222222222222222</v>
      </c>
      <c r="M443" s="40" t="n">
        <v>0.0555555555555556</v>
      </c>
      <c r="N443" s="40" t="n">
        <v>0.222222222222222</v>
      </c>
      <c r="O443" s="40" t="n">
        <v>0.111111111111111</v>
      </c>
      <c r="P443" s="40" t="n">
        <v>0</v>
      </c>
      <c r="Q443" s="40" t="n">
        <v>0</v>
      </c>
    </row>
    <row r="444" customFormat="false" ht="15" hidden="false" customHeight="true" outlineLevel="0" collapsed="false">
      <c r="A444" s="42" t="s">
        <v>118</v>
      </c>
      <c r="B444" s="31" t="n">
        <v>6</v>
      </c>
      <c r="C444" s="43" t="s">
        <v>338</v>
      </c>
      <c r="D444" s="31" t="n">
        <v>26</v>
      </c>
      <c r="E444" s="40" t="n">
        <v>1</v>
      </c>
      <c r="F444" s="40" t="n">
        <v>0.538461538461538</v>
      </c>
      <c r="G444" s="40" t="n">
        <v>0.461538461538462</v>
      </c>
      <c r="H444" s="40" t="n">
        <v>0.538461538461538</v>
      </c>
      <c r="I444" s="40" t="n">
        <v>0.423076923076923</v>
      </c>
      <c r="J444" s="40" t="n">
        <v>0.461538461538462</v>
      </c>
      <c r="K444" s="40" t="n">
        <v>0.269230769230769</v>
      </c>
      <c r="L444" s="40" t="n">
        <v>0.115384615384615</v>
      </c>
      <c r="M444" s="40" t="n">
        <v>0.0769230769230769</v>
      </c>
      <c r="N444" s="40" t="n">
        <v>0</v>
      </c>
      <c r="O444" s="40" t="n">
        <v>0</v>
      </c>
      <c r="P444" s="40" t="n">
        <v>0</v>
      </c>
      <c r="Q444" s="40" t="n">
        <v>0</v>
      </c>
    </row>
    <row r="445" customFormat="false" ht="15" hidden="false" customHeight="true" outlineLevel="0" collapsed="false">
      <c r="A445" s="42" t="s">
        <v>119</v>
      </c>
      <c r="B445" s="31" t="n">
        <v>7</v>
      </c>
      <c r="C445" s="43" t="s">
        <v>338</v>
      </c>
      <c r="D445" s="31" t="n">
        <v>21</v>
      </c>
      <c r="E445" s="40" t="n">
        <v>1</v>
      </c>
      <c r="F445" s="40" t="n">
        <v>0.761904761904762</v>
      </c>
      <c r="G445" s="40" t="n">
        <v>0.619047619047619</v>
      </c>
      <c r="H445" s="40" t="n">
        <v>0.285714285714286</v>
      </c>
      <c r="I445" s="40" t="n">
        <v>0.428571428571429</v>
      </c>
      <c r="J445" s="40" t="n">
        <v>0.428571428571429</v>
      </c>
      <c r="K445" s="40" t="n">
        <v>0.0476190476190476</v>
      </c>
      <c r="L445" s="40" t="n">
        <v>0.0476190476190476</v>
      </c>
      <c r="M445" s="40" t="n">
        <v>0.0476190476190476</v>
      </c>
      <c r="N445" s="40" t="n">
        <v>0.0476190476190476</v>
      </c>
      <c r="O445" s="40" t="n">
        <v>0.0476190476190476</v>
      </c>
      <c r="P445" s="40" t="n">
        <v>0</v>
      </c>
      <c r="Q445" s="40" t="n">
        <v>0</v>
      </c>
    </row>
    <row r="446" customFormat="false" ht="15" hidden="false" customHeight="true" outlineLevel="0" collapsed="false">
      <c r="A446" s="42" t="s">
        <v>120</v>
      </c>
      <c r="B446" s="31" t="n">
        <v>8</v>
      </c>
      <c r="C446" s="43" t="s">
        <v>338</v>
      </c>
      <c r="D446" s="31" t="n">
        <v>32</v>
      </c>
      <c r="E446" s="40" t="n">
        <v>1</v>
      </c>
      <c r="F446" s="40" t="n">
        <v>0.6875</v>
      </c>
      <c r="G446" s="40" t="n">
        <v>0.40625</v>
      </c>
      <c r="H446" s="40" t="n">
        <v>0.53125</v>
      </c>
      <c r="I446" s="40" t="n">
        <v>0.5</v>
      </c>
      <c r="J446" s="40" t="n">
        <v>0.28125</v>
      </c>
      <c r="K446" s="40" t="n">
        <v>0.15625</v>
      </c>
      <c r="L446" s="40" t="n">
        <v>0.03125</v>
      </c>
      <c r="M446" s="40" t="n">
        <v>0</v>
      </c>
      <c r="N446" s="40" t="n">
        <v>0</v>
      </c>
      <c r="O446" s="40" t="n">
        <v>0</v>
      </c>
      <c r="P446" s="40" t="n">
        <v>0</v>
      </c>
      <c r="Q446" s="40" t="n">
        <v>0</v>
      </c>
    </row>
    <row r="447" customFormat="false" ht="15" hidden="false" customHeight="true" outlineLevel="0" collapsed="false">
      <c r="A447" s="42" t="s">
        <v>121</v>
      </c>
      <c r="B447" s="31" t="n">
        <v>9</v>
      </c>
      <c r="C447" s="43" t="s">
        <v>338</v>
      </c>
      <c r="D447" s="31" t="n">
        <v>24</v>
      </c>
      <c r="E447" s="40" t="n">
        <v>1</v>
      </c>
      <c r="F447" s="40" t="n">
        <v>0.458333333333333</v>
      </c>
      <c r="G447" s="40" t="n">
        <v>0.541666666666667</v>
      </c>
      <c r="H447" s="40" t="n">
        <v>0.458333333333333</v>
      </c>
      <c r="I447" s="40" t="n">
        <v>0.25</v>
      </c>
      <c r="J447" s="40" t="n">
        <v>0.375</v>
      </c>
      <c r="K447" s="40" t="n">
        <v>0.208333333333333</v>
      </c>
      <c r="L447" s="40" t="n">
        <v>0.0416666666666667</v>
      </c>
      <c r="M447" s="40" t="n">
        <v>0.0416666666666667</v>
      </c>
      <c r="N447" s="40" t="n">
        <v>0.0416666666666667</v>
      </c>
      <c r="O447" s="40" t="n">
        <v>0.0416666666666667</v>
      </c>
      <c r="P447" s="40" t="n">
        <v>0.0416666666666667</v>
      </c>
      <c r="Q447" s="32"/>
    </row>
    <row r="448" customFormat="false" ht="15" hidden="false" customHeight="true" outlineLevel="0" collapsed="false">
      <c r="A448" s="42" t="s">
        <v>122</v>
      </c>
      <c r="B448" s="31" t="n">
        <v>10</v>
      </c>
      <c r="C448" s="43" t="s">
        <v>338</v>
      </c>
      <c r="D448" s="31" t="n">
        <v>16</v>
      </c>
      <c r="E448" s="40" t="n">
        <v>1</v>
      </c>
      <c r="F448" s="40" t="n">
        <v>0.8125</v>
      </c>
      <c r="G448" s="40" t="n">
        <v>0.75</v>
      </c>
      <c r="H448" s="40" t="n">
        <v>0.5625</v>
      </c>
      <c r="I448" s="40" t="n">
        <v>0.625</v>
      </c>
      <c r="J448" s="40" t="n">
        <v>0.3125</v>
      </c>
      <c r="K448" s="40" t="n">
        <v>0.125</v>
      </c>
      <c r="L448" s="40" t="n">
        <v>0.0625</v>
      </c>
      <c r="M448" s="40" t="n">
        <v>0</v>
      </c>
      <c r="N448" s="40" t="n">
        <v>0</v>
      </c>
      <c r="O448" s="40" t="n">
        <v>0</v>
      </c>
      <c r="P448" s="32"/>
      <c r="Q448" s="32"/>
    </row>
    <row r="449" customFormat="false" ht="15" hidden="false" customHeight="true" outlineLevel="0" collapsed="false">
      <c r="A449" s="42" t="s">
        <v>123</v>
      </c>
      <c r="B449" s="31" t="n">
        <v>11</v>
      </c>
      <c r="C449" s="43" t="s">
        <v>338</v>
      </c>
      <c r="D449" s="31" t="n">
        <v>33</v>
      </c>
      <c r="E449" s="40" t="n">
        <v>1</v>
      </c>
      <c r="F449" s="40" t="n">
        <v>0.727272727272727</v>
      </c>
      <c r="G449" s="40" t="n">
        <v>0.484848484848485</v>
      </c>
      <c r="H449" s="40" t="n">
        <v>0.515151515151515</v>
      </c>
      <c r="I449" s="40" t="n">
        <v>0.515151515151515</v>
      </c>
      <c r="J449" s="40" t="n">
        <v>0.0909090909090909</v>
      </c>
      <c r="K449" s="40" t="n">
        <v>0.181818181818182</v>
      </c>
      <c r="L449" s="40" t="n">
        <v>0.0606060606060606</v>
      </c>
      <c r="M449" s="40" t="n">
        <v>0</v>
      </c>
      <c r="N449" s="40" t="n">
        <v>0</v>
      </c>
      <c r="O449" s="32"/>
      <c r="P449" s="32"/>
      <c r="Q449" s="32"/>
    </row>
    <row r="450" customFormat="false" ht="15" hidden="false" customHeight="true" outlineLevel="0" collapsed="false">
      <c r="A450" s="42" t="s">
        <v>124</v>
      </c>
      <c r="B450" s="31" t="n">
        <v>12</v>
      </c>
      <c r="C450" s="43" t="s">
        <v>338</v>
      </c>
      <c r="D450" s="31" t="n">
        <v>23</v>
      </c>
      <c r="E450" s="40" t="n">
        <v>1</v>
      </c>
      <c r="F450" s="40" t="n">
        <v>0.782608695652174</v>
      </c>
      <c r="G450" s="40" t="n">
        <v>0.739130434782609</v>
      </c>
      <c r="H450" s="40" t="n">
        <v>0.695652173913044</v>
      </c>
      <c r="I450" s="40" t="n">
        <v>0.391304347826087</v>
      </c>
      <c r="J450" s="40" t="n">
        <v>0.130434782608696</v>
      </c>
      <c r="K450" s="40" t="n">
        <v>0.0869565217391304</v>
      </c>
      <c r="L450" s="40" t="n">
        <v>0.0434782608695652</v>
      </c>
      <c r="M450" s="40" t="n">
        <v>0.0434782608695652</v>
      </c>
      <c r="N450" s="32"/>
      <c r="O450" s="32"/>
      <c r="P450" s="32"/>
      <c r="Q450" s="32"/>
    </row>
    <row r="451" customFormat="false" ht="15" hidden="false" customHeight="true" outlineLevel="0" collapsed="false">
      <c r="A451" s="38" t="s">
        <v>125</v>
      </c>
      <c r="B451" s="31" t="n">
        <v>13</v>
      </c>
      <c r="C451" s="39" t="s">
        <v>334</v>
      </c>
      <c r="D451" s="31" t="n">
        <v>14</v>
      </c>
      <c r="E451" s="40" t="n">
        <v>1</v>
      </c>
      <c r="F451" s="40" t="n">
        <v>0.857142857142857</v>
      </c>
      <c r="G451" s="40" t="n">
        <v>0.785714285714286</v>
      </c>
      <c r="H451" s="40" t="n">
        <v>0.642857142857143</v>
      </c>
      <c r="I451" s="40" t="n">
        <v>0.642857142857143</v>
      </c>
      <c r="J451" s="40" t="n">
        <v>0.285714285714286</v>
      </c>
      <c r="K451" s="40" t="n">
        <v>0.0714285714285714</v>
      </c>
      <c r="L451" s="40" t="n">
        <v>0.142857142857143</v>
      </c>
      <c r="M451" s="32"/>
      <c r="N451" s="32"/>
      <c r="O451" s="32"/>
      <c r="P451" s="32"/>
      <c r="Q451" s="32"/>
    </row>
    <row r="452" customFormat="false" ht="15" hidden="false" customHeight="true" outlineLevel="0" collapsed="false">
      <c r="A452" s="38" t="s">
        <v>126</v>
      </c>
      <c r="B452" s="31" t="n">
        <v>14</v>
      </c>
      <c r="C452" s="39" t="s">
        <v>334</v>
      </c>
      <c r="D452" s="31" t="n">
        <v>27</v>
      </c>
      <c r="E452" s="40" t="n">
        <v>1</v>
      </c>
      <c r="F452" s="40" t="n">
        <v>0.925925925925926</v>
      </c>
      <c r="G452" s="40" t="n">
        <v>0.592592592592593</v>
      </c>
      <c r="H452" s="40" t="n">
        <v>0.814814814814815</v>
      </c>
      <c r="I452" s="40" t="n">
        <v>0.703703703703704</v>
      </c>
      <c r="J452" s="40" t="n">
        <v>0.148148148148148</v>
      </c>
      <c r="K452" s="40" t="n">
        <v>0.037037037037037</v>
      </c>
      <c r="L452" s="32"/>
      <c r="M452" s="32"/>
      <c r="N452" s="32"/>
      <c r="O452" s="32"/>
      <c r="P452" s="32"/>
      <c r="Q452" s="32"/>
    </row>
    <row r="453" customFormat="false" ht="15" hidden="false" customHeight="true" outlineLevel="0" collapsed="false">
      <c r="A453" s="38" t="s">
        <v>127</v>
      </c>
      <c r="B453" s="31" t="n">
        <v>15</v>
      </c>
      <c r="C453" s="39" t="s">
        <v>334</v>
      </c>
      <c r="D453" s="31" t="n">
        <v>19</v>
      </c>
      <c r="E453" s="40" t="n">
        <v>1</v>
      </c>
      <c r="F453" s="40" t="n">
        <v>0.631578947368421</v>
      </c>
      <c r="G453" s="40" t="n">
        <v>0.578947368421053</v>
      </c>
      <c r="H453" s="40" t="n">
        <v>0.526315789473684</v>
      </c>
      <c r="I453" s="40" t="n">
        <v>0.105263157894737</v>
      </c>
      <c r="J453" s="40" t="n">
        <v>0.0526315789473684</v>
      </c>
      <c r="K453" s="32"/>
      <c r="L453" s="32"/>
      <c r="M453" s="32"/>
      <c r="N453" s="32"/>
      <c r="O453" s="32"/>
      <c r="P453" s="32"/>
      <c r="Q453" s="32"/>
    </row>
    <row r="454" customFormat="false" ht="15" hidden="false" customHeight="true" outlineLevel="0" collapsed="false">
      <c r="A454" s="38" t="s">
        <v>128</v>
      </c>
      <c r="B454" s="31" t="n">
        <v>16</v>
      </c>
      <c r="C454" s="39" t="s">
        <v>334</v>
      </c>
      <c r="D454" s="31" t="n">
        <v>1</v>
      </c>
      <c r="E454" s="40" t="n">
        <v>1</v>
      </c>
      <c r="F454" s="40" t="n">
        <v>0</v>
      </c>
      <c r="G454" s="40" t="n">
        <v>0</v>
      </c>
      <c r="H454" s="40" t="n">
        <v>0</v>
      </c>
      <c r="I454" s="40" t="n">
        <v>0</v>
      </c>
      <c r="J454" s="32"/>
      <c r="K454" s="32"/>
      <c r="L454" s="32"/>
      <c r="M454" s="32"/>
      <c r="N454" s="32"/>
      <c r="O454" s="32"/>
      <c r="P454" s="32"/>
      <c r="Q454" s="32"/>
    </row>
    <row r="455" customFormat="false" ht="15" hidden="false" customHeight="true" outlineLevel="0" collapsed="false">
      <c r="A455" s="38" t="s">
        <v>129</v>
      </c>
      <c r="B455" s="31" t="n">
        <v>17</v>
      </c>
      <c r="C455" s="39" t="s">
        <v>334</v>
      </c>
      <c r="D455" s="31" t="n">
        <v>26</v>
      </c>
      <c r="E455" s="40" t="n">
        <v>1</v>
      </c>
      <c r="F455" s="40" t="n">
        <v>0.769230769230769</v>
      </c>
      <c r="G455" s="40" t="n">
        <v>0.538461538461538</v>
      </c>
      <c r="H455" s="40" t="n">
        <v>0.769230769230769</v>
      </c>
      <c r="I455" s="32"/>
      <c r="J455" s="32"/>
      <c r="K455" s="32"/>
      <c r="L455" s="32"/>
      <c r="M455" s="32"/>
      <c r="N455" s="32"/>
      <c r="O455" s="32"/>
      <c r="P455" s="32"/>
      <c r="Q455" s="32"/>
    </row>
    <row r="456" customFormat="false" ht="15" hidden="false" customHeight="true" outlineLevel="0" collapsed="false">
      <c r="A456" s="38" t="s">
        <v>130</v>
      </c>
      <c r="B456" s="31" t="n">
        <v>18</v>
      </c>
      <c r="C456" s="39" t="s">
        <v>334</v>
      </c>
      <c r="D456" s="31" t="n">
        <v>12</v>
      </c>
      <c r="E456" s="40" t="n">
        <v>1</v>
      </c>
      <c r="F456" s="40" t="n">
        <v>0.583333333333333</v>
      </c>
      <c r="G456" s="40" t="n">
        <v>1</v>
      </c>
      <c r="H456" s="32"/>
      <c r="I456" s="32"/>
      <c r="J456" s="32"/>
      <c r="K456" s="32"/>
      <c r="L456" s="32"/>
      <c r="M456" s="32"/>
      <c r="N456" s="32"/>
      <c r="O456" s="32"/>
      <c r="P456" s="32"/>
      <c r="Q456" s="32"/>
    </row>
    <row r="457" customFormat="false" ht="15" hidden="false" customHeight="true" outlineLevel="0" collapsed="false">
      <c r="A457" s="38" t="s">
        <v>131</v>
      </c>
      <c r="B457" s="31" t="n">
        <v>19</v>
      </c>
      <c r="C457" s="39" t="s">
        <v>334</v>
      </c>
      <c r="D457" s="31" t="n">
        <v>7</v>
      </c>
      <c r="E457" s="40" t="n">
        <v>1</v>
      </c>
      <c r="F457" s="40" t="n">
        <v>0.571428571428571</v>
      </c>
      <c r="G457" s="32"/>
      <c r="H457" s="32"/>
      <c r="I457" s="32"/>
      <c r="J457" s="32"/>
      <c r="K457" s="32"/>
      <c r="L457" s="32"/>
      <c r="M457" s="32"/>
      <c r="N457" s="32"/>
      <c r="O457" s="32"/>
      <c r="P457" s="32"/>
      <c r="Q457" s="32"/>
    </row>
    <row r="458" customFormat="false" ht="15" hidden="false" customHeight="true" outlineLevel="0" collapsed="false">
      <c r="A458" s="38" t="s">
        <v>132</v>
      </c>
      <c r="B458" s="31" t="n">
        <v>20</v>
      </c>
      <c r="C458" s="39" t="s">
        <v>334</v>
      </c>
      <c r="D458" s="31" t="n">
        <v>21</v>
      </c>
      <c r="E458" s="40" t="n">
        <v>1</v>
      </c>
      <c r="F458" s="32"/>
      <c r="G458" s="32"/>
      <c r="H458" s="32"/>
      <c r="I458" s="32"/>
      <c r="J458" s="32"/>
      <c r="K458" s="32"/>
      <c r="L458" s="32"/>
      <c r="M458" s="32"/>
      <c r="N458" s="32"/>
      <c r="O458" s="32"/>
      <c r="P458" s="32"/>
      <c r="Q458" s="32"/>
    </row>
    <row r="459" customFormat="false" ht="15" hidden="false" customHeight="true" outlineLevel="0" collapsed="false">
      <c r="A459" s="34" t="s">
        <v>335</v>
      </c>
      <c r="B459" s="36"/>
      <c r="C459" s="36"/>
      <c r="D459" s="36"/>
      <c r="E459" s="44" t="n">
        <v>1</v>
      </c>
      <c r="F459" s="44" t="n">
        <v>0.701834862385321</v>
      </c>
      <c r="G459" s="44" t="n">
        <v>0.555045871559633</v>
      </c>
      <c r="H459" s="44" t="n">
        <v>0.532110091743119</v>
      </c>
      <c r="I459" s="44" t="n">
        <v>0.477064220183486</v>
      </c>
      <c r="J459" s="44" t="n">
        <v>0.31651376146789</v>
      </c>
      <c r="K459" s="44" t="n">
        <v>0.206422018348624</v>
      </c>
      <c r="L459" s="44" t="n">
        <v>0.100917431192661</v>
      </c>
      <c r="M459" s="44" t="n">
        <v>0.0504587155963303</v>
      </c>
      <c r="N459" s="44" t="n">
        <v>0.036697247706422</v>
      </c>
      <c r="O459" s="44" t="n">
        <v>0.0412844036697248</v>
      </c>
      <c r="P459" s="44" t="n">
        <v>0.018348623853211</v>
      </c>
      <c r="Q459" s="44" t="n">
        <v>0.00458715596330275</v>
      </c>
    </row>
    <row r="460" customFormat="false" ht="15" hidden="false" customHeight="true" outlineLevel="0" collapsed="false">
      <c r="A460" s="34" t="s">
        <v>336</v>
      </c>
      <c r="B460" s="36"/>
      <c r="C460" s="36"/>
      <c r="D460" s="36"/>
      <c r="E460" s="44" t="n">
        <v>1</v>
      </c>
      <c r="F460" s="44" t="n">
        <v>0.750887045724002</v>
      </c>
      <c r="G460" s="44" t="n">
        <v>0.609664477531325</v>
      </c>
      <c r="H460" s="44" t="n">
        <v>0.558015819225058</v>
      </c>
      <c r="I460" s="44" t="n">
        <v>0.54333408137756</v>
      </c>
      <c r="J460" s="44" t="n">
        <v>0.381518303053629</v>
      </c>
      <c r="K460" s="44" t="n">
        <v>0.228324199451917</v>
      </c>
      <c r="L460" s="44" t="n">
        <v>0.154243112463221</v>
      </c>
      <c r="M460" s="44" t="n">
        <v>0.0915479950806038</v>
      </c>
      <c r="N460" s="44" t="n">
        <v>0.051046176046176</v>
      </c>
      <c r="O460" s="44" t="n">
        <v>0.107539682539683</v>
      </c>
      <c r="P460" s="44" t="n">
        <v>0.0555555555555556</v>
      </c>
      <c r="Q460" s="44" t="n">
        <v>0.015625</v>
      </c>
    </row>
    <row r="461" customFormat="false" ht="15" hidden="false" customHeight="true" outlineLevel="0" collapsed="false">
      <c r="A461" s="45" t="s">
        <v>357</v>
      </c>
      <c r="B461" s="45"/>
      <c r="C461" s="45"/>
      <c r="D461" s="45"/>
      <c r="E461" s="45"/>
      <c r="F461" s="45"/>
      <c r="G461" s="45"/>
      <c r="H461" s="45"/>
      <c r="I461" s="45"/>
      <c r="J461" s="45"/>
      <c r="K461" s="45"/>
      <c r="L461" s="45"/>
      <c r="M461" s="45"/>
      <c r="N461" s="45"/>
      <c r="O461" s="45"/>
      <c r="P461" s="45"/>
      <c r="Q461" s="45"/>
    </row>
    <row r="463" customFormat="false" ht="15" hidden="false" customHeight="true" outlineLevel="0" collapsed="false">
      <c r="A463" s="28" t="s">
        <v>314</v>
      </c>
      <c r="B463" s="28"/>
      <c r="C463" s="28"/>
      <c r="D463" s="28"/>
      <c r="E463" s="28"/>
      <c r="F463" s="28"/>
      <c r="G463" s="28"/>
      <c r="H463" s="28"/>
    </row>
    <row r="464" customFormat="false" ht="15" hidden="false" customHeight="true" outlineLevel="0" collapsed="false">
      <c r="A464" s="12" t="s">
        <v>330</v>
      </c>
      <c r="B464" s="12" t="s">
        <v>331</v>
      </c>
      <c r="C464" s="12" t="s">
        <v>332</v>
      </c>
      <c r="D464" s="12" t="s">
        <v>333</v>
      </c>
      <c r="E464" s="37" t="n">
        <v>1</v>
      </c>
      <c r="F464" s="37" t="n">
        <v>2</v>
      </c>
      <c r="G464" s="37" t="n">
        <v>3</v>
      </c>
    </row>
    <row r="465" customFormat="false" ht="15" hidden="false" customHeight="true" outlineLevel="0" collapsed="false">
      <c r="A465" s="38" t="s">
        <v>130</v>
      </c>
      <c r="B465" s="31" t="n">
        <v>18</v>
      </c>
      <c r="C465" s="39" t="s">
        <v>334</v>
      </c>
      <c r="D465" s="31" t="n">
        <v>7</v>
      </c>
      <c r="E465" s="40" t="n">
        <v>1</v>
      </c>
      <c r="F465" s="40" t="n">
        <v>0.857142857142857</v>
      </c>
      <c r="G465" s="40" t="n">
        <v>0.857142857142857</v>
      </c>
    </row>
    <row r="466" customFormat="false" ht="15" hidden="false" customHeight="true" outlineLevel="0" collapsed="false">
      <c r="A466" s="38" t="s">
        <v>132</v>
      </c>
      <c r="B466" s="31" t="n">
        <v>20</v>
      </c>
      <c r="C466" s="39" t="s">
        <v>334</v>
      </c>
      <c r="D466" s="31" t="n">
        <v>22</v>
      </c>
      <c r="E466" s="40" t="n">
        <v>1</v>
      </c>
      <c r="F466" s="32"/>
      <c r="G466" s="32"/>
    </row>
    <row r="467" customFormat="false" ht="15" hidden="false" customHeight="true" outlineLevel="0" collapsed="false">
      <c r="A467" s="34" t="s">
        <v>335</v>
      </c>
      <c r="B467" s="36"/>
      <c r="C467" s="36"/>
      <c r="D467" s="36"/>
      <c r="E467" s="36"/>
      <c r="F467" s="36"/>
      <c r="G467" s="36"/>
    </row>
    <row r="468" customFormat="false" ht="15" hidden="false" customHeight="true" outlineLevel="0" collapsed="false">
      <c r="A468" s="34" t="s">
        <v>336</v>
      </c>
      <c r="B468" s="36"/>
      <c r="C468" s="36"/>
      <c r="D468" s="36"/>
      <c r="E468" s="36"/>
      <c r="F468" s="36"/>
      <c r="G468" s="36"/>
    </row>
    <row r="469" customFormat="false" ht="15" hidden="false" customHeight="true" outlineLevel="0" collapsed="false">
      <c r="A469" s="41" t="s">
        <v>337</v>
      </c>
      <c r="B469" s="41"/>
      <c r="C469" s="41"/>
      <c r="D469" s="41"/>
      <c r="E469" s="41"/>
      <c r="F469" s="41"/>
      <c r="G469" s="41"/>
      <c r="H469" s="41"/>
    </row>
    <row r="471" customFormat="false" ht="15" hidden="false" customHeight="true" outlineLevel="0" collapsed="false">
      <c r="A471" s="28" t="s">
        <v>315</v>
      </c>
      <c r="B471" s="28"/>
      <c r="C471" s="28"/>
      <c r="D471" s="28"/>
      <c r="E471" s="28"/>
      <c r="F471" s="28"/>
      <c r="G471" s="28"/>
      <c r="H471" s="28"/>
      <c r="I471" s="28"/>
      <c r="J471" s="28"/>
      <c r="K471" s="28"/>
    </row>
    <row r="472" customFormat="false" ht="15" hidden="false" customHeight="true" outlineLevel="0" collapsed="false">
      <c r="A472" s="12" t="s">
        <v>330</v>
      </c>
      <c r="B472" s="12" t="s">
        <v>331</v>
      </c>
      <c r="C472" s="12" t="s">
        <v>332</v>
      </c>
      <c r="D472" s="12" t="s">
        <v>333</v>
      </c>
      <c r="E472" s="37" t="n">
        <v>1</v>
      </c>
      <c r="F472" s="37" t="n">
        <v>2</v>
      </c>
      <c r="G472" s="37" t="n">
        <v>3</v>
      </c>
      <c r="H472" s="37" t="n">
        <v>4</v>
      </c>
      <c r="I472" s="37" t="n">
        <v>5</v>
      </c>
      <c r="J472" s="37" t="n">
        <v>6</v>
      </c>
      <c r="K472" s="37" t="n">
        <v>7</v>
      </c>
    </row>
    <row r="473" customFormat="false" ht="15" hidden="false" customHeight="true" outlineLevel="0" collapsed="false">
      <c r="A473" s="42" t="s">
        <v>124</v>
      </c>
      <c r="B473" s="31" t="n">
        <v>12</v>
      </c>
      <c r="C473" s="43" t="s">
        <v>338</v>
      </c>
      <c r="D473" s="31" t="n">
        <v>24</v>
      </c>
      <c r="E473" s="40" t="n">
        <v>1</v>
      </c>
      <c r="F473" s="40" t="n">
        <v>0.833333333333333</v>
      </c>
      <c r="G473" s="40" t="n">
        <v>0.791666666666667</v>
      </c>
      <c r="H473" s="40" t="n">
        <v>0.5</v>
      </c>
      <c r="I473" s="40" t="n">
        <v>0.5</v>
      </c>
      <c r="J473" s="40" t="n">
        <v>0</v>
      </c>
      <c r="K473" s="40" t="n">
        <v>0</v>
      </c>
    </row>
    <row r="474" customFormat="false" ht="15" hidden="false" customHeight="true" outlineLevel="0" collapsed="false">
      <c r="A474" s="38" t="s">
        <v>126</v>
      </c>
      <c r="B474" s="31" t="n">
        <v>14</v>
      </c>
      <c r="C474" s="39" t="s">
        <v>334</v>
      </c>
      <c r="D474" s="31" t="n">
        <v>35</v>
      </c>
      <c r="E474" s="40" t="n">
        <v>1</v>
      </c>
      <c r="F474" s="40" t="n">
        <v>0.885714285714286</v>
      </c>
      <c r="G474" s="40" t="n">
        <v>0.771428571428572</v>
      </c>
      <c r="H474" s="40" t="n">
        <v>0.314285714285714</v>
      </c>
      <c r="I474" s="40" t="n">
        <v>0.114285714285714</v>
      </c>
      <c r="J474" s="40" t="n">
        <v>0.114285714285714</v>
      </c>
      <c r="K474" s="40" t="n">
        <v>0.0571428571428571</v>
      </c>
    </row>
    <row r="475" customFormat="false" ht="15" hidden="false" customHeight="true" outlineLevel="0" collapsed="false">
      <c r="A475" s="38" t="s">
        <v>127</v>
      </c>
      <c r="B475" s="31" t="n">
        <v>15</v>
      </c>
      <c r="C475" s="39" t="s">
        <v>334</v>
      </c>
      <c r="D475" s="31" t="n">
        <v>29</v>
      </c>
      <c r="E475" s="40" t="n">
        <v>1</v>
      </c>
      <c r="F475" s="40" t="n">
        <v>0.758620689655172</v>
      </c>
      <c r="G475" s="40" t="n">
        <v>0.931034482758621</v>
      </c>
      <c r="H475" s="40" t="n">
        <v>0.551724137931035</v>
      </c>
      <c r="I475" s="40" t="n">
        <v>0.448275862068966</v>
      </c>
      <c r="J475" s="40" t="n">
        <v>0.275862068965517</v>
      </c>
      <c r="K475" s="32"/>
    </row>
    <row r="476" customFormat="false" ht="15" hidden="false" customHeight="true" outlineLevel="0" collapsed="false">
      <c r="A476" s="38" t="s">
        <v>129</v>
      </c>
      <c r="B476" s="31" t="n">
        <v>17</v>
      </c>
      <c r="C476" s="39" t="s">
        <v>334</v>
      </c>
      <c r="D476" s="31" t="n">
        <v>34</v>
      </c>
      <c r="E476" s="40" t="n">
        <v>1</v>
      </c>
      <c r="F476" s="40" t="n">
        <v>0.970588235294118</v>
      </c>
      <c r="G476" s="40" t="n">
        <v>0.882352941176471</v>
      </c>
      <c r="H476" s="40" t="n">
        <v>0.558823529411765</v>
      </c>
      <c r="I476" s="32"/>
      <c r="J476" s="32"/>
      <c r="K476" s="32"/>
    </row>
    <row r="477" customFormat="false" ht="15" hidden="false" customHeight="true" outlineLevel="0" collapsed="false">
      <c r="A477" s="38" t="s">
        <v>130</v>
      </c>
      <c r="B477" s="31" t="n">
        <v>18</v>
      </c>
      <c r="C477" s="39" t="s">
        <v>334</v>
      </c>
      <c r="D477" s="31" t="n">
        <v>22</v>
      </c>
      <c r="E477" s="40" t="n">
        <v>1</v>
      </c>
      <c r="F477" s="40" t="n">
        <v>0.863636363636364</v>
      </c>
      <c r="G477" s="40" t="n">
        <v>0.863636363636364</v>
      </c>
      <c r="H477" s="32"/>
      <c r="I477" s="32"/>
      <c r="J477" s="32"/>
      <c r="K477" s="32"/>
    </row>
    <row r="478" customFormat="false" ht="15" hidden="false" customHeight="true" outlineLevel="0" collapsed="false">
      <c r="A478" s="38" t="s">
        <v>132</v>
      </c>
      <c r="B478" s="31" t="n">
        <v>20</v>
      </c>
      <c r="C478" s="39" t="s">
        <v>334</v>
      </c>
      <c r="D478" s="31" t="n">
        <v>43</v>
      </c>
      <c r="E478" s="40" t="n">
        <v>1</v>
      </c>
      <c r="F478" s="32"/>
      <c r="G478" s="32"/>
      <c r="H478" s="32"/>
      <c r="I478" s="32"/>
      <c r="J478" s="32"/>
      <c r="K478" s="32"/>
    </row>
    <row r="479" customFormat="false" ht="15" hidden="false" customHeight="true" outlineLevel="0" collapsed="false">
      <c r="A479" s="34" t="s">
        <v>335</v>
      </c>
      <c r="B479" s="36"/>
      <c r="C479" s="36"/>
      <c r="D479" s="36"/>
      <c r="E479" s="44" t="n">
        <v>1</v>
      </c>
      <c r="F479" s="44" t="n">
        <v>0.833333333333333</v>
      </c>
      <c r="G479" s="44" t="n">
        <v>0.791666666666667</v>
      </c>
      <c r="H479" s="44" t="n">
        <v>0.5</v>
      </c>
      <c r="I479" s="44" t="n">
        <v>0.5</v>
      </c>
      <c r="J479" s="44" t="n">
        <v>0</v>
      </c>
      <c r="K479" s="44" t="n">
        <v>0</v>
      </c>
    </row>
    <row r="480" customFormat="false" ht="15" hidden="false" customHeight="true" outlineLevel="0" collapsed="false">
      <c r="A480" s="34" t="s">
        <v>336</v>
      </c>
      <c r="B480" s="36"/>
      <c r="C480" s="36"/>
      <c r="D480" s="36"/>
      <c r="E480" s="44" t="n">
        <v>1</v>
      </c>
      <c r="F480" s="44" t="n">
        <v>0.833333333333333</v>
      </c>
      <c r="G480" s="44" t="n">
        <v>0.791666666666667</v>
      </c>
      <c r="H480" s="44" t="n">
        <v>0.5</v>
      </c>
      <c r="I480" s="44" t="n">
        <v>0.5</v>
      </c>
      <c r="J480" s="44" t="n">
        <v>0</v>
      </c>
      <c r="K480" s="44" t="n">
        <v>0</v>
      </c>
    </row>
    <row r="481" customFormat="false" ht="15" hidden="false" customHeight="true" outlineLevel="0" collapsed="false">
      <c r="A481" s="45" t="s">
        <v>358</v>
      </c>
      <c r="B481" s="45"/>
      <c r="C481" s="45"/>
      <c r="D481" s="45"/>
      <c r="E481" s="45"/>
      <c r="F481" s="45"/>
      <c r="G481" s="45"/>
      <c r="H481" s="45"/>
      <c r="I481" s="45"/>
      <c r="J481" s="45"/>
      <c r="K481" s="45"/>
    </row>
    <row r="483" customFormat="false" ht="15" hidden="false" customHeight="true" outlineLevel="0" collapsed="false">
      <c r="A483" s="28" t="s">
        <v>316</v>
      </c>
      <c r="B483" s="28"/>
      <c r="C483" s="28"/>
      <c r="D483" s="28"/>
      <c r="E483" s="28"/>
      <c r="F483" s="28"/>
      <c r="G483" s="28"/>
      <c r="H483" s="28"/>
      <c r="I483" s="28"/>
      <c r="J483" s="28"/>
      <c r="K483" s="28"/>
      <c r="L483" s="28"/>
      <c r="M483" s="28"/>
      <c r="N483" s="28"/>
      <c r="O483" s="28"/>
      <c r="P483" s="28"/>
      <c r="Q483" s="28"/>
      <c r="R483" s="28"/>
    </row>
    <row r="484" customFormat="false" ht="15" hidden="false" customHeight="true" outlineLevel="0" collapsed="false">
      <c r="A484" s="12" t="s">
        <v>330</v>
      </c>
      <c r="B484" s="12" t="s">
        <v>331</v>
      </c>
      <c r="C484" s="12" t="s">
        <v>332</v>
      </c>
      <c r="D484" s="12" t="s">
        <v>333</v>
      </c>
      <c r="E484" s="37" t="n">
        <v>1</v>
      </c>
      <c r="F484" s="37" t="n">
        <v>2</v>
      </c>
      <c r="G484" s="37" t="n">
        <v>3</v>
      </c>
      <c r="H484" s="37" t="n">
        <v>4</v>
      </c>
      <c r="I484" s="37" t="n">
        <v>5</v>
      </c>
      <c r="J484" s="37" t="n">
        <v>6</v>
      </c>
      <c r="K484" s="37" t="n">
        <v>7</v>
      </c>
      <c r="L484" s="37" t="n">
        <v>8</v>
      </c>
      <c r="M484" s="37" t="n">
        <v>9</v>
      </c>
      <c r="N484" s="37" t="n">
        <v>10</v>
      </c>
      <c r="O484" s="37" t="n">
        <v>11</v>
      </c>
      <c r="P484" s="37" t="n">
        <v>12</v>
      </c>
      <c r="Q484" s="37" t="n">
        <v>13</v>
      </c>
      <c r="R484" s="37" t="n">
        <v>14</v>
      </c>
    </row>
    <row r="485" customFormat="false" ht="15" hidden="false" customHeight="true" outlineLevel="0" collapsed="false">
      <c r="A485" s="42" t="s">
        <v>113</v>
      </c>
      <c r="B485" s="31" t="n">
        <v>1</v>
      </c>
      <c r="C485" s="43" t="s">
        <v>338</v>
      </c>
      <c r="D485" s="31" t="n">
        <v>3</v>
      </c>
      <c r="E485" s="40" t="n">
        <v>1</v>
      </c>
      <c r="F485" s="40" t="n">
        <v>1</v>
      </c>
      <c r="G485" s="40" t="n">
        <v>1</v>
      </c>
      <c r="H485" s="40" t="n">
        <v>0.333333333333333</v>
      </c>
      <c r="I485" s="40" t="n">
        <v>0</v>
      </c>
      <c r="J485" s="40" t="n">
        <v>0</v>
      </c>
      <c r="K485" s="40" t="n">
        <v>0</v>
      </c>
      <c r="L485" s="40" t="n">
        <v>0</v>
      </c>
      <c r="M485" s="40" t="n">
        <v>0</v>
      </c>
      <c r="N485" s="40" t="n">
        <v>0</v>
      </c>
      <c r="O485" s="40" t="n">
        <v>0</v>
      </c>
      <c r="P485" s="40" t="n">
        <v>0</v>
      </c>
      <c r="Q485" s="40" t="n">
        <v>0</v>
      </c>
      <c r="R485" s="40" t="n">
        <v>0</v>
      </c>
    </row>
    <row r="486" customFormat="false" ht="15" hidden="false" customHeight="true" outlineLevel="0" collapsed="false">
      <c r="A486" s="42" t="s">
        <v>114</v>
      </c>
      <c r="B486" s="31" t="n">
        <v>2</v>
      </c>
      <c r="C486" s="43" t="s">
        <v>338</v>
      </c>
      <c r="D486" s="31" t="n">
        <v>47</v>
      </c>
      <c r="E486" s="40" t="n">
        <v>1</v>
      </c>
      <c r="F486" s="40" t="n">
        <v>0.893617021276596</v>
      </c>
      <c r="G486" s="40" t="n">
        <v>0.808510638297872</v>
      </c>
      <c r="H486" s="40" t="n">
        <v>0.808510638297872</v>
      </c>
      <c r="I486" s="40" t="n">
        <v>0.212765957446809</v>
      </c>
      <c r="J486" s="40" t="n">
        <v>0.0851063829787234</v>
      </c>
      <c r="K486" s="40" t="n">
        <v>0.0638297872340426</v>
      </c>
      <c r="L486" s="40" t="n">
        <v>0.0425531914893617</v>
      </c>
      <c r="M486" s="40" t="n">
        <v>0.0212765957446809</v>
      </c>
      <c r="N486" s="40" t="n">
        <v>0.0212765957446809</v>
      </c>
      <c r="O486" s="40" t="n">
        <v>0.0212765957446809</v>
      </c>
      <c r="P486" s="40" t="n">
        <v>0</v>
      </c>
      <c r="Q486" s="40" t="n">
        <v>0</v>
      </c>
      <c r="R486" s="40" t="n">
        <v>0</v>
      </c>
    </row>
    <row r="487" customFormat="false" ht="15" hidden="false" customHeight="true" outlineLevel="0" collapsed="false">
      <c r="A487" s="42" t="s">
        <v>115</v>
      </c>
      <c r="B487" s="31" t="n">
        <v>3</v>
      </c>
      <c r="C487" s="43" t="s">
        <v>338</v>
      </c>
      <c r="D487" s="31" t="n">
        <v>35</v>
      </c>
      <c r="E487" s="40" t="n">
        <v>1</v>
      </c>
      <c r="F487" s="40" t="n">
        <v>0.8</v>
      </c>
      <c r="G487" s="40" t="n">
        <v>0.742857142857143</v>
      </c>
      <c r="H487" s="40" t="n">
        <v>0.685714285714286</v>
      </c>
      <c r="I487" s="40" t="n">
        <v>0.171428571428571</v>
      </c>
      <c r="J487" s="40" t="n">
        <v>0.114285714285714</v>
      </c>
      <c r="K487" s="40" t="n">
        <v>0.0571428571428571</v>
      </c>
      <c r="L487" s="40" t="n">
        <v>0.0571428571428571</v>
      </c>
      <c r="M487" s="40" t="n">
        <v>0.0285714285714286</v>
      </c>
      <c r="N487" s="40" t="n">
        <v>0</v>
      </c>
      <c r="O487" s="40" t="n">
        <v>0</v>
      </c>
      <c r="P487" s="40" t="n">
        <v>0</v>
      </c>
      <c r="Q487" s="40" t="n">
        <v>0</v>
      </c>
      <c r="R487" s="40" t="n">
        <v>0</v>
      </c>
    </row>
    <row r="488" customFormat="false" ht="15" hidden="false" customHeight="true" outlineLevel="0" collapsed="false">
      <c r="A488" s="42" t="s">
        <v>116</v>
      </c>
      <c r="B488" s="31" t="n">
        <v>4</v>
      </c>
      <c r="C488" s="43" t="s">
        <v>338</v>
      </c>
      <c r="D488" s="31" t="n">
        <v>1</v>
      </c>
      <c r="E488" s="40" t="n">
        <v>1</v>
      </c>
      <c r="F488" s="40" t="n">
        <v>1</v>
      </c>
      <c r="G488" s="40" t="n">
        <v>1</v>
      </c>
      <c r="H488" s="40" t="n">
        <v>0</v>
      </c>
      <c r="I488" s="40" t="n">
        <v>0</v>
      </c>
      <c r="J488" s="40" t="n">
        <v>0</v>
      </c>
      <c r="K488" s="40" t="n">
        <v>0</v>
      </c>
      <c r="L488" s="40" t="n">
        <v>0</v>
      </c>
      <c r="M488" s="40" t="n">
        <v>0</v>
      </c>
      <c r="N488" s="40" t="n">
        <v>0</v>
      </c>
      <c r="O488" s="40" t="n">
        <v>0</v>
      </c>
      <c r="P488" s="40" t="n">
        <v>0</v>
      </c>
      <c r="Q488" s="40" t="n">
        <v>0</v>
      </c>
      <c r="R488" s="40" t="n">
        <v>0</v>
      </c>
    </row>
    <row r="489" customFormat="false" ht="15" hidden="false" customHeight="true" outlineLevel="0" collapsed="false">
      <c r="A489" s="42" t="s">
        <v>117</v>
      </c>
      <c r="B489" s="31" t="n">
        <v>5</v>
      </c>
      <c r="C489" s="43" t="s">
        <v>338</v>
      </c>
      <c r="D489" s="31" t="n">
        <v>42</v>
      </c>
      <c r="E489" s="40" t="n">
        <v>1</v>
      </c>
      <c r="F489" s="40" t="n">
        <v>0.833333333333333</v>
      </c>
      <c r="G489" s="40" t="n">
        <v>0.738095238095238</v>
      </c>
      <c r="H489" s="40" t="n">
        <v>0.761904761904762</v>
      </c>
      <c r="I489" s="40" t="n">
        <v>0.261904761904762</v>
      </c>
      <c r="J489" s="40" t="n">
        <v>0.119047619047619</v>
      </c>
      <c r="K489" s="40" t="n">
        <v>0.166666666666667</v>
      </c>
      <c r="L489" s="40" t="n">
        <v>0.0714285714285714</v>
      </c>
      <c r="M489" s="40" t="n">
        <v>0.0476190476190476</v>
      </c>
      <c r="N489" s="40" t="n">
        <v>0.0476190476190476</v>
      </c>
      <c r="O489" s="40" t="n">
        <v>0.0238095238095238</v>
      </c>
      <c r="P489" s="40" t="n">
        <v>0.0238095238095238</v>
      </c>
      <c r="Q489" s="40" t="n">
        <v>0.0238095238095238</v>
      </c>
      <c r="R489" s="40" t="n">
        <v>0.0238095238095238</v>
      </c>
    </row>
    <row r="490" customFormat="false" ht="15" hidden="false" customHeight="true" outlineLevel="0" collapsed="false">
      <c r="A490" s="42" t="s">
        <v>118</v>
      </c>
      <c r="B490" s="31" t="n">
        <v>6</v>
      </c>
      <c r="C490" s="43" t="s">
        <v>338</v>
      </c>
      <c r="D490" s="31" t="n">
        <v>30</v>
      </c>
      <c r="E490" s="40" t="n">
        <v>1</v>
      </c>
      <c r="F490" s="40" t="n">
        <v>0.833333333333333</v>
      </c>
      <c r="G490" s="40" t="n">
        <v>0.866666666666667</v>
      </c>
      <c r="H490" s="40" t="n">
        <v>0.866666666666667</v>
      </c>
      <c r="I490" s="40" t="n">
        <v>0.233333333333333</v>
      </c>
      <c r="J490" s="40" t="n">
        <v>0.2</v>
      </c>
      <c r="K490" s="40" t="n">
        <v>0.133333333333333</v>
      </c>
      <c r="L490" s="40" t="n">
        <v>0.0666666666666667</v>
      </c>
      <c r="M490" s="40" t="n">
        <v>0.0666666666666667</v>
      </c>
      <c r="N490" s="40" t="n">
        <v>0.0333333333333333</v>
      </c>
      <c r="O490" s="40" t="n">
        <v>0.0333333333333333</v>
      </c>
      <c r="P490" s="40" t="n">
        <v>0.0333333333333333</v>
      </c>
      <c r="Q490" s="40" t="n">
        <v>0</v>
      </c>
      <c r="R490" s="40" t="n">
        <v>0</v>
      </c>
    </row>
    <row r="491" customFormat="false" ht="15" hidden="false" customHeight="true" outlineLevel="0" collapsed="false">
      <c r="A491" s="42" t="s">
        <v>119</v>
      </c>
      <c r="B491" s="31" t="n">
        <v>7</v>
      </c>
      <c r="C491" s="43" t="s">
        <v>338</v>
      </c>
      <c r="D491" s="31" t="n">
        <v>7</v>
      </c>
      <c r="E491" s="40" t="n">
        <v>1</v>
      </c>
      <c r="F491" s="40" t="n">
        <v>1</v>
      </c>
      <c r="G491" s="40" t="n">
        <v>0.571428571428571</v>
      </c>
      <c r="H491" s="40" t="n">
        <v>0.142857142857143</v>
      </c>
      <c r="I491" s="40" t="n">
        <v>0</v>
      </c>
      <c r="J491" s="40" t="n">
        <v>0</v>
      </c>
      <c r="K491" s="40" t="n">
        <v>0</v>
      </c>
      <c r="L491" s="40" t="n">
        <v>0</v>
      </c>
      <c r="M491" s="40" t="n">
        <v>0</v>
      </c>
      <c r="N491" s="40" t="n">
        <v>0</v>
      </c>
      <c r="O491" s="40" t="n">
        <v>0</v>
      </c>
      <c r="P491" s="40" t="n">
        <v>0</v>
      </c>
      <c r="Q491" s="40" t="n">
        <v>0</v>
      </c>
      <c r="R491" s="40" t="n">
        <v>0</v>
      </c>
    </row>
    <row r="492" customFormat="false" ht="15" hidden="false" customHeight="true" outlineLevel="0" collapsed="false">
      <c r="A492" s="42" t="s">
        <v>120</v>
      </c>
      <c r="B492" s="31" t="n">
        <v>8</v>
      </c>
      <c r="C492" s="43" t="s">
        <v>338</v>
      </c>
      <c r="D492" s="31" t="n">
        <v>32</v>
      </c>
      <c r="E492" s="40" t="n">
        <v>1</v>
      </c>
      <c r="F492" s="40" t="n">
        <v>0.65625</v>
      </c>
      <c r="G492" s="40" t="n">
        <v>0.5</v>
      </c>
      <c r="H492" s="40" t="n">
        <v>0.4375</v>
      </c>
      <c r="I492" s="40" t="n">
        <v>0.09375</v>
      </c>
      <c r="J492" s="40" t="n">
        <v>0.0625</v>
      </c>
      <c r="K492" s="40" t="n">
        <v>0.03125</v>
      </c>
      <c r="L492" s="40" t="n">
        <v>0.03125</v>
      </c>
      <c r="M492" s="40" t="n">
        <v>0</v>
      </c>
      <c r="N492" s="40" t="n">
        <v>0.0625</v>
      </c>
      <c r="O492" s="40" t="n">
        <v>0.0625</v>
      </c>
      <c r="P492" s="40" t="n">
        <v>0.03125</v>
      </c>
      <c r="Q492" s="40" t="n">
        <v>0.03125</v>
      </c>
      <c r="R492" s="32"/>
    </row>
    <row r="493" customFormat="false" ht="15" hidden="false" customHeight="true" outlineLevel="0" collapsed="false">
      <c r="A493" s="42" t="s">
        <v>121</v>
      </c>
      <c r="B493" s="31" t="n">
        <v>9</v>
      </c>
      <c r="C493" s="43" t="s">
        <v>338</v>
      </c>
      <c r="D493" s="31" t="n">
        <v>17</v>
      </c>
      <c r="E493" s="40" t="n">
        <v>1</v>
      </c>
      <c r="F493" s="40" t="n">
        <v>0.529411764705882</v>
      </c>
      <c r="G493" s="40" t="n">
        <v>0.823529411764706</v>
      </c>
      <c r="H493" s="40" t="n">
        <v>0.588235294117647</v>
      </c>
      <c r="I493" s="40" t="n">
        <v>0.0588235294117647</v>
      </c>
      <c r="J493" s="40" t="n">
        <v>0.0588235294117647</v>
      </c>
      <c r="K493" s="40" t="n">
        <v>0.0588235294117647</v>
      </c>
      <c r="L493" s="40" t="n">
        <v>0.0588235294117647</v>
      </c>
      <c r="M493" s="40" t="n">
        <v>0</v>
      </c>
      <c r="N493" s="40" t="n">
        <v>0</v>
      </c>
      <c r="O493" s="40" t="n">
        <v>0</v>
      </c>
      <c r="P493" s="40" t="n">
        <v>0</v>
      </c>
      <c r="Q493" s="32"/>
      <c r="R493" s="32"/>
    </row>
    <row r="494" customFormat="false" ht="15" hidden="false" customHeight="true" outlineLevel="0" collapsed="false">
      <c r="A494" s="42" t="s">
        <v>122</v>
      </c>
      <c r="B494" s="31" t="n">
        <v>10</v>
      </c>
      <c r="C494" s="43" t="s">
        <v>338</v>
      </c>
      <c r="D494" s="31" t="n">
        <v>9</v>
      </c>
      <c r="E494" s="40" t="n">
        <v>1</v>
      </c>
      <c r="F494" s="40" t="n">
        <v>1</v>
      </c>
      <c r="G494" s="40" t="n">
        <v>0.555555555555556</v>
      </c>
      <c r="H494" s="40" t="n">
        <v>0.111111111111111</v>
      </c>
      <c r="I494" s="40" t="n">
        <v>0.111111111111111</v>
      </c>
      <c r="J494" s="40" t="n">
        <v>0</v>
      </c>
      <c r="K494" s="40" t="n">
        <v>0</v>
      </c>
      <c r="L494" s="40" t="n">
        <v>0</v>
      </c>
      <c r="M494" s="40" t="n">
        <v>0</v>
      </c>
      <c r="N494" s="40" t="n">
        <v>0</v>
      </c>
      <c r="O494" s="40" t="n">
        <v>0</v>
      </c>
      <c r="P494" s="32"/>
      <c r="Q494" s="32"/>
      <c r="R494" s="32"/>
    </row>
    <row r="495" customFormat="false" ht="15" hidden="false" customHeight="true" outlineLevel="0" collapsed="false">
      <c r="A495" s="42" t="s">
        <v>123</v>
      </c>
      <c r="B495" s="31" t="n">
        <v>11</v>
      </c>
      <c r="C495" s="43" t="s">
        <v>338</v>
      </c>
      <c r="D495" s="31" t="n">
        <v>23</v>
      </c>
      <c r="E495" s="40" t="n">
        <v>1</v>
      </c>
      <c r="F495" s="40" t="n">
        <v>0.91304347826087</v>
      </c>
      <c r="G495" s="40" t="n">
        <v>0.826086956521739</v>
      </c>
      <c r="H495" s="40" t="n">
        <v>0.869565217391304</v>
      </c>
      <c r="I495" s="40" t="n">
        <v>0.130434782608696</v>
      </c>
      <c r="J495" s="40" t="n">
        <v>0.130434782608696</v>
      </c>
      <c r="K495" s="40" t="n">
        <v>0.0869565217391304</v>
      </c>
      <c r="L495" s="40" t="n">
        <v>0</v>
      </c>
      <c r="M495" s="40" t="n">
        <v>0</v>
      </c>
      <c r="N495" s="40" t="n">
        <v>0</v>
      </c>
      <c r="O495" s="32"/>
      <c r="P495" s="32"/>
      <c r="Q495" s="32"/>
      <c r="R495" s="32"/>
    </row>
    <row r="496" customFormat="false" ht="15" hidden="false" customHeight="true" outlineLevel="0" collapsed="false">
      <c r="A496" s="42" t="s">
        <v>124</v>
      </c>
      <c r="B496" s="31" t="n">
        <v>12</v>
      </c>
      <c r="C496" s="43" t="s">
        <v>338</v>
      </c>
      <c r="D496" s="31" t="n">
        <v>16</v>
      </c>
      <c r="E496" s="40" t="n">
        <v>1</v>
      </c>
      <c r="F496" s="40" t="n">
        <v>0.8125</v>
      </c>
      <c r="G496" s="40" t="n">
        <v>0.75</v>
      </c>
      <c r="H496" s="40" t="n">
        <v>0.5625</v>
      </c>
      <c r="I496" s="40" t="n">
        <v>0.125</v>
      </c>
      <c r="J496" s="40" t="n">
        <v>0.0625</v>
      </c>
      <c r="K496" s="40" t="n">
        <v>0.0625</v>
      </c>
      <c r="L496" s="40" t="n">
        <v>0.0625</v>
      </c>
      <c r="M496" s="40" t="n">
        <v>0.0625</v>
      </c>
      <c r="N496" s="32"/>
      <c r="O496" s="32"/>
      <c r="P496" s="32"/>
      <c r="Q496" s="32"/>
      <c r="R496" s="32"/>
    </row>
    <row r="497" customFormat="false" ht="15" hidden="false" customHeight="true" outlineLevel="0" collapsed="false">
      <c r="A497" s="38" t="s">
        <v>125</v>
      </c>
      <c r="B497" s="31" t="n">
        <v>13</v>
      </c>
      <c r="C497" s="39" t="s">
        <v>334</v>
      </c>
      <c r="D497" s="31" t="n">
        <v>2</v>
      </c>
      <c r="E497" s="40" t="n">
        <v>1</v>
      </c>
      <c r="F497" s="40" t="n">
        <v>1</v>
      </c>
      <c r="G497" s="40" t="n">
        <v>0.5</v>
      </c>
      <c r="H497" s="40" t="n">
        <v>0</v>
      </c>
      <c r="I497" s="40" t="n">
        <v>0</v>
      </c>
      <c r="J497" s="40" t="n">
        <v>0</v>
      </c>
      <c r="K497" s="40" t="n">
        <v>0</v>
      </c>
      <c r="L497" s="40" t="n">
        <v>0</v>
      </c>
      <c r="M497" s="32"/>
      <c r="N497" s="32"/>
      <c r="O497" s="32"/>
      <c r="P497" s="32"/>
      <c r="Q497" s="32"/>
      <c r="R497" s="32"/>
    </row>
    <row r="498" customFormat="false" ht="15" hidden="false" customHeight="true" outlineLevel="0" collapsed="false">
      <c r="A498" s="38" t="s">
        <v>126</v>
      </c>
      <c r="B498" s="31" t="n">
        <v>14</v>
      </c>
      <c r="C498" s="39" t="s">
        <v>334</v>
      </c>
      <c r="D498" s="31" t="n">
        <v>24</v>
      </c>
      <c r="E498" s="40" t="n">
        <v>1</v>
      </c>
      <c r="F498" s="40" t="n">
        <v>0.875</v>
      </c>
      <c r="G498" s="40" t="n">
        <v>0.708333333333333</v>
      </c>
      <c r="H498" s="40" t="n">
        <v>0.708333333333333</v>
      </c>
      <c r="I498" s="40" t="n">
        <v>0.291666666666667</v>
      </c>
      <c r="J498" s="40" t="n">
        <v>0.0833333333333333</v>
      </c>
      <c r="K498" s="40" t="n">
        <v>0.0416666666666667</v>
      </c>
      <c r="L498" s="32"/>
      <c r="M498" s="32"/>
      <c r="N498" s="32"/>
      <c r="O498" s="32"/>
      <c r="P498" s="32"/>
      <c r="Q498" s="32"/>
      <c r="R498" s="32"/>
    </row>
    <row r="499" customFormat="false" ht="15" hidden="false" customHeight="true" outlineLevel="0" collapsed="false">
      <c r="A499" s="38" t="s">
        <v>127</v>
      </c>
      <c r="B499" s="31" t="n">
        <v>15</v>
      </c>
      <c r="C499" s="39" t="s">
        <v>334</v>
      </c>
      <c r="D499" s="31" t="n">
        <v>22</v>
      </c>
      <c r="E499" s="40" t="n">
        <v>1</v>
      </c>
      <c r="F499" s="40" t="n">
        <v>0.590909090909091</v>
      </c>
      <c r="G499" s="40" t="n">
        <v>0.590909090909091</v>
      </c>
      <c r="H499" s="40" t="n">
        <v>0.636363636363636</v>
      </c>
      <c r="I499" s="40" t="n">
        <v>0.0909090909090909</v>
      </c>
      <c r="J499" s="40" t="n">
        <v>0.136363636363636</v>
      </c>
      <c r="K499" s="32"/>
      <c r="L499" s="32"/>
      <c r="M499" s="32"/>
      <c r="N499" s="32"/>
      <c r="O499" s="32"/>
      <c r="P499" s="32"/>
      <c r="Q499" s="32"/>
      <c r="R499" s="32"/>
    </row>
    <row r="500" customFormat="false" ht="15" hidden="false" customHeight="true" outlineLevel="0" collapsed="false">
      <c r="A500" s="38" t="s">
        <v>128</v>
      </c>
      <c r="B500" s="31" t="n">
        <v>16</v>
      </c>
      <c r="C500" s="39" t="s">
        <v>334</v>
      </c>
      <c r="D500" s="31" t="n">
        <v>8</v>
      </c>
      <c r="E500" s="40" t="n">
        <v>1</v>
      </c>
      <c r="F500" s="40" t="n">
        <v>1</v>
      </c>
      <c r="G500" s="40" t="n">
        <v>0.5</v>
      </c>
      <c r="H500" s="40" t="n">
        <v>0</v>
      </c>
      <c r="I500" s="40" t="n">
        <v>0</v>
      </c>
      <c r="J500" s="32"/>
      <c r="K500" s="32"/>
      <c r="L500" s="32"/>
      <c r="M500" s="32"/>
      <c r="N500" s="32"/>
      <c r="O500" s="32"/>
      <c r="P500" s="32"/>
      <c r="Q500" s="32"/>
      <c r="R500" s="32"/>
    </row>
    <row r="501" customFormat="false" ht="15" hidden="false" customHeight="true" outlineLevel="0" collapsed="false">
      <c r="A501" s="38" t="s">
        <v>129</v>
      </c>
      <c r="B501" s="31" t="n">
        <v>17</v>
      </c>
      <c r="C501" s="39" t="s">
        <v>334</v>
      </c>
      <c r="D501" s="31" t="n">
        <v>27</v>
      </c>
      <c r="E501" s="40" t="n">
        <v>1</v>
      </c>
      <c r="F501" s="40" t="n">
        <v>0.851851851851852</v>
      </c>
      <c r="G501" s="40" t="n">
        <v>0.814814814814815</v>
      </c>
      <c r="H501" s="40" t="n">
        <v>0.777777777777778</v>
      </c>
      <c r="I501" s="32"/>
      <c r="J501" s="32"/>
      <c r="K501" s="32"/>
      <c r="L501" s="32"/>
      <c r="M501" s="32"/>
      <c r="N501" s="32"/>
      <c r="O501" s="32"/>
      <c r="P501" s="32"/>
      <c r="Q501" s="32"/>
      <c r="R501" s="32"/>
    </row>
    <row r="502" customFormat="false" ht="15" hidden="false" customHeight="true" outlineLevel="0" collapsed="false">
      <c r="A502" s="38" t="s">
        <v>130</v>
      </c>
      <c r="B502" s="31" t="n">
        <v>18</v>
      </c>
      <c r="C502" s="39" t="s">
        <v>334</v>
      </c>
      <c r="D502" s="31" t="n">
        <v>21</v>
      </c>
      <c r="E502" s="40" t="n">
        <v>1</v>
      </c>
      <c r="F502" s="40" t="n">
        <v>0.857142857142857</v>
      </c>
      <c r="G502" s="40" t="n">
        <v>0.666666666666667</v>
      </c>
      <c r="H502" s="32"/>
      <c r="I502" s="32"/>
      <c r="J502" s="32"/>
      <c r="K502" s="32"/>
      <c r="L502" s="32"/>
      <c r="M502" s="32"/>
      <c r="N502" s="32"/>
      <c r="O502" s="32"/>
      <c r="P502" s="32"/>
      <c r="Q502" s="32"/>
      <c r="R502" s="32"/>
    </row>
    <row r="503" customFormat="false" ht="15" hidden="false" customHeight="true" outlineLevel="0" collapsed="false">
      <c r="A503" s="38" t="s">
        <v>131</v>
      </c>
      <c r="B503" s="31" t="n">
        <v>19</v>
      </c>
      <c r="C503" s="39" t="s">
        <v>334</v>
      </c>
      <c r="D503" s="31" t="n">
        <v>9</v>
      </c>
      <c r="E503" s="40" t="n">
        <v>1</v>
      </c>
      <c r="F503" s="40" t="n">
        <v>1</v>
      </c>
      <c r="G503" s="32"/>
      <c r="H503" s="32"/>
      <c r="I503" s="32"/>
      <c r="J503" s="32"/>
      <c r="K503" s="32"/>
      <c r="L503" s="32"/>
      <c r="M503" s="32"/>
      <c r="N503" s="32"/>
      <c r="O503" s="32"/>
      <c r="P503" s="32"/>
      <c r="Q503" s="32"/>
      <c r="R503" s="32"/>
    </row>
    <row r="504" customFormat="false" ht="15" hidden="false" customHeight="true" outlineLevel="0" collapsed="false">
      <c r="A504" s="38" t="s">
        <v>132</v>
      </c>
      <c r="B504" s="31" t="n">
        <v>20</v>
      </c>
      <c r="C504" s="39" t="s">
        <v>334</v>
      </c>
      <c r="D504" s="31" t="n">
        <v>27</v>
      </c>
      <c r="E504" s="40" t="n">
        <v>1</v>
      </c>
      <c r="F504" s="32"/>
      <c r="G504" s="32"/>
      <c r="H504" s="32"/>
      <c r="I504" s="32"/>
      <c r="J504" s="32"/>
      <c r="K504" s="32"/>
      <c r="L504" s="32"/>
      <c r="M504" s="32"/>
      <c r="N504" s="32"/>
      <c r="O504" s="32"/>
      <c r="P504" s="32"/>
      <c r="Q504" s="32"/>
      <c r="R504" s="32"/>
    </row>
    <row r="505" customFormat="false" ht="15" hidden="false" customHeight="true" outlineLevel="0" collapsed="false">
      <c r="A505" s="34" t="s">
        <v>335</v>
      </c>
      <c r="B505" s="36"/>
      <c r="C505" s="36"/>
      <c r="D505" s="36"/>
      <c r="E505" s="44" t="n">
        <v>1</v>
      </c>
      <c r="F505" s="44" t="n">
        <v>0.816793893129771</v>
      </c>
      <c r="G505" s="44" t="n">
        <v>0.744274809160305</v>
      </c>
      <c r="H505" s="44" t="n">
        <v>0.67175572519084</v>
      </c>
      <c r="I505" s="44" t="n">
        <v>0.16793893129771</v>
      </c>
      <c r="J505" s="44" t="n">
        <v>0.099236641221374</v>
      </c>
      <c r="K505" s="44" t="n">
        <v>0.0801526717557252</v>
      </c>
      <c r="L505" s="44" t="n">
        <v>0.0458015267175573</v>
      </c>
      <c r="M505" s="44" t="n">
        <v>0.0267175572519084</v>
      </c>
      <c r="N505" s="44" t="n">
        <v>0.0229007633587786</v>
      </c>
      <c r="O505" s="44" t="n">
        <v>0.0190839694656489</v>
      </c>
      <c r="P505" s="44" t="n">
        <v>0.0114503816793893</v>
      </c>
      <c r="Q505" s="44" t="n">
        <v>0.00763358778625954</v>
      </c>
      <c r="R505" s="44" t="n">
        <v>0.00381679389312977</v>
      </c>
    </row>
    <row r="506" customFormat="false" ht="15" hidden="false" customHeight="true" outlineLevel="0" collapsed="false">
      <c r="A506" s="34" t="s">
        <v>336</v>
      </c>
      <c r="B506" s="36"/>
      <c r="C506" s="36"/>
      <c r="D506" s="36"/>
      <c r="E506" s="44" t="n">
        <v>1</v>
      </c>
      <c r="F506" s="44" t="n">
        <v>0.855957410909168</v>
      </c>
      <c r="G506" s="44" t="n">
        <v>0.765227515098958</v>
      </c>
      <c r="H506" s="44" t="n">
        <v>0.513991537616177</v>
      </c>
      <c r="I506" s="44" t="n">
        <v>0.116546003937087</v>
      </c>
      <c r="J506" s="44" t="n">
        <v>0.0693915023610431</v>
      </c>
      <c r="K506" s="44" t="n">
        <v>0.0550418912939829</v>
      </c>
      <c r="L506" s="44" t="n">
        <v>0.0325304013449351</v>
      </c>
      <c r="M506" s="44" t="n">
        <v>0.0188861448834853</v>
      </c>
      <c r="N506" s="44" t="n">
        <v>0.0149753615179147</v>
      </c>
      <c r="O506" s="44" t="n">
        <v>0.0140919452887538</v>
      </c>
      <c r="P506" s="44" t="n">
        <v>0.00982142857142857</v>
      </c>
      <c r="Q506" s="44" t="n">
        <v>0.00688244047619048</v>
      </c>
      <c r="R506" s="44" t="n">
        <v>0.00340136054421769</v>
      </c>
    </row>
    <row r="507" customFormat="false" ht="15" hidden="false" customHeight="true" outlineLevel="0" collapsed="false">
      <c r="A507" s="45" t="s">
        <v>359</v>
      </c>
      <c r="B507" s="45"/>
      <c r="C507" s="45"/>
      <c r="D507" s="45"/>
      <c r="E507" s="45"/>
      <c r="F507" s="45"/>
      <c r="G507" s="45"/>
      <c r="H507" s="45"/>
      <c r="I507" s="45"/>
      <c r="J507" s="45"/>
      <c r="K507" s="45"/>
      <c r="L507" s="45"/>
      <c r="M507" s="45"/>
      <c r="N507" s="45"/>
      <c r="O507" s="45"/>
      <c r="P507" s="45"/>
      <c r="Q507" s="45"/>
      <c r="R507" s="45"/>
    </row>
    <row r="509" customFormat="false" ht="15" hidden="false" customHeight="true" outlineLevel="0" collapsed="false">
      <c r="A509" s="28" t="s">
        <v>317</v>
      </c>
      <c r="B509" s="28"/>
      <c r="C509" s="28"/>
      <c r="D509" s="28"/>
      <c r="E509" s="28"/>
      <c r="F509" s="28"/>
      <c r="G509" s="28"/>
      <c r="H509" s="28"/>
      <c r="I509" s="28"/>
      <c r="J509" s="28"/>
      <c r="K509" s="28"/>
      <c r="L509" s="28"/>
      <c r="M509" s="28"/>
      <c r="N509" s="28"/>
      <c r="O509" s="28"/>
    </row>
    <row r="510" customFormat="false" ht="15" hidden="false" customHeight="true" outlineLevel="0" collapsed="false">
      <c r="A510" s="12" t="s">
        <v>330</v>
      </c>
      <c r="B510" s="12" t="s">
        <v>331</v>
      </c>
      <c r="C510" s="12" t="s">
        <v>332</v>
      </c>
      <c r="D510" s="12" t="s">
        <v>333</v>
      </c>
      <c r="E510" s="37" t="n">
        <v>1</v>
      </c>
      <c r="F510" s="37" t="n">
        <v>2</v>
      </c>
      <c r="G510" s="37" t="n">
        <v>3</v>
      </c>
      <c r="H510" s="37" t="n">
        <v>4</v>
      </c>
      <c r="I510" s="37" t="n">
        <v>5</v>
      </c>
      <c r="J510" s="37" t="n">
        <v>6</v>
      </c>
      <c r="K510" s="37" t="n">
        <v>7</v>
      </c>
      <c r="L510" s="37" t="n">
        <v>8</v>
      </c>
      <c r="M510" s="37" t="n">
        <v>9</v>
      </c>
      <c r="N510" s="37" t="n">
        <v>10</v>
      </c>
      <c r="O510" s="37" t="n">
        <v>11</v>
      </c>
    </row>
    <row r="511" customFormat="false" ht="15" hidden="false" customHeight="true" outlineLevel="0" collapsed="false">
      <c r="A511" s="42" t="s">
        <v>114</v>
      </c>
      <c r="B511" s="31" t="n">
        <v>2</v>
      </c>
      <c r="C511" s="43" t="s">
        <v>338</v>
      </c>
      <c r="D511" s="31" t="n">
        <v>18</v>
      </c>
      <c r="E511" s="40" t="n">
        <v>1</v>
      </c>
      <c r="F511" s="40" t="n">
        <v>0.833333333333333</v>
      </c>
      <c r="G511" s="40" t="n">
        <v>0.611111111111111</v>
      </c>
      <c r="H511" s="40" t="n">
        <v>0.555555555555556</v>
      </c>
      <c r="I511" s="40" t="n">
        <v>0.555555555555556</v>
      </c>
      <c r="J511" s="40" t="n">
        <v>0.111111111111111</v>
      </c>
      <c r="K511" s="40" t="n">
        <v>0.0555555555555556</v>
      </c>
      <c r="L511" s="40" t="n">
        <v>0.0555555555555556</v>
      </c>
      <c r="M511" s="40" t="n">
        <v>0</v>
      </c>
      <c r="N511" s="40" t="n">
        <v>0</v>
      </c>
      <c r="O511" s="40" t="n">
        <v>0</v>
      </c>
    </row>
    <row r="512" customFormat="false" ht="15" hidden="false" customHeight="true" outlineLevel="0" collapsed="false">
      <c r="A512" s="42" t="s">
        <v>115</v>
      </c>
      <c r="B512" s="31" t="n">
        <v>3</v>
      </c>
      <c r="C512" s="43" t="s">
        <v>338</v>
      </c>
      <c r="D512" s="31" t="n">
        <v>21</v>
      </c>
      <c r="E512" s="40" t="n">
        <v>1</v>
      </c>
      <c r="F512" s="40" t="n">
        <v>0.904761904761905</v>
      </c>
      <c r="G512" s="40" t="n">
        <v>0.904761904761905</v>
      </c>
      <c r="H512" s="40" t="n">
        <v>0.80952380952381</v>
      </c>
      <c r="I512" s="40" t="n">
        <v>0.857142857142857</v>
      </c>
      <c r="J512" s="40" t="n">
        <v>0.285714285714286</v>
      </c>
      <c r="K512" s="40" t="n">
        <v>0.238095238095238</v>
      </c>
      <c r="L512" s="40" t="n">
        <v>0.0476190476190476</v>
      </c>
      <c r="M512" s="40" t="n">
        <v>0.0476190476190476</v>
      </c>
      <c r="N512" s="40" t="n">
        <v>0.0476190476190476</v>
      </c>
      <c r="O512" s="40" t="n">
        <v>0</v>
      </c>
    </row>
    <row r="513" customFormat="false" ht="15" hidden="false" customHeight="true" outlineLevel="0" collapsed="false">
      <c r="A513" s="42" t="s">
        <v>117</v>
      </c>
      <c r="B513" s="31" t="n">
        <v>5</v>
      </c>
      <c r="C513" s="43" t="s">
        <v>338</v>
      </c>
      <c r="D513" s="31" t="n">
        <v>17</v>
      </c>
      <c r="E513" s="40" t="n">
        <v>1</v>
      </c>
      <c r="F513" s="40" t="n">
        <v>0.823529411764706</v>
      </c>
      <c r="G513" s="40" t="n">
        <v>0.647058823529412</v>
      </c>
      <c r="H513" s="40" t="n">
        <v>0.647058823529412</v>
      </c>
      <c r="I513" s="40" t="n">
        <v>0.647058823529412</v>
      </c>
      <c r="J513" s="40" t="n">
        <v>0.117647058823529</v>
      </c>
      <c r="K513" s="40" t="n">
        <v>0.0588235294117647</v>
      </c>
      <c r="L513" s="40" t="n">
        <v>0.0588235294117647</v>
      </c>
      <c r="M513" s="40" t="n">
        <v>0.0588235294117647</v>
      </c>
      <c r="N513" s="40" t="n">
        <v>0.0588235294117647</v>
      </c>
      <c r="O513" s="40" t="n">
        <v>0.0588235294117647</v>
      </c>
    </row>
    <row r="514" customFormat="false" ht="15" hidden="false" customHeight="true" outlineLevel="0" collapsed="false">
      <c r="A514" s="42" t="s">
        <v>118</v>
      </c>
      <c r="B514" s="31" t="n">
        <v>6</v>
      </c>
      <c r="C514" s="43" t="s">
        <v>338</v>
      </c>
      <c r="D514" s="31" t="n">
        <v>10</v>
      </c>
      <c r="E514" s="40" t="n">
        <v>1</v>
      </c>
      <c r="F514" s="40" t="n">
        <v>0.8</v>
      </c>
      <c r="G514" s="40" t="n">
        <v>0.8</v>
      </c>
      <c r="H514" s="40" t="n">
        <v>0.7</v>
      </c>
      <c r="I514" s="40" t="n">
        <v>0.8</v>
      </c>
      <c r="J514" s="40" t="n">
        <v>0.2</v>
      </c>
      <c r="K514" s="40" t="n">
        <v>0.1</v>
      </c>
      <c r="L514" s="40" t="n">
        <v>0.1</v>
      </c>
      <c r="M514" s="40" t="n">
        <v>0</v>
      </c>
      <c r="N514" s="40" t="n">
        <v>0</v>
      </c>
      <c r="O514" s="40" t="n">
        <v>0</v>
      </c>
    </row>
    <row r="515" customFormat="false" ht="15" hidden="false" customHeight="true" outlineLevel="0" collapsed="false">
      <c r="A515" s="42" t="s">
        <v>120</v>
      </c>
      <c r="B515" s="31" t="n">
        <v>8</v>
      </c>
      <c r="C515" s="43" t="s">
        <v>338</v>
      </c>
      <c r="D515" s="31" t="n">
        <v>10</v>
      </c>
      <c r="E515" s="40" t="n">
        <v>1</v>
      </c>
      <c r="F515" s="40" t="n">
        <v>0.9</v>
      </c>
      <c r="G515" s="40" t="n">
        <v>0.7</v>
      </c>
      <c r="H515" s="40" t="n">
        <v>0.8</v>
      </c>
      <c r="I515" s="40" t="n">
        <v>0.8</v>
      </c>
      <c r="J515" s="40" t="n">
        <v>0</v>
      </c>
      <c r="K515" s="40" t="n">
        <v>0.1</v>
      </c>
      <c r="L515" s="40" t="n">
        <v>0</v>
      </c>
      <c r="M515" s="40" t="n">
        <v>0</v>
      </c>
      <c r="N515" s="40" t="n">
        <v>0</v>
      </c>
      <c r="O515" s="40" t="n">
        <v>0.1</v>
      </c>
    </row>
    <row r="516" customFormat="false" ht="15" hidden="false" customHeight="true" outlineLevel="0" collapsed="false">
      <c r="A516" s="42" t="s">
        <v>121</v>
      </c>
      <c r="B516" s="31" t="n">
        <v>9</v>
      </c>
      <c r="C516" s="43" t="s">
        <v>338</v>
      </c>
      <c r="D516" s="31" t="n">
        <v>7</v>
      </c>
      <c r="E516" s="40" t="n">
        <v>1</v>
      </c>
      <c r="F516" s="40" t="n">
        <v>0.857142857142857</v>
      </c>
      <c r="G516" s="40" t="n">
        <v>1</v>
      </c>
      <c r="H516" s="40" t="n">
        <v>0.857142857142857</v>
      </c>
      <c r="I516" s="40" t="n">
        <v>0.571428571428571</v>
      </c>
      <c r="J516" s="40" t="n">
        <v>0.142857142857143</v>
      </c>
      <c r="K516" s="40" t="n">
        <v>0.142857142857143</v>
      </c>
      <c r="L516" s="40" t="n">
        <v>0.142857142857143</v>
      </c>
      <c r="M516" s="40" t="n">
        <v>0</v>
      </c>
      <c r="N516" s="40" t="n">
        <v>0</v>
      </c>
      <c r="O516" s="40" t="n">
        <v>0</v>
      </c>
    </row>
    <row r="517" customFormat="false" ht="15" hidden="false" customHeight="true" outlineLevel="0" collapsed="false">
      <c r="A517" s="42" t="s">
        <v>123</v>
      </c>
      <c r="B517" s="31" t="n">
        <v>11</v>
      </c>
      <c r="C517" s="43" t="s">
        <v>338</v>
      </c>
      <c r="D517" s="31" t="n">
        <v>8</v>
      </c>
      <c r="E517" s="40" t="n">
        <v>1</v>
      </c>
      <c r="F517" s="40" t="n">
        <v>0.625</v>
      </c>
      <c r="G517" s="40" t="n">
        <v>0</v>
      </c>
      <c r="H517" s="40" t="n">
        <v>0.375</v>
      </c>
      <c r="I517" s="40" t="n">
        <v>0.375</v>
      </c>
      <c r="J517" s="40" t="n">
        <v>0.5</v>
      </c>
      <c r="K517" s="40" t="n">
        <v>0.25</v>
      </c>
      <c r="L517" s="40" t="n">
        <v>0.125</v>
      </c>
      <c r="M517" s="40" t="n">
        <v>0</v>
      </c>
      <c r="N517" s="40" t="n">
        <v>0</v>
      </c>
      <c r="O517" s="32"/>
    </row>
    <row r="518" customFormat="false" ht="15" hidden="false" customHeight="true" outlineLevel="0" collapsed="false">
      <c r="A518" s="42" t="s">
        <v>124</v>
      </c>
      <c r="B518" s="31" t="n">
        <v>12</v>
      </c>
      <c r="C518" s="43" t="s">
        <v>338</v>
      </c>
      <c r="D518" s="31" t="n">
        <v>12</v>
      </c>
      <c r="E518" s="40" t="n">
        <v>1</v>
      </c>
      <c r="F518" s="40" t="n">
        <v>0.833333333333333</v>
      </c>
      <c r="G518" s="40" t="n">
        <v>0.75</v>
      </c>
      <c r="H518" s="40" t="n">
        <v>0.666666666666667</v>
      </c>
      <c r="I518" s="40" t="n">
        <v>0.666666666666667</v>
      </c>
      <c r="J518" s="40" t="n">
        <v>0.0833333333333333</v>
      </c>
      <c r="K518" s="40" t="n">
        <v>0</v>
      </c>
      <c r="L518" s="40" t="n">
        <v>0</v>
      </c>
      <c r="M518" s="40" t="n">
        <v>0</v>
      </c>
      <c r="N518" s="32"/>
      <c r="O518" s="32"/>
    </row>
    <row r="519" customFormat="false" ht="15" hidden="false" customHeight="true" outlineLevel="0" collapsed="false">
      <c r="A519" s="38" t="s">
        <v>126</v>
      </c>
      <c r="B519" s="31" t="n">
        <v>14</v>
      </c>
      <c r="C519" s="39" t="s">
        <v>334</v>
      </c>
      <c r="D519" s="31" t="n">
        <v>11</v>
      </c>
      <c r="E519" s="40" t="n">
        <v>1</v>
      </c>
      <c r="F519" s="40" t="n">
        <v>0.727272727272727</v>
      </c>
      <c r="G519" s="40" t="n">
        <v>0.545454545454545</v>
      </c>
      <c r="H519" s="40" t="n">
        <v>0.545454545454545</v>
      </c>
      <c r="I519" s="40" t="n">
        <v>0.454545454545455</v>
      </c>
      <c r="J519" s="40" t="n">
        <v>0.0909090909090909</v>
      </c>
      <c r="K519" s="40" t="n">
        <v>0.181818181818182</v>
      </c>
      <c r="L519" s="32"/>
      <c r="M519" s="32"/>
      <c r="N519" s="32"/>
      <c r="O519" s="32"/>
    </row>
    <row r="520" customFormat="false" ht="15" hidden="false" customHeight="true" outlineLevel="0" collapsed="false">
      <c r="A520" s="38" t="s">
        <v>127</v>
      </c>
      <c r="B520" s="31" t="n">
        <v>15</v>
      </c>
      <c r="C520" s="39" t="s">
        <v>334</v>
      </c>
      <c r="D520" s="31" t="n">
        <v>1</v>
      </c>
      <c r="E520" s="40" t="n">
        <v>1</v>
      </c>
      <c r="F520" s="40" t="n">
        <v>1</v>
      </c>
      <c r="G520" s="40" t="n">
        <v>1</v>
      </c>
      <c r="H520" s="40" t="n">
        <v>1</v>
      </c>
      <c r="I520" s="40" t="n">
        <v>1</v>
      </c>
      <c r="J520" s="40" t="n">
        <v>0</v>
      </c>
      <c r="K520" s="32"/>
      <c r="L520" s="32"/>
      <c r="M520" s="32"/>
      <c r="N520" s="32"/>
      <c r="O520" s="32"/>
    </row>
    <row r="521" customFormat="false" ht="15" hidden="false" customHeight="true" outlineLevel="0" collapsed="false">
      <c r="A521" s="38" t="s">
        <v>129</v>
      </c>
      <c r="B521" s="31" t="n">
        <v>17</v>
      </c>
      <c r="C521" s="39" t="s">
        <v>334</v>
      </c>
      <c r="D521" s="31" t="n">
        <v>8</v>
      </c>
      <c r="E521" s="40" t="n">
        <v>1</v>
      </c>
      <c r="F521" s="40" t="n">
        <v>0.75</v>
      </c>
      <c r="G521" s="40" t="n">
        <v>0.875</v>
      </c>
      <c r="H521" s="40" t="n">
        <v>0.875</v>
      </c>
      <c r="I521" s="32"/>
      <c r="J521" s="32"/>
      <c r="K521" s="32"/>
      <c r="L521" s="32"/>
      <c r="M521" s="32"/>
      <c r="N521" s="32"/>
      <c r="O521" s="32"/>
    </row>
    <row r="522" customFormat="false" ht="15" hidden="false" customHeight="true" outlineLevel="0" collapsed="false">
      <c r="A522" s="38" t="s">
        <v>130</v>
      </c>
      <c r="B522" s="31" t="n">
        <v>18</v>
      </c>
      <c r="C522" s="39" t="s">
        <v>334</v>
      </c>
      <c r="D522" s="31" t="n">
        <v>5</v>
      </c>
      <c r="E522" s="40" t="n">
        <v>1</v>
      </c>
      <c r="F522" s="40" t="n">
        <v>0.6</v>
      </c>
      <c r="G522" s="40" t="n">
        <v>0.6</v>
      </c>
      <c r="H522" s="32"/>
      <c r="I522" s="32"/>
      <c r="J522" s="32"/>
      <c r="K522" s="32"/>
      <c r="L522" s="32"/>
      <c r="M522" s="32"/>
      <c r="N522" s="32"/>
      <c r="O522" s="32"/>
    </row>
    <row r="523" customFormat="false" ht="15" hidden="false" customHeight="true" outlineLevel="0" collapsed="false">
      <c r="A523" s="38" t="s">
        <v>132</v>
      </c>
      <c r="B523" s="31" t="n">
        <v>20</v>
      </c>
      <c r="C523" s="39" t="s">
        <v>334</v>
      </c>
      <c r="D523" s="31" t="n">
        <v>3</v>
      </c>
      <c r="E523" s="40" t="n">
        <v>1</v>
      </c>
      <c r="F523" s="32"/>
      <c r="G523" s="32"/>
      <c r="H523" s="32"/>
      <c r="I523" s="32"/>
      <c r="J523" s="32"/>
      <c r="K523" s="32"/>
      <c r="L523" s="32"/>
      <c r="M523" s="32"/>
      <c r="N523" s="32"/>
      <c r="O523" s="32"/>
    </row>
    <row r="524" customFormat="false" ht="15" hidden="false" customHeight="true" outlineLevel="0" collapsed="false">
      <c r="A524" s="34" t="s">
        <v>335</v>
      </c>
      <c r="B524" s="36"/>
      <c r="C524" s="36"/>
      <c r="D524" s="36"/>
      <c r="E524" s="44" t="n">
        <v>1</v>
      </c>
      <c r="F524" s="44" t="n">
        <v>0.83495145631068</v>
      </c>
      <c r="G524" s="44" t="n">
        <v>0.699029126213592</v>
      </c>
      <c r="H524" s="44" t="n">
        <v>0.679611650485437</v>
      </c>
      <c r="I524" s="44" t="n">
        <v>0.679611650485437</v>
      </c>
      <c r="J524" s="44" t="n">
        <v>0.174757281553398</v>
      </c>
      <c r="K524" s="44" t="n">
        <v>0.116504854368932</v>
      </c>
      <c r="L524" s="44" t="n">
        <v>0.058252427184466</v>
      </c>
      <c r="M524" s="44" t="n">
        <v>0.0194174757281553</v>
      </c>
      <c r="N524" s="44" t="n">
        <v>0.0194174757281553</v>
      </c>
      <c r="O524" s="44" t="n">
        <v>0.0194174757281553</v>
      </c>
    </row>
    <row r="525" customFormat="false" ht="15" hidden="false" customHeight="true" outlineLevel="0" collapsed="false">
      <c r="A525" s="34" t="s">
        <v>336</v>
      </c>
      <c r="B525" s="36"/>
      <c r="C525" s="36"/>
      <c r="D525" s="36"/>
      <c r="E525" s="44" t="n">
        <v>1</v>
      </c>
      <c r="F525" s="44" t="n">
        <v>0.822137605042017</v>
      </c>
      <c r="G525" s="44" t="n">
        <v>0.676616479925304</v>
      </c>
      <c r="H525" s="44" t="n">
        <v>0.676368464052288</v>
      </c>
      <c r="I525" s="44" t="n">
        <v>0.659106559290383</v>
      </c>
      <c r="J525" s="44" t="n">
        <v>0.180082866479925</v>
      </c>
      <c r="K525" s="44" t="n">
        <v>0.118166433239963</v>
      </c>
      <c r="L525" s="44" t="n">
        <v>0.0662319094304388</v>
      </c>
      <c r="M525" s="44" t="n">
        <v>0.0133053221288515</v>
      </c>
      <c r="N525" s="44" t="n">
        <v>0.0152060824329732</v>
      </c>
      <c r="O525" s="44" t="n">
        <v>0.0264705882352941</v>
      </c>
    </row>
    <row r="526" customFormat="false" ht="15" hidden="false" customHeight="true" outlineLevel="0" collapsed="false">
      <c r="A526" s="45" t="s">
        <v>360</v>
      </c>
      <c r="B526" s="45"/>
      <c r="C526" s="45"/>
      <c r="D526" s="45"/>
      <c r="E526" s="45"/>
      <c r="F526" s="45"/>
      <c r="G526" s="45"/>
      <c r="H526" s="45"/>
      <c r="I526" s="45"/>
      <c r="J526" s="45"/>
      <c r="K526" s="45"/>
      <c r="L526" s="45"/>
      <c r="M526" s="45"/>
      <c r="N526" s="45"/>
      <c r="O526" s="45"/>
    </row>
    <row r="528" customFormat="false" ht="15" hidden="false" customHeight="true" outlineLevel="0" collapsed="false">
      <c r="A528" s="28" t="s">
        <v>318</v>
      </c>
      <c r="B528" s="28"/>
      <c r="C528" s="28"/>
      <c r="D528" s="28"/>
      <c r="E528" s="28"/>
      <c r="F528" s="28"/>
      <c r="G528" s="28"/>
      <c r="H528" s="28"/>
      <c r="I528" s="28"/>
      <c r="J528" s="28"/>
      <c r="K528" s="28"/>
      <c r="L528" s="28"/>
      <c r="M528" s="28"/>
      <c r="N528" s="28"/>
      <c r="O528" s="28"/>
      <c r="P528" s="28"/>
      <c r="Q528" s="28"/>
      <c r="R528" s="28"/>
    </row>
    <row r="529" customFormat="false" ht="15" hidden="false" customHeight="true" outlineLevel="0" collapsed="false">
      <c r="A529" s="12" t="s">
        <v>330</v>
      </c>
      <c r="B529" s="12" t="s">
        <v>331</v>
      </c>
      <c r="C529" s="12" t="s">
        <v>332</v>
      </c>
      <c r="D529" s="12" t="s">
        <v>333</v>
      </c>
      <c r="E529" s="37" t="n">
        <v>1</v>
      </c>
      <c r="F529" s="37" t="n">
        <v>2</v>
      </c>
      <c r="G529" s="37" t="n">
        <v>3</v>
      </c>
      <c r="H529" s="37" t="n">
        <v>4</v>
      </c>
      <c r="I529" s="37" t="n">
        <v>5</v>
      </c>
      <c r="J529" s="37" t="n">
        <v>6</v>
      </c>
      <c r="K529" s="37" t="n">
        <v>7</v>
      </c>
      <c r="L529" s="37" t="n">
        <v>8</v>
      </c>
      <c r="M529" s="37" t="n">
        <v>9</v>
      </c>
      <c r="N529" s="37" t="n">
        <v>10</v>
      </c>
      <c r="O529" s="37" t="n">
        <v>11</v>
      </c>
      <c r="P529" s="37" t="n">
        <v>12</v>
      </c>
      <c r="Q529" s="37" t="n">
        <v>13</v>
      </c>
      <c r="R529" s="37" t="n">
        <v>14</v>
      </c>
    </row>
    <row r="530" customFormat="false" ht="15" hidden="false" customHeight="true" outlineLevel="0" collapsed="false">
      <c r="A530" s="42" t="s">
        <v>117</v>
      </c>
      <c r="B530" s="31" t="n">
        <v>5</v>
      </c>
      <c r="C530" s="43" t="s">
        <v>338</v>
      </c>
      <c r="D530" s="31" t="n">
        <v>8</v>
      </c>
      <c r="E530" s="40" t="n">
        <v>1</v>
      </c>
      <c r="F530" s="40" t="n">
        <v>1</v>
      </c>
      <c r="G530" s="40" t="n">
        <v>0.75</v>
      </c>
      <c r="H530" s="40" t="n">
        <v>0.75</v>
      </c>
      <c r="I530" s="40" t="n">
        <v>0.75</v>
      </c>
      <c r="J530" s="40" t="n">
        <v>0.625</v>
      </c>
      <c r="K530" s="40" t="n">
        <v>0.125</v>
      </c>
      <c r="L530" s="40" t="n">
        <v>0</v>
      </c>
      <c r="M530" s="40" t="n">
        <v>0</v>
      </c>
      <c r="N530" s="40" t="n">
        <v>0</v>
      </c>
      <c r="O530" s="40" t="n">
        <v>0</v>
      </c>
      <c r="P530" s="40" t="n">
        <v>0</v>
      </c>
      <c r="Q530" s="40" t="n">
        <v>0</v>
      </c>
      <c r="R530" s="40" t="n">
        <v>0</v>
      </c>
    </row>
    <row r="531" customFormat="false" ht="15" hidden="false" customHeight="true" outlineLevel="0" collapsed="false">
      <c r="A531" s="42" t="s">
        <v>118</v>
      </c>
      <c r="B531" s="31" t="n">
        <v>6</v>
      </c>
      <c r="C531" s="43" t="s">
        <v>338</v>
      </c>
      <c r="D531" s="31" t="n">
        <v>13</v>
      </c>
      <c r="E531" s="40" t="n">
        <v>1</v>
      </c>
      <c r="F531" s="40" t="n">
        <v>0.307692307692308</v>
      </c>
      <c r="G531" s="40" t="n">
        <v>0.307692307692308</v>
      </c>
      <c r="H531" s="40" t="n">
        <v>0.230769230769231</v>
      </c>
      <c r="I531" s="40" t="n">
        <v>0.153846153846154</v>
      </c>
      <c r="J531" s="40" t="n">
        <v>0.230769230769231</v>
      </c>
      <c r="K531" s="40" t="n">
        <v>0</v>
      </c>
      <c r="L531" s="40" t="n">
        <v>0</v>
      </c>
      <c r="M531" s="40" t="n">
        <v>0.0769230769230769</v>
      </c>
      <c r="N531" s="40" t="n">
        <v>0.0769230769230769</v>
      </c>
      <c r="O531" s="40" t="n">
        <v>0.0769230769230769</v>
      </c>
      <c r="P531" s="40" t="n">
        <v>0</v>
      </c>
      <c r="Q531" s="40" t="n">
        <v>0.0769230769230769</v>
      </c>
      <c r="R531" s="40" t="n">
        <v>0.0769230769230769</v>
      </c>
    </row>
    <row r="532" customFormat="false" ht="15" hidden="false" customHeight="true" outlineLevel="0" collapsed="false">
      <c r="A532" s="42" t="s">
        <v>120</v>
      </c>
      <c r="B532" s="31" t="n">
        <v>8</v>
      </c>
      <c r="C532" s="43" t="s">
        <v>338</v>
      </c>
      <c r="D532" s="31" t="n">
        <v>12</v>
      </c>
      <c r="E532" s="40" t="n">
        <v>1</v>
      </c>
      <c r="F532" s="40" t="n">
        <v>0.5</v>
      </c>
      <c r="G532" s="40" t="n">
        <v>0.333333333333333</v>
      </c>
      <c r="H532" s="40" t="n">
        <v>0.333333333333333</v>
      </c>
      <c r="I532" s="40" t="n">
        <v>0.333333333333333</v>
      </c>
      <c r="J532" s="40" t="n">
        <v>0.25</v>
      </c>
      <c r="K532" s="40" t="n">
        <v>0.25</v>
      </c>
      <c r="L532" s="40" t="n">
        <v>0.166666666666667</v>
      </c>
      <c r="M532" s="40" t="n">
        <v>0.0833333333333333</v>
      </c>
      <c r="N532" s="40" t="n">
        <v>0.0833333333333333</v>
      </c>
      <c r="O532" s="40" t="n">
        <v>0</v>
      </c>
      <c r="P532" s="40" t="n">
        <v>0</v>
      </c>
      <c r="Q532" s="40" t="n">
        <v>0</v>
      </c>
      <c r="R532" s="32"/>
    </row>
    <row r="533" customFormat="false" ht="15" hidden="false" customHeight="true" outlineLevel="0" collapsed="false">
      <c r="A533" s="42" t="s">
        <v>121</v>
      </c>
      <c r="B533" s="31" t="n">
        <v>9</v>
      </c>
      <c r="C533" s="43" t="s">
        <v>338</v>
      </c>
      <c r="D533" s="31" t="n">
        <v>11</v>
      </c>
      <c r="E533" s="40" t="n">
        <v>1</v>
      </c>
      <c r="F533" s="40" t="n">
        <v>0.818181818181818</v>
      </c>
      <c r="G533" s="40" t="n">
        <v>0.727272727272727</v>
      </c>
      <c r="H533" s="40" t="n">
        <v>0.636363636363636</v>
      </c>
      <c r="I533" s="40" t="n">
        <v>0.636363636363636</v>
      </c>
      <c r="J533" s="40" t="n">
        <v>0.181818181818182</v>
      </c>
      <c r="K533" s="40" t="n">
        <v>0.272727272727273</v>
      </c>
      <c r="L533" s="40" t="n">
        <v>0.181818181818182</v>
      </c>
      <c r="M533" s="40" t="n">
        <v>0.0909090909090909</v>
      </c>
      <c r="N533" s="40" t="n">
        <v>0.181818181818182</v>
      </c>
      <c r="O533" s="40" t="n">
        <v>0.181818181818182</v>
      </c>
      <c r="P533" s="40" t="n">
        <v>0</v>
      </c>
      <c r="Q533" s="32"/>
      <c r="R533" s="32"/>
    </row>
    <row r="534" customFormat="false" ht="15" hidden="false" customHeight="true" outlineLevel="0" collapsed="false">
      <c r="A534" s="42" t="s">
        <v>123</v>
      </c>
      <c r="B534" s="31" t="n">
        <v>11</v>
      </c>
      <c r="C534" s="43" t="s">
        <v>338</v>
      </c>
      <c r="D534" s="31" t="n">
        <v>21</v>
      </c>
      <c r="E534" s="40" t="n">
        <v>1</v>
      </c>
      <c r="F534" s="40" t="n">
        <v>0.761904761904762</v>
      </c>
      <c r="G534" s="40" t="n">
        <v>0.666666666666667</v>
      </c>
      <c r="H534" s="40" t="n">
        <v>0.666666666666667</v>
      </c>
      <c r="I534" s="40" t="n">
        <v>0.666666666666667</v>
      </c>
      <c r="J534" s="40" t="n">
        <v>0.190476190476191</v>
      </c>
      <c r="K534" s="40" t="n">
        <v>0.0476190476190476</v>
      </c>
      <c r="L534" s="40" t="n">
        <v>0.0952380952380952</v>
      </c>
      <c r="M534" s="40" t="n">
        <v>0.0952380952380952</v>
      </c>
      <c r="N534" s="40" t="n">
        <v>0</v>
      </c>
      <c r="O534" s="32"/>
      <c r="P534" s="32"/>
      <c r="Q534" s="32"/>
      <c r="R534" s="32"/>
    </row>
    <row r="535" customFormat="false" ht="15" hidden="false" customHeight="true" outlineLevel="0" collapsed="false">
      <c r="A535" s="42" t="s">
        <v>124</v>
      </c>
      <c r="B535" s="31" t="n">
        <v>12</v>
      </c>
      <c r="C535" s="43" t="s">
        <v>338</v>
      </c>
      <c r="D535" s="31" t="n">
        <v>26</v>
      </c>
      <c r="E535" s="40" t="n">
        <v>1</v>
      </c>
      <c r="F535" s="40" t="n">
        <v>0.692307692307692</v>
      </c>
      <c r="G535" s="40" t="n">
        <v>0.692307692307692</v>
      </c>
      <c r="H535" s="40" t="n">
        <v>0.769230769230769</v>
      </c>
      <c r="I535" s="40" t="n">
        <v>0.692307692307692</v>
      </c>
      <c r="J535" s="40" t="n">
        <v>0.307692307692308</v>
      </c>
      <c r="K535" s="40" t="n">
        <v>0.307692307692308</v>
      </c>
      <c r="L535" s="40" t="n">
        <v>0.153846153846154</v>
      </c>
      <c r="M535" s="40" t="n">
        <v>0.115384615384615</v>
      </c>
      <c r="N535" s="32"/>
      <c r="O535" s="32"/>
      <c r="P535" s="32"/>
      <c r="Q535" s="32"/>
      <c r="R535" s="32"/>
    </row>
    <row r="536" customFormat="false" ht="15" hidden="false" customHeight="true" outlineLevel="0" collapsed="false">
      <c r="A536" s="38" t="s">
        <v>126</v>
      </c>
      <c r="B536" s="31" t="n">
        <v>14</v>
      </c>
      <c r="C536" s="39" t="s">
        <v>334</v>
      </c>
      <c r="D536" s="31" t="n">
        <v>25</v>
      </c>
      <c r="E536" s="40" t="n">
        <v>1</v>
      </c>
      <c r="F536" s="40" t="n">
        <v>0.8</v>
      </c>
      <c r="G536" s="40" t="n">
        <v>0.64</v>
      </c>
      <c r="H536" s="40" t="n">
        <v>0.64</v>
      </c>
      <c r="I536" s="40" t="n">
        <v>0.6</v>
      </c>
      <c r="J536" s="40" t="n">
        <v>0.2</v>
      </c>
      <c r="K536" s="40" t="n">
        <v>0.12</v>
      </c>
      <c r="L536" s="32"/>
      <c r="M536" s="32"/>
      <c r="N536" s="32"/>
      <c r="O536" s="32"/>
      <c r="P536" s="32"/>
      <c r="Q536" s="32"/>
      <c r="R536" s="32"/>
    </row>
    <row r="537" customFormat="false" ht="15" hidden="false" customHeight="true" outlineLevel="0" collapsed="false">
      <c r="A537" s="38" t="s">
        <v>127</v>
      </c>
      <c r="B537" s="31" t="n">
        <v>15</v>
      </c>
      <c r="C537" s="39" t="s">
        <v>334</v>
      </c>
      <c r="D537" s="31" t="n">
        <v>29</v>
      </c>
      <c r="E537" s="40" t="n">
        <v>1</v>
      </c>
      <c r="F537" s="40" t="n">
        <v>0.517241379310345</v>
      </c>
      <c r="G537" s="40" t="n">
        <v>0.551724137931035</v>
      </c>
      <c r="H537" s="40" t="n">
        <v>0.551724137931035</v>
      </c>
      <c r="I537" s="40" t="n">
        <v>0.551724137931035</v>
      </c>
      <c r="J537" s="40" t="n">
        <v>0.172413793103448</v>
      </c>
      <c r="K537" s="32"/>
      <c r="L537" s="32"/>
      <c r="M537" s="32"/>
      <c r="N537" s="32"/>
      <c r="O537" s="32"/>
      <c r="P537" s="32"/>
      <c r="Q537" s="32"/>
      <c r="R537" s="32"/>
    </row>
    <row r="538" customFormat="false" ht="15" hidden="false" customHeight="true" outlineLevel="0" collapsed="false">
      <c r="A538" s="38" t="s">
        <v>129</v>
      </c>
      <c r="B538" s="31" t="n">
        <v>17</v>
      </c>
      <c r="C538" s="39" t="s">
        <v>334</v>
      </c>
      <c r="D538" s="31" t="n">
        <v>28</v>
      </c>
      <c r="E538" s="40" t="n">
        <v>1</v>
      </c>
      <c r="F538" s="40" t="n">
        <v>0.857142857142857</v>
      </c>
      <c r="G538" s="40" t="n">
        <v>0.642857142857143</v>
      </c>
      <c r="H538" s="40" t="n">
        <v>0.785714285714286</v>
      </c>
      <c r="I538" s="32"/>
      <c r="J538" s="32"/>
      <c r="K538" s="32"/>
      <c r="L538" s="32"/>
      <c r="M538" s="32"/>
      <c r="N538" s="32"/>
      <c r="O538" s="32"/>
      <c r="P538" s="32"/>
      <c r="Q538" s="32"/>
      <c r="R538" s="32"/>
    </row>
    <row r="539" customFormat="false" ht="15" hidden="false" customHeight="true" outlineLevel="0" collapsed="false">
      <c r="A539" s="38" t="s">
        <v>130</v>
      </c>
      <c r="B539" s="31" t="n">
        <v>18</v>
      </c>
      <c r="C539" s="39" t="s">
        <v>334</v>
      </c>
      <c r="D539" s="31" t="n">
        <v>30</v>
      </c>
      <c r="E539" s="40" t="n">
        <v>1</v>
      </c>
      <c r="F539" s="40" t="n">
        <v>0.566666666666667</v>
      </c>
      <c r="G539" s="40" t="n">
        <v>0.566666666666667</v>
      </c>
      <c r="H539" s="32"/>
      <c r="I539" s="32"/>
      <c r="J539" s="32"/>
      <c r="K539" s="32"/>
      <c r="L539" s="32"/>
      <c r="M539" s="32"/>
      <c r="N539" s="32"/>
      <c r="O539" s="32"/>
      <c r="P539" s="32"/>
      <c r="Q539" s="32"/>
      <c r="R539" s="32"/>
    </row>
    <row r="540" customFormat="false" ht="15" hidden="false" customHeight="true" outlineLevel="0" collapsed="false">
      <c r="A540" s="38" t="s">
        <v>132</v>
      </c>
      <c r="B540" s="31" t="n">
        <v>20</v>
      </c>
      <c r="C540" s="39" t="s">
        <v>334</v>
      </c>
      <c r="D540" s="31" t="n">
        <v>43</v>
      </c>
      <c r="E540" s="40" t="n">
        <v>1</v>
      </c>
      <c r="F540" s="32"/>
      <c r="G540" s="32"/>
      <c r="H540" s="32"/>
      <c r="I540" s="32"/>
      <c r="J540" s="32"/>
      <c r="K540" s="32"/>
      <c r="L540" s="32"/>
      <c r="M540" s="32"/>
      <c r="N540" s="32"/>
      <c r="O540" s="32"/>
      <c r="P540" s="32"/>
      <c r="Q540" s="32"/>
      <c r="R540" s="32"/>
    </row>
    <row r="541" customFormat="false" ht="15" hidden="false" customHeight="true" outlineLevel="0" collapsed="false">
      <c r="A541" s="34" t="s">
        <v>335</v>
      </c>
      <c r="B541" s="36"/>
      <c r="C541" s="36"/>
      <c r="D541" s="36"/>
      <c r="E541" s="44" t="n">
        <v>1</v>
      </c>
      <c r="F541" s="44" t="n">
        <v>0.67032967032967</v>
      </c>
      <c r="G541" s="44" t="n">
        <v>0.593406593406593</v>
      </c>
      <c r="H541" s="44" t="n">
        <v>0.593406593406593</v>
      </c>
      <c r="I541" s="44" t="n">
        <v>0.56043956043956</v>
      </c>
      <c r="J541" s="44" t="n">
        <v>0.274725274725275</v>
      </c>
      <c r="K541" s="44" t="n">
        <v>0.175824175824176</v>
      </c>
      <c r="L541" s="44" t="n">
        <v>0.10989010989011</v>
      </c>
      <c r="M541" s="44" t="n">
        <v>0.0879120879120879</v>
      </c>
      <c r="N541" s="44" t="n">
        <v>0.043956043956044</v>
      </c>
      <c r="O541" s="44" t="n">
        <v>0.032967032967033</v>
      </c>
      <c r="P541" s="44" t="n">
        <v>0</v>
      </c>
      <c r="Q541" s="44" t="n">
        <v>0.010989010989011</v>
      </c>
      <c r="R541" s="44" t="n">
        <v>0.010989010989011</v>
      </c>
    </row>
    <row r="542" customFormat="false" ht="15" hidden="false" customHeight="true" outlineLevel="0" collapsed="false">
      <c r="A542" s="34" t="s">
        <v>336</v>
      </c>
      <c r="B542" s="36"/>
      <c r="C542" s="36"/>
      <c r="D542" s="36"/>
      <c r="E542" s="44" t="n">
        <v>1</v>
      </c>
      <c r="F542" s="44" t="n">
        <v>0.68001443001443</v>
      </c>
      <c r="G542" s="44" t="n">
        <v>0.579545454545455</v>
      </c>
      <c r="H542" s="44" t="n">
        <v>0.564393939393939</v>
      </c>
      <c r="I542" s="44" t="n">
        <v>0.538752913752914</v>
      </c>
      <c r="J542" s="44" t="n">
        <v>0.297625985125985</v>
      </c>
      <c r="K542" s="44" t="n">
        <v>0.167173104673105</v>
      </c>
      <c r="L542" s="44" t="n">
        <v>0.0995948495948496</v>
      </c>
      <c r="M542" s="44" t="n">
        <v>0.076964701964702</v>
      </c>
      <c r="N542" s="44" t="n">
        <v>0.0684149184149184</v>
      </c>
      <c r="O542" s="44" t="n">
        <v>0.0646853146853147</v>
      </c>
      <c r="P542" s="44" t="n">
        <v>0</v>
      </c>
      <c r="Q542" s="44" t="n">
        <v>0.0256410256410256</v>
      </c>
      <c r="R542" s="44" t="n">
        <v>0.0384615384615385</v>
      </c>
    </row>
    <row r="543" customFormat="false" ht="15" hidden="false" customHeight="true" outlineLevel="0" collapsed="false">
      <c r="A543" s="45" t="s">
        <v>361</v>
      </c>
      <c r="B543" s="45"/>
      <c r="C543" s="45"/>
      <c r="D543" s="45"/>
      <c r="E543" s="45"/>
      <c r="F543" s="45"/>
      <c r="G543" s="45"/>
      <c r="H543" s="45"/>
      <c r="I543" s="45"/>
      <c r="J543" s="45"/>
      <c r="K543" s="45"/>
      <c r="L543" s="45"/>
      <c r="M543" s="45"/>
      <c r="N543" s="45"/>
      <c r="O543" s="45"/>
      <c r="P543" s="45"/>
      <c r="Q543" s="45"/>
      <c r="R543" s="45"/>
    </row>
    <row r="545" customFormat="false" ht="15" hidden="false" customHeight="true" outlineLevel="0" collapsed="false">
      <c r="A545" s="28" t="s">
        <v>319</v>
      </c>
      <c r="B545" s="28"/>
      <c r="C545" s="28"/>
      <c r="D545" s="28"/>
      <c r="E545" s="28"/>
      <c r="F545" s="28"/>
      <c r="G545" s="28"/>
      <c r="H545" s="28"/>
      <c r="I545" s="28"/>
      <c r="J545" s="28"/>
      <c r="K545" s="28"/>
      <c r="L545" s="28"/>
      <c r="M545" s="28"/>
      <c r="N545" s="28"/>
      <c r="O545" s="28"/>
      <c r="P545" s="28"/>
      <c r="Q545" s="28"/>
    </row>
    <row r="546" customFormat="false" ht="15" hidden="false" customHeight="true" outlineLevel="0" collapsed="false">
      <c r="A546" s="12" t="s">
        <v>330</v>
      </c>
      <c r="B546" s="12" t="s">
        <v>331</v>
      </c>
      <c r="C546" s="12" t="s">
        <v>332</v>
      </c>
      <c r="D546" s="12" t="s">
        <v>333</v>
      </c>
      <c r="E546" s="37" t="n">
        <v>1</v>
      </c>
      <c r="F546" s="37" t="n">
        <v>2</v>
      </c>
      <c r="G546" s="37" t="n">
        <v>3</v>
      </c>
      <c r="H546" s="37" t="n">
        <v>4</v>
      </c>
      <c r="I546" s="37" t="n">
        <v>5</v>
      </c>
      <c r="J546" s="37" t="n">
        <v>6</v>
      </c>
      <c r="K546" s="37" t="n">
        <v>7</v>
      </c>
      <c r="L546" s="37" t="n">
        <v>8</v>
      </c>
      <c r="M546" s="37" t="n">
        <v>9</v>
      </c>
      <c r="N546" s="37" t="n">
        <v>10</v>
      </c>
      <c r="O546" s="37" t="n">
        <v>11</v>
      </c>
      <c r="P546" s="37" t="n">
        <v>12</v>
      </c>
      <c r="Q546" s="37" t="n">
        <v>13</v>
      </c>
    </row>
    <row r="547" customFormat="false" ht="15" hidden="false" customHeight="true" outlineLevel="0" collapsed="false">
      <c r="A547" s="42" t="s">
        <v>113</v>
      </c>
      <c r="B547" s="31" t="n">
        <v>1</v>
      </c>
      <c r="C547" s="43" t="s">
        <v>338</v>
      </c>
      <c r="D547" s="31" t="n">
        <v>3</v>
      </c>
      <c r="E547" s="40" t="n">
        <v>1</v>
      </c>
      <c r="F547" s="40" t="n">
        <v>1</v>
      </c>
      <c r="G547" s="40" t="n">
        <v>1</v>
      </c>
      <c r="H547" s="40" t="n">
        <v>1</v>
      </c>
      <c r="I547" s="40" t="n">
        <v>1</v>
      </c>
      <c r="J547" s="40" t="n">
        <v>1</v>
      </c>
      <c r="K547" s="40" t="n">
        <v>0</v>
      </c>
      <c r="L547" s="40" t="n">
        <v>0</v>
      </c>
      <c r="M547" s="40" t="n">
        <v>0</v>
      </c>
      <c r="N547" s="40" t="n">
        <v>0</v>
      </c>
      <c r="O547" s="40" t="n">
        <v>0</v>
      </c>
      <c r="P547" s="40" t="n">
        <v>0</v>
      </c>
      <c r="Q547" s="40" t="n">
        <v>0</v>
      </c>
    </row>
    <row r="548" customFormat="false" ht="15" hidden="false" customHeight="true" outlineLevel="0" collapsed="false">
      <c r="A548" s="42" t="s">
        <v>114</v>
      </c>
      <c r="B548" s="31" t="n">
        <v>2</v>
      </c>
      <c r="C548" s="43" t="s">
        <v>338</v>
      </c>
      <c r="D548" s="31" t="n">
        <v>6</v>
      </c>
      <c r="E548" s="40" t="n">
        <v>1</v>
      </c>
      <c r="F548" s="40" t="n">
        <v>0.833333333333333</v>
      </c>
      <c r="G548" s="40" t="n">
        <v>0.5</v>
      </c>
      <c r="H548" s="40" t="n">
        <v>0.833333333333333</v>
      </c>
      <c r="I548" s="40" t="n">
        <v>0.666666666666667</v>
      </c>
      <c r="J548" s="40" t="n">
        <v>0.5</v>
      </c>
      <c r="K548" s="40" t="n">
        <v>0.5</v>
      </c>
      <c r="L548" s="40" t="n">
        <v>0.333333333333333</v>
      </c>
      <c r="M548" s="40" t="n">
        <v>0.166666666666667</v>
      </c>
      <c r="N548" s="40" t="n">
        <v>0.166666666666667</v>
      </c>
      <c r="O548" s="40" t="n">
        <v>0</v>
      </c>
      <c r="P548" s="40" t="n">
        <v>0</v>
      </c>
      <c r="Q548" s="40" t="n">
        <v>0</v>
      </c>
    </row>
    <row r="549" customFormat="false" ht="15" hidden="false" customHeight="true" outlineLevel="0" collapsed="false">
      <c r="A549" s="42" t="s">
        <v>115</v>
      </c>
      <c r="B549" s="31" t="n">
        <v>3</v>
      </c>
      <c r="C549" s="43" t="s">
        <v>338</v>
      </c>
      <c r="D549" s="31" t="n">
        <v>3</v>
      </c>
      <c r="E549" s="40" t="n">
        <v>1</v>
      </c>
      <c r="F549" s="40" t="n">
        <v>1</v>
      </c>
      <c r="G549" s="40" t="n">
        <v>1</v>
      </c>
      <c r="H549" s="40" t="n">
        <v>1</v>
      </c>
      <c r="I549" s="40" t="n">
        <v>1</v>
      </c>
      <c r="J549" s="40" t="n">
        <v>1</v>
      </c>
      <c r="K549" s="40" t="n">
        <v>0</v>
      </c>
      <c r="L549" s="40" t="n">
        <v>0</v>
      </c>
      <c r="M549" s="40" t="n">
        <v>0</v>
      </c>
      <c r="N549" s="40" t="n">
        <v>0</v>
      </c>
      <c r="O549" s="40" t="n">
        <v>0</v>
      </c>
      <c r="P549" s="40" t="n">
        <v>0</v>
      </c>
      <c r="Q549" s="40" t="n">
        <v>0</v>
      </c>
    </row>
    <row r="550" customFormat="false" ht="15" hidden="false" customHeight="true" outlineLevel="0" collapsed="false">
      <c r="A550" s="42" t="s">
        <v>117</v>
      </c>
      <c r="B550" s="31" t="n">
        <v>5</v>
      </c>
      <c r="C550" s="43" t="s">
        <v>338</v>
      </c>
      <c r="D550" s="31" t="n">
        <v>9</v>
      </c>
      <c r="E550" s="40" t="n">
        <v>1</v>
      </c>
      <c r="F550" s="40" t="n">
        <v>0.888888888888889</v>
      </c>
      <c r="G550" s="40" t="n">
        <v>0.777777777777778</v>
      </c>
      <c r="H550" s="40" t="n">
        <v>0.888888888888889</v>
      </c>
      <c r="I550" s="40" t="n">
        <v>0.777777777777778</v>
      </c>
      <c r="J550" s="40" t="n">
        <v>0.222222222222222</v>
      </c>
      <c r="K550" s="40" t="n">
        <v>0</v>
      </c>
      <c r="L550" s="40" t="n">
        <v>0</v>
      </c>
      <c r="M550" s="40" t="n">
        <v>0</v>
      </c>
      <c r="N550" s="40" t="n">
        <v>0</v>
      </c>
      <c r="O550" s="40" t="n">
        <v>0.111111111111111</v>
      </c>
      <c r="P550" s="40" t="n">
        <v>0</v>
      </c>
      <c r="Q550" s="40" t="n">
        <v>0</v>
      </c>
    </row>
    <row r="551" customFormat="false" ht="15" hidden="false" customHeight="true" outlineLevel="0" collapsed="false">
      <c r="A551" s="42" t="s">
        <v>118</v>
      </c>
      <c r="B551" s="31" t="n">
        <v>6</v>
      </c>
      <c r="C551" s="43" t="s">
        <v>338</v>
      </c>
      <c r="D551" s="31" t="n">
        <v>7</v>
      </c>
      <c r="E551" s="40" t="n">
        <v>1</v>
      </c>
      <c r="F551" s="40" t="n">
        <v>0.428571428571429</v>
      </c>
      <c r="G551" s="40" t="n">
        <v>0.428571428571429</v>
      </c>
      <c r="H551" s="40" t="n">
        <v>0.571428571428571</v>
      </c>
      <c r="I551" s="40" t="n">
        <v>0.428571428571429</v>
      </c>
      <c r="J551" s="40" t="n">
        <v>0.428571428571429</v>
      </c>
      <c r="K551" s="40" t="n">
        <v>0.571428571428571</v>
      </c>
      <c r="L551" s="40" t="n">
        <v>0.285714285714286</v>
      </c>
      <c r="M551" s="40" t="n">
        <v>0.285714285714286</v>
      </c>
      <c r="N551" s="40" t="n">
        <v>0.285714285714286</v>
      </c>
      <c r="O551" s="40" t="n">
        <v>0.285714285714286</v>
      </c>
      <c r="P551" s="40" t="n">
        <v>0.142857142857143</v>
      </c>
      <c r="Q551" s="40" t="n">
        <v>0</v>
      </c>
    </row>
    <row r="552" customFormat="false" ht="15" hidden="false" customHeight="true" outlineLevel="0" collapsed="false">
      <c r="A552" s="42" t="s">
        <v>120</v>
      </c>
      <c r="B552" s="31" t="n">
        <v>8</v>
      </c>
      <c r="C552" s="43" t="s">
        <v>338</v>
      </c>
      <c r="D552" s="31" t="n">
        <v>9</v>
      </c>
      <c r="E552" s="40" t="n">
        <v>1</v>
      </c>
      <c r="F552" s="40" t="n">
        <v>0.666666666666667</v>
      </c>
      <c r="G552" s="40" t="n">
        <v>0.666666666666667</v>
      </c>
      <c r="H552" s="40" t="n">
        <v>0.666666666666667</v>
      </c>
      <c r="I552" s="40" t="n">
        <v>0.777777777777778</v>
      </c>
      <c r="J552" s="40" t="n">
        <v>0.222222222222222</v>
      </c>
      <c r="K552" s="40" t="n">
        <v>0.222222222222222</v>
      </c>
      <c r="L552" s="40" t="n">
        <v>0.111111111111111</v>
      </c>
      <c r="M552" s="40" t="n">
        <v>0.111111111111111</v>
      </c>
      <c r="N552" s="40" t="n">
        <v>0.111111111111111</v>
      </c>
      <c r="O552" s="40" t="n">
        <v>0</v>
      </c>
      <c r="P552" s="40" t="n">
        <v>0.111111111111111</v>
      </c>
      <c r="Q552" s="40" t="n">
        <v>0.111111111111111</v>
      </c>
    </row>
    <row r="553" customFormat="false" ht="15" hidden="false" customHeight="true" outlineLevel="0" collapsed="false">
      <c r="A553" s="42" t="s">
        <v>121</v>
      </c>
      <c r="B553" s="31" t="n">
        <v>9</v>
      </c>
      <c r="C553" s="43" t="s">
        <v>338</v>
      </c>
      <c r="D553" s="31" t="n">
        <v>11</v>
      </c>
      <c r="E553" s="40" t="n">
        <v>1</v>
      </c>
      <c r="F553" s="40" t="n">
        <v>0.636363636363636</v>
      </c>
      <c r="G553" s="40" t="n">
        <v>0.545454545454545</v>
      </c>
      <c r="H553" s="40" t="n">
        <v>0.636363636363636</v>
      </c>
      <c r="I553" s="40" t="n">
        <v>0.454545454545455</v>
      </c>
      <c r="J553" s="40" t="n">
        <v>0.272727272727273</v>
      </c>
      <c r="K553" s="40" t="n">
        <v>0.0909090909090909</v>
      </c>
      <c r="L553" s="40" t="n">
        <v>0</v>
      </c>
      <c r="M553" s="40" t="n">
        <v>0</v>
      </c>
      <c r="N553" s="40" t="n">
        <v>0</v>
      </c>
      <c r="O553" s="40" t="n">
        <v>0</v>
      </c>
      <c r="P553" s="40" t="n">
        <v>0</v>
      </c>
      <c r="Q553" s="32"/>
    </row>
    <row r="554" customFormat="false" ht="15" hidden="false" customHeight="true" outlineLevel="0" collapsed="false">
      <c r="A554" s="42" t="s">
        <v>123</v>
      </c>
      <c r="B554" s="31" t="n">
        <v>11</v>
      </c>
      <c r="C554" s="43" t="s">
        <v>338</v>
      </c>
      <c r="D554" s="31" t="n">
        <v>21</v>
      </c>
      <c r="E554" s="40" t="n">
        <v>1</v>
      </c>
      <c r="F554" s="40" t="n">
        <v>0.952380952380952</v>
      </c>
      <c r="G554" s="40" t="n">
        <v>0.714285714285714</v>
      </c>
      <c r="H554" s="40" t="n">
        <v>0.666666666666667</v>
      </c>
      <c r="I554" s="40" t="n">
        <v>0.619047619047619</v>
      </c>
      <c r="J554" s="40" t="n">
        <v>0.333333333333333</v>
      </c>
      <c r="K554" s="40" t="n">
        <v>0.0476190476190476</v>
      </c>
      <c r="L554" s="40" t="n">
        <v>0.0952380952380952</v>
      </c>
      <c r="M554" s="40" t="n">
        <v>0.0476190476190476</v>
      </c>
      <c r="N554" s="40" t="n">
        <v>0.0476190476190476</v>
      </c>
      <c r="O554" s="32"/>
      <c r="P554" s="32"/>
      <c r="Q554" s="32"/>
    </row>
    <row r="555" customFormat="false" ht="15" hidden="false" customHeight="true" outlineLevel="0" collapsed="false">
      <c r="A555" s="42" t="s">
        <v>124</v>
      </c>
      <c r="B555" s="31" t="n">
        <v>12</v>
      </c>
      <c r="C555" s="43" t="s">
        <v>338</v>
      </c>
      <c r="D555" s="31" t="n">
        <v>13</v>
      </c>
      <c r="E555" s="40" t="n">
        <v>1</v>
      </c>
      <c r="F555" s="40" t="n">
        <v>0.692307692307692</v>
      </c>
      <c r="G555" s="40" t="n">
        <v>0.615384615384615</v>
      </c>
      <c r="H555" s="40" t="n">
        <v>0.692307692307692</v>
      </c>
      <c r="I555" s="40" t="n">
        <v>0.538461538461538</v>
      </c>
      <c r="J555" s="40" t="n">
        <v>0.307692307692308</v>
      </c>
      <c r="K555" s="40" t="n">
        <v>0.153846153846154</v>
      </c>
      <c r="L555" s="40" t="n">
        <v>0.0769230769230769</v>
      </c>
      <c r="M555" s="40" t="n">
        <v>0.153846153846154</v>
      </c>
      <c r="N555" s="32"/>
      <c r="O555" s="32"/>
      <c r="P555" s="32"/>
      <c r="Q555" s="32"/>
    </row>
    <row r="556" customFormat="false" ht="15" hidden="false" customHeight="true" outlineLevel="0" collapsed="false">
      <c r="A556" s="38" t="s">
        <v>125</v>
      </c>
      <c r="B556" s="31" t="n">
        <v>13</v>
      </c>
      <c r="C556" s="39" t="s">
        <v>334</v>
      </c>
      <c r="D556" s="31" t="n">
        <v>1</v>
      </c>
      <c r="E556" s="40" t="n">
        <v>1</v>
      </c>
      <c r="F556" s="40" t="n">
        <v>1</v>
      </c>
      <c r="G556" s="40" t="n">
        <v>1</v>
      </c>
      <c r="H556" s="40" t="n">
        <v>1</v>
      </c>
      <c r="I556" s="40" t="n">
        <v>1</v>
      </c>
      <c r="J556" s="40" t="n">
        <v>1</v>
      </c>
      <c r="K556" s="40" t="n">
        <v>1</v>
      </c>
      <c r="L556" s="40" t="n">
        <v>0</v>
      </c>
      <c r="M556" s="32"/>
      <c r="N556" s="32"/>
      <c r="O556" s="32"/>
      <c r="P556" s="32"/>
      <c r="Q556" s="32"/>
    </row>
    <row r="557" customFormat="false" ht="15" hidden="false" customHeight="true" outlineLevel="0" collapsed="false">
      <c r="A557" s="38" t="s">
        <v>126</v>
      </c>
      <c r="B557" s="31" t="n">
        <v>14</v>
      </c>
      <c r="C557" s="39" t="s">
        <v>334</v>
      </c>
      <c r="D557" s="31" t="n">
        <v>19</v>
      </c>
      <c r="E557" s="40" t="n">
        <v>1</v>
      </c>
      <c r="F557" s="40" t="n">
        <v>0.578947368421053</v>
      </c>
      <c r="G557" s="40" t="n">
        <v>0.473684210526316</v>
      </c>
      <c r="H557" s="40" t="n">
        <v>0.631578947368421</v>
      </c>
      <c r="I557" s="40" t="n">
        <v>0.631578947368421</v>
      </c>
      <c r="J557" s="40" t="n">
        <v>0.263157894736842</v>
      </c>
      <c r="K557" s="40" t="n">
        <v>0.105263157894737</v>
      </c>
      <c r="L557" s="32"/>
      <c r="M557" s="32"/>
      <c r="N557" s="32"/>
      <c r="O557" s="32"/>
      <c r="P557" s="32"/>
      <c r="Q557" s="32"/>
    </row>
    <row r="558" customFormat="false" ht="15" hidden="false" customHeight="true" outlineLevel="0" collapsed="false">
      <c r="A558" s="38" t="s">
        <v>127</v>
      </c>
      <c r="B558" s="31" t="n">
        <v>15</v>
      </c>
      <c r="C558" s="39" t="s">
        <v>334</v>
      </c>
      <c r="D558" s="31" t="n">
        <v>15</v>
      </c>
      <c r="E558" s="40" t="n">
        <v>1</v>
      </c>
      <c r="F558" s="40" t="n">
        <v>0.6</v>
      </c>
      <c r="G558" s="40" t="n">
        <v>0.533333333333333</v>
      </c>
      <c r="H558" s="40" t="n">
        <v>0.466666666666667</v>
      </c>
      <c r="I558" s="40" t="n">
        <v>0.4</v>
      </c>
      <c r="J558" s="40" t="n">
        <v>0.133333333333333</v>
      </c>
      <c r="K558" s="32"/>
      <c r="L558" s="32"/>
      <c r="M558" s="32"/>
      <c r="N558" s="32"/>
      <c r="O558" s="32"/>
      <c r="P558" s="32"/>
      <c r="Q558" s="32"/>
    </row>
    <row r="559" customFormat="false" ht="15" hidden="false" customHeight="true" outlineLevel="0" collapsed="false">
      <c r="A559" s="38" t="s">
        <v>129</v>
      </c>
      <c r="B559" s="31" t="n">
        <v>17</v>
      </c>
      <c r="C559" s="39" t="s">
        <v>334</v>
      </c>
      <c r="D559" s="31" t="n">
        <v>22</v>
      </c>
      <c r="E559" s="40" t="n">
        <v>1</v>
      </c>
      <c r="F559" s="40" t="n">
        <v>0.909090909090909</v>
      </c>
      <c r="G559" s="40" t="n">
        <v>0.681818181818182</v>
      </c>
      <c r="H559" s="40" t="n">
        <v>0.818181818181818</v>
      </c>
      <c r="I559" s="32"/>
      <c r="J559" s="32"/>
      <c r="K559" s="32"/>
      <c r="L559" s="32"/>
      <c r="M559" s="32"/>
      <c r="N559" s="32"/>
      <c r="O559" s="32"/>
      <c r="P559" s="32"/>
      <c r="Q559" s="32"/>
    </row>
    <row r="560" customFormat="false" ht="15" hidden="false" customHeight="true" outlineLevel="0" collapsed="false">
      <c r="A560" s="38" t="s">
        <v>130</v>
      </c>
      <c r="B560" s="31" t="n">
        <v>18</v>
      </c>
      <c r="C560" s="39" t="s">
        <v>334</v>
      </c>
      <c r="D560" s="31" t="n">
        <v>16</v>
      </c>
      <c r="E560" s="40" t="n">
        <v>1</v>
      </c>
      <c r="F560" s="40" t="n">
        <v>0.6875</v>
      </c>
      <c r="G560" s="40" t="n">
        <v>0.8125</v>
      </c>
      <c r="H560" s="32"/>
      <c r="I560" s="32"/>
      <c r="J560" s="32"/>
      <c r="K560" s="32"/>
      <c r="L560" s="32"/>
      <c r="M560" s="32"/>
      <c r="N560" s="32"/>
      <c r="O560" s="32"/>
      <c r="P560" s="32"/>
      <c r="Q560" s="32"/>
    </row>
    <row r="561" customFormat="false" ht="15" hidden="false" customHeight="true" outlineLevel="0" collapsed="false">
      <c r="A561" s="38" t="s">
        <v>132</v>
      </c>
      <c r="B561" s="31" t="n">
        <v>20</v>
      </c>
      <c r="C561" s="39" t="s">
        <v>334</v>
      </c>
      <c r="D561" s="31" t="n">
        <v>20</v>
      </c>
      <c r="E561" s="40" t="n">
        <v>1</v>
      </c>
      <c r="F561" s="32"/>
      <c r="G561" s="32"/>
      <c r="H561" s="32"/>
      <c r="I561" s="32"/>
      <c r="J561" s="32"/>
      <c r="K561" s="32"/>
      <c r="L561" s="32"/>
      <c r="M561" s="32"/>
      <c r="N561" s="32"/>
      <c r="O561" s="32"/>
      <c r="P561" s="32"/>
      <c r="Q561" s="32"/>
    </row>
    <row r="562" customFormat="false" ht="15" hidden="false" customHeight="true" outlineLevel="0" collapsed="false">
      <c r="A562" s="34" t="s">
        <v>335</v>
      </c>
      <c r="B562" s="36"/>
      <c r="C562" s="36"/>
      <c r="D562" s="36"/>
      <c r="E562" s="44" t="n">
        <v>1</v>
      </c>
      <c r="F562" s="44" t="n">
        <v>0.780487804878049</v>
      </c>
      <c r="G562" s="44" t="n">
        <v>0.658536585365854</v>
      </c>
      <c r="H562" s="44" t="n">
        <v>0.719512195121951</v>
      </c>
      <c r="I562" s="44" t="n">
        <v>0.634146341463415</v>
      </c>
      <c r="J562" s="44" t="n">
        <v>0.365853658536585</v>
      </c>
      <c r="K562" s="44" t="n">
        <v>0.158536585365854</v>
      </c>
      <c r="L562" s="44" t="n">
        <v>0.0975609756097561</v>
      </c>
      <c r="M562" s="44" t="n">
        <v>0.0853658536585366</v>
      </c>
      <c r="N562" s="44" t="n">
        <v>0.0609756097560976</v>
      </c>
      <c r="O562" s="44" t="n">
        <v>0.0365853658536585</v>
      </c>
      <c r="P562" s="44" t="n">
        <v>0.024390243902439</v>
      </c>
      <c r="Q562" s="44" t="n">
        <v>0.0121951219512195</v>
      </c>
    </row>
    <row r="563" customFormat="false" ht="15" hidden="false" customHeight="true" outlineLevel="0" collapsed="false">
      <c r="A563" s="34" t="s">
        <v>336</v>
      </c>
      <c r="B563" s="36"/>
      <c r="C563" s="36"/>
      <c r="D563" s="36"/>
      <c r="E563" s="44" t="n">
        <v>1</v>
      </c>
      <c r="F563" s="44" t="n">
        <v>0.788723622056956</v>
      </c>
      <c r="G563" s="44" t="n">
        <v>0.694237860904528</v>
      </c>
      <c r="H563" s="44" t="n">
        <v>0.77285060618394</v>
      </c>
      <c r="I563" s="44" t="n">
        <v>0.695872029205363</v>
      </c>
      <c r="J563" s="44" t="n">
        <v>0.47630764297431</v>
      </c>
      <c r="K563" s="44" t="n">
        <v>0.176225009558343</v>
      </c>
      <c r="L563" s="44" t="n">
        <v>0.100257766924434</v>
      </c>
      <c r="M563" s="44" t="n">
        <v>0.0849952516619183</v>
      </c>
      <c r="N563" s="44" t="n">
        <v>0.0763888888888889</v>
      </c>
      <c r="O563" s="44" t="n">
        <v>0.0566893424036281</v>
      </c>
      <c r="P563" s="44" t="n">
        <v>0.036281179138322</v>
      </c>
      <c r="Q563" s="44" t="n">
        <v>0.0185185185185185</v>
      </c>
    </row>
    <row r="564" customFormat="false" ht="15" hidden="false" customHeight="true" outlineLevel="0" collapsed="false">
      <c r="A564" s="45" t="s">
        <v>362</v>
      </c>
      <c r="B564" s="45"/>
      <c r="C564" s="45"/>
      <c r="D564" s="45"/>
      <c r="E564" s="45"/>
      <c r="F564" s="45"/>
      <c r="G564" s="45"/>
      <c r="H564" s="45"/>
      <c r="I564" s="45"/>
      <c r="J564" s="45"/>
      <c r="K564" s="45"/>
      <c r="L564" s="45"/>
      <c r="M564" s="45"/>
      <c r="N564" s="45"/>
      <c r="O564" s="45"/>
      <c r="P564" s="45"/>
      <c r="Q564" s="45"/>
    </row>
    <row r="566" customFormat="false" ht="15" hidden="false" customHeight="true" outlineLevel="0" collapsed="false">
      <c r="A566" s="28" t="s">
        <v>320</v>
      </c>
      <c r="B566" s="28"/>
      <c r="C566" s="28"/>
      <c r="D566" s="28"/>
      <c r="E566" s="28"/>
      <c r="F566" s="28"/>
      <c r="G566" s="28"/>
      <c r="H566" s="28"/>
      <c r="I566" s="28"/>
      <c r="J566" s="28"/>
      <c r="K566" s="28"/>
      <c r="L566" s="28"/>
      <c r="M566" s="28"/>
      <c r="N566" s="28"/>
    </row>
    <row r="567" customFormat="false" ht="15" hidden="false" customHeight="true" outlineLevel="0" collapsed="false">
      <c r="A567" s="12" t="s">
        <v>330</v>
      </c>
      <c r="B567" s="12" t="s">
        <v>331</v>
      </c>
      <c r="C567" s="12" t="s">
        <v>332</v>
      </c>
      <c r="D567" s="12" t="s">
        <v>333</v>
      </c>
      <c r="E567" s="37" t="n">
        <v>1</v>
      </c>
      <c r="F567" s="37" t="n">
        <v>2</v>
      </c>
      <c r="G567" s="37" t="n">
        <v>3</v>
      </c>
      <c r="H567" s="37" t="n">
        <v>4</v>
      </c>
      <c r="I567" s="37" t="n">
        <v>5</v>
      </c>
      <c r="J567" s="37" t="n">
        <v>6</v>
      </c>
      <c r="K567" s="37" t="n">
        <v>7</v>
      </c>
      <c r="L567" s="37" t="n">
        <v>8</v>
      </c>
      <c r="M567" s="37" t="n">
        <v>9</v>
      </c>
      <c r="N567" s="37" t="n">
        <v>10</v>
      </c>
    </row>
    <row r="568" customFormat="false" ht="15" hidden="false" customHeight="true" outlineLevel="0" collapsed="false">
      <c r="A568" s="42" t="s">
        <v>120</v>
      </c>
      <c r="B568" s="31" t="n">
        <v>8</v>
      </c>
      <c r="C568" s="43" t="s">
        <v>338</v>
      </c>
      <c r="D568" s="31" t="n">
        <v>10</v>
      </c>
      <c r="E568" s="40" t="n">
        <v>1</v>
      </c>
      <c r="F568" s="40" t="n">
        <v>0.9</v>
      </c>
      <c r="G568" s="40" t="n">
        <v>0.7</v>
      </c>
      <c r="H568" s="40" t="n">
        <v>0.9</v>
      </c>
      <c r="I568" s="40" t="n">
        <v>0.3</v>
      </c>
      <c r="J568" s="40" t="n">
        <v>0.1</v>
      </c>
      <c r="K568" s="40" t="n">
        <v>0.1</v>
      </c>
      <c r="L568" s="40" t="n">
        <v>0</v>
      </c>
      <c r="M568" s="40" t="n">
        <v>0</v>
      </c>
      <c r="N568" s="40" t="n">
        <v>0.1</v>
      </c>
    </row>
    <row r="569" customFormat="false" ht="15" hidden="false" customHeight="true" outlineLevel="0" collapsed="false">
      <c r="A569" s="42" t="s">
        <v>121</v>
      </c>
      <c r="B569" s="31" t="n">
        <v>9</v>
      </c>
      <c r="C569" s="43" t="s">
        <v>338</v>
      </c>
      <c r="D569" s="31" t="n">
        <v>20</v>
      </c>
      <c r="E569" s="40" t="n">
        <v>1</v>
      </c>
      <c r="F569" s="40" t="n">
        <v>0.85</v>
      </c>
      <c r="G569" s="40" t="n">
        <v>0.85</v>
      </c>
      <c r="H569" s="40" t="n">
        <v>0.8</v>
      </c>
      <c r="I569" s="40" t="n">
        <v>0.2</v>
      </c>
      <c r="J569" s="40" t="n">
        <v>0.15</v>
      </c>
      <c r="K569" s="40" t="n">
        <v>0.05</v>
      </c>
      <c r="L569" s="40" t="n">
        <v>0</v>
      </c>
      <c r="M569" s="40" t="n">
        <v>0.05</v>
      </c>
      <c r="N569" s="40" t="n">
        <v>0</v>
      </c>
    </row>
    <row r="570" customFormat="false" ht="15" hidden="false" customHeight="true" outlineLevel="0" collapsed="false">
      <c r="A570" s="42" t="s">
        <v>122</v>
      </c>
      <c r="B570" s="31" t="n">
        <v>10</v>
      </c>
      <c r="C570" s="43" t="s">
        <v>338</v>
      </c>
      <c r="D570" s="31" t="n">
        <v>1</v>
      </c>
      <c r="E570" s="40" t="n">
        <v>1</v>
      </c>
      <c r="F570" s="40" t="n">
        <v>1</v>
      </c>
      <c r="G570" s="40" t="n">
        <v>1</v>
      </c>
      <c r="H570" s="40" t="n">
        <v>1</v>
      </c>
      <c r="I570" s="40" t="n">
        <v>1</v>
      </c>
      <c r="J570" s="40" t="n">
        <v>0</v>
      </c>
      <c r="K570" s="40" t="n">
        <v>0</v>
      </c>
      <c r="L570" s="40" t="n">
        <v>0</v>
      </c>
      <c r="M570" s="40" t="n">
        <v>0</v>
      </c>
      <c r="N570" s="40" t="n">
        <v>0</v>
      </c>
    </row>
    <row r="571" customFormat="false" ht="15" hidden="false" customHeight="true" outlineLevel="0" collapsed="false">
      <c r="A571" s="42" t="s">
        <v>123</v>
      </c>
      <c r="B571" s="31" t="n">
        <v>11</v>
      </c>
      <c r="C571" s="43" t="s">
        <v>338</v>
      </c>
      <c r="D571" s="31" t="n">
        <v>32</v>
      </c>
      <c r="E571" s="40" t="n">
        <v>1</v>
      </c>
      <c r="F571" s="40" t="n">
        <v>0.84375</v>
      </c>
      <c r="G571" s="40" t="n">
        <v>0.75</v>
      </c>
      <c r="H571" s="40" t="n">
        <v>0.78125</v>
      </c>
      <c r="I571" s="40" t="n">
        <v>0.03125</v>
      </c>
      <c r="J571" s="40" t="n">
        <v>0</v>
      </c>
      <c r="K571" s="40" t="n">
        <v>0</v>
      </c>
      <c r="L571" s="40" t="n">
        <v>0</v>
      </c>
      <c r="M571" s="40" t="n">
        <v>0</v>
      </c>
      <c r="N571" s="40" t="n">
        <v>0</v>
      </c>
    </row>
    <row r="572" customFormat="false" ht="15" hidden="false" customHeight="true" outlineLevel="0" collapsed="false">
      <c r="A572" s="42" t="s">
        <v>124</v>
      </c>
      <c r="B572" s="31" t="n">
        <v>12</v>
      </c>
      <c r="C572" s="43" t="s">
        <v>338</v>
      </c>
      <c r="D572" s="31" t="n">
        <v>25</v>
      </c>
      <c r="E572" s="40" t="n">
        <v>1</v>
      </c>
      <c r="F572" s="40" t="n">
        <v>0.96</v>
      </c>
      <c r="G572" s="40" t="n">
        <v>0.92</v>
      </c>
      <c r="H572" s="40" t="n">
        <v>0.8</v>
      </c>
      <c r="I572" s="40" t="n">
        <v>0.04</v>
      </c>
      <c r="J572" s="40" t="n">
        <v>0.16</v>
      </c>
      <c r="K572" s="40" t="n">
        <v>0.08</v>
      </c>
      <c r="L572" s="40" t="n">
        <v>0</v>
      </c>
      <c r="M572" s="40" t="n">
        <v>0</v>
      </c>
      <c r="N572" s="32"/>
    </row>
    <row r="573" customFormat="false" ht="15" hidden="false" customHeight="true" outlineLevel="0" collapsed="false">
      <c r="A573" s="38" t="s">
        <v>125</v>
      </c>
      <c r="B573" s="31" t="n">
        <v>13</v>
      </c>
      <c r="C573" s="39" t="s">
        <v>334</v>
      </c>
      <c r="D573" s="31" t="n">
        <v>1</v>
      </c>
      <c r="E573" s="40" t="n">
        <v>1</v>
      </c>
      <c r="F573" s="40" t="n">
        <v>1</v>
      </c>
      <c r="G573" s="40" t="n">
        <v>0</v>
      </c>
      <c r="H573" s="40" t="n">
        <v>0</v>
      </c>
      <c r="I573" s="40" t="n">
        <v>0</v>
      </c>
      <c r="J573" s="40" t="n">
        <v>0</v>
      </c>
      <c r="K573" s="40" t="n">
        <v>0</v>
      </c>
      <c r="L573" s="40" t="n">
        <v>0</v>
      </c>
      <c r="M573" s="32"/>
      <c r="N573" s="32"/>
    </row>
    <row r="574" customFormat="false" ht="15" hidden="false" customHeight="true" outlineLevel="0" collapsed="false">
      <c r="A574" s="38" t="s">
        <v>126</v>
      </c>
      <c r="B574" s="31" t="n">
        <v>14</v>
      </c>
      <c r="C574" s="39" t="s">
        <v>334</v>
      </c>
      <c r="D574" s="31" t="n">
        <v>18</v>
      </c>
      <c r="E574" s="40" t="n">
        <v>1</v>
      </c>
      <c r="F574" s="40" t="n">
        <v>0.944444444444444</v>
      </c>
      <c r="G574" s="40" t="n">
        <v>0.777777777777778</v>
      </c>
      <c r="H574" s="40" t="n">
        <v>0.944444444444444</v>
      </c>
      <c r="I574" s="40" t="n">
        <v>0.277777777777778</v>
      </c>
      <c r="J574" s="40" t="n">
        <v>0.111111111111111</v>
      </c>
      <c r="K574" s="40" t="n">
        <v>0.166666666666667</v>
      </c>
      <c r="L574" s="32"/>
      <c r="M574" s="32"/>
      <c r="N574" s="32"/>
    </row>
    <row r="575" customFormat="false" ht="15" hidden="false" customHeight="true" outlineLevel="0" collapsed="false">
      <c r="A575" s="38" t="s">
        <v>127</v>
      </c>
      <c r="B575" s="31" t="n">
        <v>15</v>
      </c>
      <c r="C575" s="39" t="s">
        <v>334</v>
      </c>
      <c r="D575" s="31" t="n">
        <v>19</v>
      </c>
      <c r="E575" s="40" t="n">
        <v>1</v>
      </c>
      <c r="F575" s="40" t="n">
        <v>0.842105263157895</v>
      </c>
      <c r="G575" s="40" t="n">
        <v>0.894736842105263</v>
      </c>
      <c r="H575" s="40" t="n">
        <v>0.842105263157895</v>
      </c>
      <c r="I575" s="40" t="n">
        <v>0.0526315789473684</v>
      </c>
      <c r="J575" s="40" t="n">
        <v>0.0526315789473684</v>
      </c>
      <c r="K575" s="32"/>
      <c r="L575" s="32"/>
      <c r="M575" s="32"/>
      <c r="N575" s="32"/>
    </row>
    <row r="576" customFormat="false" ht="15" hidden="false" customHeight="true" outlineLevel="0" collapsed="false">
      <c r="A576" s="38" t="s">
        <v>128</v>
      </c>
      <c r="B576" s="31" t="n">
        <v>16</v>
      </c>
      <c r="C576" s="39" t="s">
        <v>334</v>
      </c>
      <c r="D576" s="31" t="n">
        <v>9</v>
      </c>
      <c r="E576" s="40" t="n">
        <v>1</v>
      </c>
      <c r="F576" s="40" t="n">
        <v>1</v>
      </c>
      <c r="G576" s="40" t="n">
        <v>0</v>
      </c>
      <c r="H576" s="40" t="n">
        <v>0</v>
      </c>
      <c r="I576" s="40" t="n">
        <v>0</v>
      </c>
      <c r="J576" s="32"/>
      <c r="K576" s="32"/>
      <c r="L576" s="32"/>
      <c r="M576" s="32"/>
      <c r="N576" s="32"/>
    </row>
    <row r="577" customFormat="false" ht="15" hidden="false" customHeight="true" outlineLevel="0" collapsed="false">
      <c r="A577" s="38" t="s">
        <v>129</v>
      </c>
      <c r="B577" s="31" t="n">
        <v>17</v>
      </c>
      <c r="C577" s="39" t="s">
        <v>334</v>
      </c>
      <c r="D577" s="31" t="n">
        <v>31</v>
      </c>
      <c r="E577" s="40" t="n">
        <v>1</v>
      </c>
      <c r="F577" s="40" t="n">
        <v>1</v>
      </c>
      <c r="G577" s="40" t="n">
        <v>0.806451612903226</v>
      </c>
      <c r="H577" s="40" t="n">
        <v>0.903225806451613</v>
      </c>
      <c r="I577" s="32"/>
      <c r="J577" s="32"/>
      <c r="K577" s="32"/>
      <c r="L577" s="32"/>
      <c r="M577" s="32"/>
      <c r="N577" s="32"/>
    </row>
    <row r="578" customFormat="false" ht="15" hidden="false" customHeight="true" outlineLevel="0" collapsed="false">
      <c r="A578" s="38" t="s">
        <v>130</v>
      </c>
      <c r="B578" s="31" t="n">
        <v>18</v>
      </c>
      <c r="C578" s="39" t="s">
        <v>334</v>
      </c>
      <c r="D578" s="31" t="n">
        <v>18</v>
      </c>
      <c r="E578" s="40" t="n">
        <v>1</v>
      </c>
      <c r="F578" s="40" t="n">
        <v>1</v>
      </c>
      <c r="G578" s="40" t="n">
        <v>0.833333333333333</v>
      </c>
      <c r="H578" s="32"/>
      <c r="I578" s="32"/>
      <c r="J578" s="32"/>
      <c r="K578" s="32"/>
      <c r="L578" s="32"/>
      <c r="M578" s="32"/>
      <c r="N578" s="32"/>
    </row>
    <row r="579" customFormat="false" ht="15" hidden="false" customHeight="true" outlineLevel="0" collapsed="false">
      <c r="A579" s="38" t="s">
        <v>131</v>
      </c>
      <c r="B579" s="31" t="n">
        <v>19</v>
      </c>
      <c r="C579" s="39" t="s">
        <v>334</v>
      </c>
      <c r="D579" s="31" t="n">
        <v>8</v>
      </c>
      <c r="E579" s="40" t="n">
        <v>1</v>
      </c>
      <c r="F579" s="40" t="n">
        <v>1</v>
      </c>
      <c r="G579" s="32"/>
      <c r="H579" s="32"/>
      <c r="I579" s="32"/>
      <c r="J579" s="32"/>
      <c r="K579" s="32"/>
      <c r="L579" s="32"/>
      <c r="M579" s="32"/>
      <c r="N579" s="32"/>
    </row>
    <row r="580" customFormat="false" ht="15" hidden="false" customHeight="true" outlineLevel="0" collapsed="false">
      <c r="A580" s="38" t="s">
        <v>132</v>
      </c>
      <c r="B580" s="31" t="n">
        <v>20</v>
      </c>
      <c r="C580" s="39" t="s">
        <v>334</v>
      </c>
      <c r="D580" s="31" t="n">
        <v>25</v>
      </c>
      <c r="E580" s="40" t="n">
        <v>1</v>
      </c>
      <c r="F580" s="32"/>
      <c r="G580" s="32"/>
      <c r="H580" s="32"/>
      <c r="I580" s="32"/>
      <c r="J580" s="32"/>
      <c r="K580" s="32"/>
      <c r="L580" s="32"/>
      <c r="M580" s="32"/>
      <c r="N580" s="32"/>
    </row>
    <row r="581" customFormat="false" ht="15" hidden="false" customHeight="true" outlineLevel="0" collapsed="false">
      <c r="A581" s="34" t="s">
        <v>335</v>
      </c>
      <c r="B581" s="36"/>
      <c r="C581" s="36"/>
      <c r="D581" s="36"/>
      <c r="E581" s="44" t="n">
        <v>1</v>
      </c>
      <c r="F581" s="44" t="n">
        <v>0.886363636363636</v>
      </c>
      <c r="G581" s="44" t="n">
        <v>0.818181818181818</v>
      </c>
      <c r="H581" s="44" t="n">
        <v>0.806818181818182</v>
      </c>
      <c r="I581" s="44" t="n">
        <v>0.113636363636364</v>
      </c>
      <c r="J581" s="44" t="n">
        <v>0.0909090909090909</v>
      </c>
      <c r="K581" s="44" t="n">
        <v>0.0454545454545455</v>
      </c>
      <c r="L581" s="44" t="n">
        <v>0</v>
      </c>
      <c r="M581" s="44" t="n">
        <v>0.0113636363636364</v>
      </c>
      <c r="N581" s="44" t="n">
        <v>0.0113636363636364</v>
      </c>
    </row>
    <row r="582" customFormat="false" ht="15" hidden="false" customHeight="true" outlineLevel="0" collapsed="false">
      <c r="A582" s="34" t="s">
        <v>336</v>
      </c>
      <c r="B582" s="36"/>
      <c r="C582" s="36"/>
      <c r="D582" s="36"/>
      <c r="E582" s="44" t="n">
        <v>1</v>
      </c>
      <c r="F582" s="44" t="n">
        <v>0.91075</v>
      </c>
      <c r="G582" s="44" t="n">
        <v>0.844</v>
      </c>
      <c r="H582" s="44" t="n">
        <v>0.85625</v>
      </c>
      <c r="I582" s="44" t="n">
        <v>0.31425</v>
      </c>
      <c r="J582" s="44" t="n">
        <v>0.082</v>
      </c>
      <c r="K582" s="44" t="n">
        <v>0.046</v>
      </c>
      <c r="L582" s="44" t="n">
        <v>0</v>
      </c>
      <c r="M582" s="44" t="n">
        <v>0.01</v>
      </c>
      <c r="N582" s="44" t="n">
        <v>0.025</v>
      </c>
    </row>
    <row r="583" customFormat="false" ht="15" hidden="false" customHeight="true" outlineLevel="0" collapsed="false">
      <c r="A583" s="45" t="s">
        <v>363</v>
      </c>
      <c r="B583" s="45"/>
      <c r="C583" s="45"/>
      <c r="D583" s="45"/>
      <c r="E583" s="45"/>
      <c r="F583" s="45"/>
      <c r="G583" s="45"/>
      <c r="H583" s="45"/>
      <c r="I583" s="45"/>
      <c r="J583" s="45"/>
      <c r="K583" s="45"/>
      <c r="L583" s="45"/>
      <c r="M583" s="45"/>
      <c r="N583" s="45"/>
    </row>
    <row r="585" customFormat="false" ht="15" hidden="false" customHeight="true" outlineLevel="0" collapsed="false">
      <c r="A585" s="28" t="s">
        <v>321</v>
      </c>
      <c r="B585" s="28"/>
      <c r="C585" s="28"/>
      <c r="D585" s="28"/>
      <c r="E585" s="28"/>
      <c r="F585" s="28"/>
      <c r="G585" s="28"/>
      <c r="H585" s="28"/>
      <c r="I585" s="28"/>
      <c r="J585" s="28"/>
      <c r="K585" s="28"/>
      <c r="L585" s="28"/>
    </row>
    <row r="586" customFormat="false" ht="15" hidden="false" customHeight="true" outlineLevel="0" collapsed="false">
      <c r="A586" s="12" t="s">
        <v>330</v>
      </c>
      <c r="B586" s="12" t="s">
        <v>331</v>
      </c>
      <c r="C586" s="12" t="s">
        <v>332</v>
      </c>
      <c r="D586" s="12" t="s">
        <v>333</v>
      </c>
      <c r="E586" s="37" t="n">
        <v>1</v>
      </c>
      <c r="F586" s="37" t="n">
        <v>2</v>
      </c>
      <c r="G586" s="37" t="n">
        <v>3</v>
      </c>
      <c r="H586" s="37" t="n">
        <v>4</v>
      </c>
      <c r="I586" s="37" t="n">
        <v>5</v>
      </c>
      <c r="J586" s="37" t="n">
        <v>6</v>
      </c>
      <c r="K586" s="37" t="n">
        <v>7</v>
      </c>
      <c r="L586" s="37" t="n">
        <v>8</v>
      </c>
    </row>
    <row r="587" customFormat="false" ht="15" hidden="false" customHeight="true" outlineLevel="0" collapsed="false">
      <c r="A587" s="42" t="s">
        <v>123</v>
      </c>
      <c r="B587" s="31" t="n">
        <v>11</v>
      </c>
      <c r="C587" s="43" t="s">
        <v>338</v>
      </c>
      <c r="D587" s="31" t="n">
        <v>14</v>
      </c>
      <c r="E587" s="40" t="n">
        <v>1</v>
      </c>
      <c r="F587" s="40" t="n">
        <v>0.857142857142857</v>
      </c>
      <c r="G587" s="40" t="n">
        <v>0.714285714285714</v>
      </c>
      <c r="H587" s="40" t="n">
        <v>0.571428571428571</v>
      </c>
      <c r="I587" s="40" t="n">
        <v>0.571428571428571</v>
      </c>
      <c r="J587" s="40" t="n">
        <v>0.0714285714285714</v>
      </c>
      <c r="K587" s="40" t="n">
        <v>0.142857142857143</v>
      </c>
      <c r="L587" s="40" t="n">
        <v>0.0714285714285714</v>
      </c>
    </row>
    <row r="588" customFormat="false" ht="15" hidden="false" customHeight="true" outlineLevel="0" collapsed="false">
      <c r="A588" s="42" t="s">
        <v>124</v>
      </c>
      <c r="B588" s="31" t="n">
        <v>12</v>
      </c>
      <c r="C588" s="43" t="s">
        <v>338</v>
      </c>
      <c r="D588" s="31" t="n">
        <v>12</v>
      </c>
      <c r="E588" s="40" t="n">
        <v>1</v>
      </c>
      <c r="F588" s="40" t="n">
        <v>0.5</v>
      </c>
      <c r="G588" s="40" t="n">
        <v>0.5</v>
      </c>
      <c r="H588" s="40" t="n">
        <v>0.5</v>
      </c>
      <c r="I588" s="40" t="n">
        <v>0.5</v>
      </c>
      <c r="J588" s="40" t="n">
        <v>0</v>
      </c>
      <c r="K588" s="40" t="n">
        <v>0</v>
      </c>
      <c r="L588" s="40" t="n">
        <v>0</v>
      </c>
    </row>
    <row r="589" customFormat="false" ht="15" hidden="false" customHeight="true" outlineLevel="0" collapsed="false">
      <c r="A589" s="38" t="s">
        <v>126</v>
      </c>
      <c r="B589" s="31" t="n">
        <v>14</v>
      </c>
      <c r="C589" s="39" t="s">
        <v>334</v>
      </c>
      <c r="D589" s="31" t="n">
        <v>31</v>
      </c>
      <c r="E589" s="40" t="n">
        <v>1</v>
      </c>
      <c r="F589" s="40" t="n">
        <v>0.838709677419355</v>
      </c>
      <c r="G589" s="40" t="n">
        <v>0.709677419354839</v>
      </c>
      <c r="H589" s="40" t="n">
        <v>0.67741935483871</v>
      </c>
      <c r="I589" s="40" t="n">
        <v>0.67741935483871</v>
      </c>
      <c r="J589" s="40" t="n">
        <v>0</v>
      </c>
      <c r="K589" s="40" t="n">
        <v>0</v>
      </c>
      <c r="L589" s="32"/>
    </row>
    <row r="590" customFormat="false" ht="15" hidden="false" customHeight="true" outlineLevel="0" collapsed="false">
      <c r="A590" s="38" t="s">
        <v>127</v>
      </c>
      <c r="B590" s="31" t="n">
        <v>15</v>
      </c>
      <c r="C590" s="39" t="s">
        <v>334</v>
      </c>
      <c r="D590" s="31" t="n">
        <v>23</v>
      </c>
      <c r="E590" s="40" t="n">
        <v>1</v>
      </c>
      <c r="F590" s="40" t="n">
        <v>0.782608695652174</v>
      </c>
      <c r="G590" s="40" t="n">
        <v>0.826086956521739</v>
      </c>
      <c r="H590" s="40" t="n">
        <v>0.739130434782609</v>
      </c>
      <c r="I590" s="40" t="n">
        <v>0.695652173913044</v>
      </c>
      <c r="J590" s="40" t="n">
        <v>0.173913043478261</v>
      </c>
      <c r="K590" s="32"/>
      <c r="L590" s="32"/>
    </row>
    <row r="591" customFormat="false" ht="15" hidden="false" customHeight="true" outlineLevel="0" collapsed="false">
      <c r="A591" s="38" t="s">
        <v>129</v>
      </c>
      <c r="B591" s="31" t="n">
        <v>17</v>
      </c>
      <c r="C591" s="39" t="s">
        <v>334</v>
      </c>
      <c r="D591" s="31" t="n">
        <v>23</v>
      </c>
      <c r="E591" s="40" t="n">
        <v>1</v>
      </c>
      <c r="F591" s="40" t="n">
        <v>0.695652173913044</v>
      </c>
      <c r="G591" s="40" t="n">
        <v>0.478260869565217</v>
      </c>
      <c r="H591" s="40" t="n">
        <v>0.521739130434783</v>
      </c>
      <c r="I591" s="32"/>
      <c r="J591" s="32"/>
      <c r="K591" s="32"/>
      <c r="L591" s="32"/>
    </row>
    <row r="592" customFormat="false" ht="15" hidden="false" customHeight="true" outlineLevel="0" collapsed="false">
      <c r="A592" s="38" t="s">
        <v>130</v>
      </c>
      <c r="B592" s="31" t="n">
        <v>18</v>
      </c>
      <c r="C592" s="39" t="s">
        <v>334</v>
      </c>
      <c r="D592" s="31" t="n">
        <v>9</v>
      </c>
      <c r="E592" s="40" t="n">
        <v>1</v>
      </c>
      <c r="F592" s="40" t="n">
        <v>0.888888888888889</v>
      </c>
      <c r="G592" s="40" t="n">
        <v>0.777777777777778</v>
      </c>
      <c r="H592" s="32"/>
      <c r="I592" s="32"/>
      <c r="J592" s="32"/>
      <c r="K592" s="32"/>
      <c r="L592" s="32"/>
    </row>
    <row r="593" customFormat="false" ht="15" hidden="false" customHeight="true" outlineLevel="0" collapsed="false">
      <c r="A593" s="38" t="s">
        <v>132</v>
      </c>
      <c r="B593" s="31" t="n">
        <v>20</v>
      </c>
      <c r="C593" s="39" t="s">
        <v>334</v>
      </c>
      <c r="D593" s="31" t="n">
        <v>17</v>
      </c>
      <c r="E593" s="40" t="n">
        <v>1</v>
      </c>
      <c r="F593" s="32"/>
      <c r="G593" s="32"/>
      <c r="H593" s="32"/>
      <c r="I593" s="32"/>
      <c r="J593" s="32"/>
      <c r="K593" s="32"/>
      <c r="L593" s="32"/>
    </row>
    <row r="594" customFormat="false" ht="15" hidden="false" customHeight="true" outlineLevel="0" collapsed="false">
      <c r="A594" s="34" t="s">
        <v>335</v>
      </c>
      <c r="B594" s="36"/>
      <c r="C594" s="36"/>
      <c r="D594" s="36"/>
      <c r="E594" s="44" t="n">
        <v>1</v>
      </c>
      <c r="F594" s="44" t="n">
        <v>0.692307692307692</v>
      </c>
      <c r="G594" s="44" t="n">
        <v>0.615384615384615</v>
      </c>
      <c r="H594" s="44" t="n">
        <v>0.538461538461538</v>
      </c>
      <c r="I594" s="44" t="n">
        <v>0.538461538461538</v>
      </c>
      <c r="J594" s="44" t="n">
        <v>0.0384615384615385</v>
      </c>
      <c r="K594" s="44" t="n">
        <v>0.0769230769230769</v>
      </c>
      <c r="L594" s="44" t="n">
        <v>0.0384615384615385</v>
      </c>
    </row>
    <row r="595" customFormat="false" ht="15" hidden="false" customHeight="true" outlineLevel="0" collapsed="false">
      <c r="A595" s="34" t="s">
        <v>336</v>
      </c>
      <c r="B595" s="36"/>
      <c r="C595" s="36"/>
      <c r="D595" s="36"/>
      <c r="E595" s="44" t="n">
        <v>1</v>
      </c>
      <c r="F595" s="44" t="n">
        <v>0.678571428571429</v>
      </c>
      <c r="G595" s="44" t="n">
        <v>0.607142857142857</v>
      </c>
      <c r="H595" s="44" t="n">
        <v>0.535714285714286</v>
      </c>
      <c r="I595" s="44" t="n">
        <v>0.535714285714286</v>
      </c>
      <c r="J595" s="44" t="n">
        <v>0.0357142857142857</v>
      </c>
      <c r="K595" s="44" t="n">
        <v>0.0714285714285714</v>
      </c>
      <c r="L595" s="44" t="n">
        <v>0.0357142857142857</v>
      </c>
    </row>
    <row r="596" customFormat="false" ht="15" hidden="false" customHeight="true" outlineLevel="0" collapsed="false">
      <c r="A596" s="45" t="s">
        <v>364</v>
      </c>
      <c r="B596" s="45"/>
      <c r="C596" s="45"/>
      <c r="D596" s="45"/>
      <c r="E596" s="45"/>
      <c r="F596" s="45"/>
      <c r="G596" s="45"/>
      <c r="H596" s="45"/>
      <c r="I596" s="45"/>
      <c r="J596" s="45"/>
      <c r="K596" s="45"/>
      <c r="L596" s="45"/>
    </row>
    <row r="598" customFormat="false" ht="15" hidden="false" customHeight="true" outlineLevel="0" collapsed="false">
      <c r="A598" s="28" t="s">
        <v>322</v>
      </c>
      <c r="B598" s="28"/>
      <c r="C598" s="28"/>
      <c r="D598" s="28"/>
      <c r="E598" s="28"/>
      <c r="F598" s="28"/>
      <c r="G598" s="28"/>
      <c r="H598" s="28"/>
      <c r="I598" s="28"/>
      <c r="J598" s="28"/>
      <c r="K598" s="28"/>
    </row>
    <row r="599" customFormat="false" ht="15" hidden="false" customHeight="true" outlineLevel="0" collapsed="false">
      <c r="A599" s="12" t="s">
        <v>330</v>
      </c>
      <c r="B599" s="12" t="s">
        <v>331</v>
      </c>
      <c r="C599" s="12" t="s">
        <v>332</v>
      </c>
      <c r="D599" s="12" t="s">
        <v>333</v>
      </c>
      <c r="E599" s="37" t="n">
        <v>1</v>
      </c>
      <c r="F599" s="37" t="n">
        <v>2</v>
      </c>
      <c r="G599" s="37" t="n">
        <v>3</v>
      </c>
      <c r="H599" s="37" t="n">
        <v>4</v>
      </c>
      <c r="I599" s="37" t="n">
        <v>5</v>
      </c>
      <c r="J599" s="37" t="n">
        <v>6</v>
      </c>
      <c r="K599" s="37" t="n">
        <v>7</v>
      </c>
    </row>
    <row r="600" customFormat="false" ht="15" hidden="false" customHeight="true" outlineLevel="0" collapsed="false">
      <c r="A600" s="42" t="s">
        <v>124</v>
      </c>
      <c r="B600" s="31" t="n">
        <v>12</v>
      </c>
      <c r="C600" s="43" t="s">
        <v>338</v>
      </c>
      <c r="D600" s="31" t="n">
        <v>20</v>
      </c>
      <c r="E600" s="40" t="n">
        <v>1</v>
      </c>
      <c r="F600" s="40" t="n">
        <v>0.65</v>
      </c>
      <c r="G600" s="40" t="n">
        <v>0.75</v>
      </c>
      <c r="H600" s="40" t="n">
        <v>0.7</v>
      </c>
      <c r="I600" s="40" t="n">
        <v>0.05</v>
      </c>
      <c r="J600" s="40" t="n">
        <v>0.05</v>
      </c>
      <c r="K600" s="40" t="n">
        <v>0</v>
      </c>
    </row>
    <row r="601" customFormat="false" ht="15" hidden="false" customHeight="true" outlineLevel="0" collapsed="false">
      <c r="A601" s="38" t="s">
        <v>126</v>
      </c>
      <c r="B601" s="31" t="n">
        <v>14</v>
      </c>
      <c r="C601" s="39" t="s">
        <v>334</v>
      </c>
      <c r="D601" s="31" t="n">
        <v>19</v>
      </c>
      <c r="E601" s="40" t="n">
        <v>1</v>
      </c>
      <c r="F601" s="40" t="n">
        <v>0.736842105263158</v>
      </c>
      <c r="G601" s="40" t="n">
        <v>0.68421052631579</v>
      </c>
      <c r="H601" s="40" t="n">
        <v>0.789473684210526</v>
      </c>
      <c r="I601" s="40" t="n">
        <v>0.315789473684211</v>
      </c>
      <c r="J601" s="40" t="n">
        <v>0</v>
      </c>
      <c r="K601" s="40" t="n">
        <v>0.0526315789473684</v>
      </c>
    </row>
    <row r="602" customFormat="false" ht="15" hidden="false" customHeight="true" outlineLevel="0" collapsed="false">
      <c r="A602" s="38" t="s">
        <v>127</v>
      </c>
      <c r="B602" s="31" t="n">
        <v>15</v>
      </c>
      <c r="C602" s="39" t="s">
        <v>334</v>
      </c>
      <c r="D602" s="31" t="n">
        <v>10</v>
      </c>
      <c r="E602" s="40" t="n">
        <v>1</v>
      </c>
      <c r="F602" s="40" t="n">
        <v>0.7</v>
      </c>
      <c r="G602" s="40" t="n">
        <v>0.6</v>
      </c>
      <c r="H602" s="40" t="n">
        <v>0.6</v>
      </c>
      <c r="I602" s="40" t="n">
        <v>0</v>
      </c>
      <c r="J602" s="40" t="n">
        <v>0</v>
      </c>
      <c r="K602" s="32"/>
    </row>
    <row r="603" customFormat="false" ht="15" hidden="false" customHeight="true" outlineLevel="0" collapsed="false">
      <c r="A603" s="38" t="s">
        <v>129</v>
      </c>
      <c r="B603" s="31" t="n">
        <v>17</v>
      </c>
      <c r="C603" s="39" t="s">
        <v>334</v>
      </c>
      <c r="D603" s="31" t="n">
        <v>13</v>
      </c>
      <c r="E603" s="40" t="n">
        <v>1</v>
      </c>
      <c r="F603" s="40" t="n">
        <v>0.769230769230769</v>
      </c>
      <c r="G603" s="40" t="n">
        <v>0.692307692307692</v>
      </c>
      <c r="H603" s="40" t="n">
        <v>0.692307692307692</v>
      </c>
      <c r="I603" s="32"/>
      <c r="J603" s="32"/>
      <c r="K603" s="32"/>
    </row>
    <row r="604" customFormat="false" ht="15" hidden="false" customHeight="true" outlineLevel="0" collapsed="false">
      <c r="A604" s="38" t="s">
        <v>130</v>
      </c>
      <c r="B604" s="31" t="n">
        <v>18</v>
      </c>
      <c r="C604" s="39" t="s">
        <v>334</v>
      </c>
      <c r="D604" s="31" t="n">
        <v>2</v>
      </c>
      <c r="E604" s="40" t="n">
        <v>1</v>
      </c>
      <c r="F604" s="40" t="n">
        <v>1</v>
      </c>
      <c r="G604" s="40" t="n">
        <v>1</v>
      </c>
      <c r="H604" s="32"/>
      <c r="I604" s="32"/>
      <c r="J604" s="32"/>
      <c r="K604" s="32"/>
    </row>
    <row r="605" customFormat="false" ht="15" hidden="false" customHeight="true" outlineLevel="0" collapsed="false">
      <c r="A605" s="38" t="s">
        <v>132</v>
      </c>
      <c r="B605" s="31" t="n">
        <v>20</v>
      </c>
      <c r="C605" s="39" t="s">
        <v>334</v>
      </c>
      <c r="D605" s="31" t="n">
        <v>7</v>
      </c>
      <c r="E605" s="40" t="n">
        <v>1</v>
      </c>
      <c r="F605" s="32"/>
      <c r="G605" s="32"/>
      <c r="H605" s="32"/>
      <c r="I605" s="32"/>
      <c r="J605" s="32"/>
      <c r="K605" s="32"/>
    </row>
    <row r="606" customFormat="false" ht="15" hidden="false" customHeight="true" outlineLevel="0" collapsed="false">
      <c r="A606" s="34" t="s">
        <v>335</v>
      </c>
      <c r="B606" s="36"/>
      <c r="C606" s="36"/>
      <c r="D606" s="36"/>
      <c r="E606" s="44" t="n">
        <v>1</v>
      </c>
      <c r="F606" s="44" t="n">
        <v>0.65</v>
      </c>
      <c r="G606" s="44" t="n">
        <v>0.75</v>
      </c>
      <c r="H606" s="44" t="n">
        <v>0.7</v>
      </c>
      <c r="I606" s="44" t="n">
        <v>0.05</v>
      </c>
      <c r="J606" s="44" t="n">
        <v>0.05</v>
      </c>
      <c r="K606" s="44" t="n">
        <v>0</v>
      </c>
    </row>
    <row r="607" customFormat="false" ht="15" hidden="false" customHeight="true" outlineLevel="0" collapsed="false">
      <c r="A607" s="34" t="s">
        <v>336</v>
      </c>
      <c r="B607" s="36"/>
      <c r="C607" s="36"/>
      <c r="D607" s="36"/>
      <c r="E607" s="44" t="n">
        <v>1</v>
      </c>
      <c r="F607" s="44" t="n">
        <v>0.65</v>
      </c>
      <c r="G607" s="44" t="n">
        <v>0.75</v>
      </c>
      <c r="H607" s="44" t="n">
        <v>0.7</v>
      </c>
      <c r="I607" s="44" t="n">
        <v>0.05</v>
      </c>
      <c r="J607" s="44" t="n">
        <v>0.05</v>
      </c>
      <c r="K607" s="44" t="n">
        <v>0</v>
      </c>
    </row>
    <row r="608" customFormat="false" ht="15" hidden="false" customHeight="true" outlineLevel="0" collapsed="false">
      <c r="A608" s="45" t="s">
        <v>365</v>
      </c>
      <c r="B608" s="45"/>
      <c r="C608" s="45"/>
      <c r="D608" s="45"/>
      <c r="E608" s="45"/>
      <c r="F608" s="45"/>
      <c r="G608" s="45"/>
      <c r="H608" s="45"/>
      <c r="I608" s="45"/>
      <c r="J608" s="45"/>
      <c r="K608" s="45"/>
    </row>
    <row r="610" customFormat="false" ht="15" hidden="false" customHeight="true" outlineLevel="0" collapsed="false">
      <c r="A610" s="28" t="s">
        <v>323</v>
      </c>
      <c r="B610" s="28"/>
      <c r="C610" s="28"/>
      <c r="D610" s="28"/>
      <c r="E610" s="28"/>
      <c r="F610" s="28"/>
      <c r="G610" s="28"/>
      <c r="H610" s="28"/>
      <c r="I610" s="28"/>
      <c r="J610" s="28"/>
      <c r="K610" s="28"/>
      <c r="L610" s="28"/>
      <c r="M610" s="28"/>
      <c r="N610" s="28"/>
      <c r="O610" s="28"/>
      <c r="P610" s="28"/>
      <c r="Q610" s="28"/>
      <c r="R610" s="28"/>
      <c r="S610" s="28"/>
      <c r="T610" s="28"/>
      <c r="U610" s="28"/>
      <c r="V610" s="28"/>
    </row>
    <row r="611" customFormat="false" ht="15" hidden="false" customHeight="true" outlineLevel="0" collapsed="false">
      <c r="A611" s="12" t="s">
        <v>330</v>
      </c>
      <c r="B611" s="12" t="s">
        <v>331</v>
      </c>
      <c r="C611" s="12" t="s">
        <v>332</v>
      </c>
      <c r="D611" s="12" t="s">
        <v>333</v>
      </c>
      <c r="E611" s="37" t="n">
        <v>1</v>
      </c>
      <c r="F611" s="37" t="n">
        <v>2</v>
      </c>
      <c r="G611" s="37" t="n">
        <v>3</v>
      </c>
      <c r="H611" s="37" t="n">
        <v>4</v>
      </c>
      <c r="I611" s="37" t="n">
        <v>5</v>
      </c>
      <c r="J611" s="37" t="n">
        <v>6</v>
      </c>
      <c r="K611" s="37" t="n">
        <v>7</v>
      </c>
      <c r="L611" s="37" t="n">
        <v>8</v>
      </c>
      <c r="M611" s="37" t="n">
        <v>9</v>
      </c>
      <c r="N611" s="37" t="n">
        <v>10</v>
      </c>
      <c r="O611" s="37" t="n">
        <v>11</v>
      </c>
      <c r="P611" s="37" t="n">
        <v>12</v>
      </c>
      <c r="Q611" s="37" t="n">
        <v>13</v>
      </c>
      <c r="R611" s="37" t="n">
        <v>14</v>
      </c>
      <c r="S611" s="37" t="n">
        <v>15</v>
      </c>
      <c r="T611" s="37" t="n">
        <v>16</v>
      </c>
      <c r="U611" s="37" t="n">
        <v>17</v>
      </c>
      <c r="V611" s="37" t="n">
        <v>18</v>
      </c>
    </row>
    <row r="612" customFormat="false" ht="15" hidden="false" customHeight="true" outlineLevel="0" collapsed="false">
      <c r="A612" s="42" t="s">
        <v>114</v>
      </c>
      <c r="B612" s="31" t="n">
        <v>2</v>
      </c>
      <c r="C612" s="43" t="s">
        <v>338</v>
      </c>
      <c r="D612" s="31" t="n">
        <v>85</v>
      </c>
      <c r="E612" s="40" t="n">
        <v>1</v>
      </c>
      <c r="F612" s="40" t="n">
        <v>0.882352941176471</v>
      </c>
      <c r="G612" s="40" t="n">
        <v>0.741176470588235</v>
      </c>
      <c r="H612" s="40" t="n">
        <v>0.835294117647059</v>
      </c>
      <c r="I612" s="40" t="n">
        <v>0.776470588235294</v>
      </c>
      <c r="J612" s="40" t="n">
        <v>0.705882352941177</v>
      </c>
      <c r="K612" s="40" t="n">
        <v>0.729411764705882</v>
      </c>
      <c r="L612" s="40" t="n">
        <v>0.270588235294118</v>
      </c>
      <c r="M612" s="40" t="n">
        <v>0.0941176470588235</v>
      </c>
      <c r="N612" s="40" t="n">
        <v>0.0823529411764706</v>
      </c>
      <c r="O612" s="40" t="n">
        <v>0.0470588235294118</v>
      </c>
      <c r="P612" s="40" t="n">
        <v>0.0352941176470588</v>
      </c>
      <c r="Q612" s="40" t="n">
        <v>0.0235294117647059</v>
      </c>
      <c r="R612" s="40" t="n">
        <v>0</v>
      </c>
      <c r="S612" s="40" t="n">
        <v>0</v>
      </c>
      <c r="T612" s="40" t="n">
        <v>0</v>
      </c>
      <c r="U612" s="40" t="n">
        <v>0</v>
      </c>
      <c r="V612" s="40" t="n">
        <v>0</v>
      </c>
    </row>
    <row r="613" customFormat="false" ht="15" hidden="false" customHeight="true" outlineLevel="0" collapsed="false">
      <c r="A613" s="42" t="s">
        <v>115</v>
      </c>
      <c r="B613" s="31" t="n">
        <v>3</v>
      </c>
      <c r="C613" s="43" t="s">
        <v>338</v>
      </c>
      <c r="D613" s="31" t="n">
        <v>80</v>
      </c>
      <c r="E613" s="40" t="n">
        <v>1</v>
      </c>
      <c r="F613" s="40" t="n">
        <v>0.925</v>
      </c>
      <c r="G613" s="40" t="n">
        <v>0.8875</v>
      </c>
      <c r="H613" s="40" t="n">
        <v>0.8125</v>
      </c>
      <c r="I613" s="40" t="n">
        <v>0.725</v>
      </c>
      <c r="J613" s="40" t="n">
        <v>0.775</v>
      </c>
      <c r="K613" s="40" t="n">
        <v>0.725</v>
      </c>
      <c r="L613" s="40" t="n">
        <v>0.1375</v>
      </c>
      <c r="M613" s="40" t="n">
        <v>0.1</v>
      </c>
      <c r="N613" s="40" t="n">
        <v>0.075</v>
      </c>
      <c r="O613" s="40" t="n">
        <v>0.05</v>
      </c>
      <c r="P613" s="40" t="n">
        <v>0.025</v>
      </c>
      <c r="Q613" s="40" t="n">
        <v>0</v>
      </c>
      <c r="R613" s="40" t="n">
        <v>0.0125</v>
      </c>
      <c r="S613" s="40" t="n">
        <v>0.025</v>
      </c>
      <c r="T613" s="40" t="n">
        <v>0.025</v>
      </c>
      <c r="U613" s="40" t="n">
        <v>0.025</v>
      </c>
      <c r="V613" s="40" t="n">
        <v>0.025</v>
      </c>
    </row>
    <row r="614" customFormat="false" ht="15" hidden="false" customHeight="true" outlineLevel="0" collapsed="false">
      <c r="A614" s="42" t="s">
        <v>116</v>
      </c>
      <c r="B614" s="31" t="n">
        <v>4</v>
      </c>
      <c r="C614" s="43" t="s">
        <v>338</v>
      </c>
      <c r="D614" s="31" t="n">
        <v>1</v>
      </c>
      <c r="E614" s="40" t="n">
        <v>1</v>
      </c>
      <c r="F614" s="40" t="n">
        <v>1</v>
      </c>
      <c r="G614" s="40" t="n">
        <v>0</v>
      </c>
      <c r="H614" s="40" t="n">
        <v>0</v>
      </c>
      <c r="I614" s="40" t="n">
        <v>0</v>
      </c>
      <c r="J614" s="40" t="n">
        <v>0</v>
      </c>
      <c r="K614" s="40" t="n">
        <v>0</v>
      </c>
      <c r="L614" s="40" t="n">
        <v>0</v>
      </c>
      <c r="M614" s="40" t="n">
        <v>0</v>
      </c>
      <c r="N614" s="40" t="n">
        <v>0</v>
      </c>
      <c r="O614" s="40" t="n">
        <v>0</v>
      </c>
      <c r="P614" s="40" t="n">
        <v>0</v>
      </c>
      <c r="Q614" s="40" t="n">
        <v>0</v>
      </c>
      <c r="R614" s="40" t="n">
        <v>0</v>
      </c>
      <c r="S614" s="40" t="n">
        <v>0</v>
      </c>
      <c r="T614" s="40" t="n">
        <v>0</v>
      </c>
      <c r="U614" s="40" t="n">
        <v>0</v>
      </c>
      <c r="V614" s="32"/>
    </row>
    <row r="615" customFormat="false" ht="15" hidden="false" customHeight="true" outlineLevel="0" collapsed="false">
      <c r="A615" s="42" t="s">
        <v>117</v>
      </c>
      <c r="B615" s="31" t="n">
        <v>5</v>
      </c>
      <c r="C615" s="43" t="s">
        <v>338</v>
      </c>
      <c r="D615" s="31" t="n">
        <v>115</v>
      </c>
      <c r="E615" s="40" t="n">
        <v>1</v>
      </c>
      <c r="F615" s="40" t="n">
        <v>0.88695652173913</v>
      </c>
      <c r="G615" s="40" t="n">
        <v>0.695652173913044</v>
      </c>
      <c r="H615" s="40" t="n">
        <v>0.730434782608696</v>
      </c>
      <c r="I615" s="40" t="n">
        <v>0.721739130434783</v>
      </c>
      <c r="J615" s="40" t="n">
        <v>0.686956521739131</v>
      </c>
      <c r="K615" s="40" t="n">
        <v>0.643478260869565</v>
      </c>
      <c r="L615" s="40" t="n">
        <v>0.278260869565217</v>
      </c>
      <c r="M615" s="40" t="n">
        <v>0.182608695652174</v>
      </c>
      <c r="N615" s="40" t="n">
        <v>0.104347826086957</v>
      </c>
      <c r="O615" s="40" t="n">
        <v>0.0608695652173913</v>
      </c>
      <c r="P615" s="40" t="n">
        <v>0.0434782608695652</v>
      </c>
      <c r="Q615" s="40" t="n">
        <v>0.0260869565217391</v>
      </c>
      <c r="R615" s="40" t="n">
        <v>0.00869565217391304</v>
      </c>
      <c r="S615" s="40" t="n">
        <v>0.00869565217391304</v>
      </c>
      <c r="T615" s="40" t="n">
        <v>0</v>
      </c>
      <c r="U615" s="32"/>
      <c r="V615" s="32"/>
    </row>
    <row r="616" customFormat="false" ht="15" hidden="false" customHeight="true" outlineLevel="0" collapsed="false">
      <c r="A616" s="42" t="s">
        <v>118</v>
      </c>
      <c r="B616" s="31" t="n">
        <v>6</v>
      </c>
      <c r="C616" s="43" t="s">
        <v>338</v>
      </c>
      <c r="D616" s="31" t="n">
        <v>115</v>
      </c>
      <c r="E616" s="40" t="n">
        <v>1</v>
      </c>
      <c r="F616" s="40" t="n">
        <v>0.826086956521739</v>
      </c>
      <c r="G616" s="40" t="n">
        <v>0.791304347826087</v>
      </c>
      <c r="H616" s="40" t="n">
        <v>0.71304347826087</v>
      </c>
      <c r="I616" s="40" t="n">
        <v>0.652173913043478</v>
      </c>
      <c r="J616" s="40" t="n">
        <v>0.660869565217391</v>
      </c>
      <c r="K616" s="40" t="n">
        <v>0.652173913043478</v>
      </c>
      <c r="L616" s="40" t="n">
        <v>0.226086956521739</v>
      </c>
      <c r="M616" s="40" t="n">
        <v>0.182608695652174</v>
      </c>
      <c r="N616" s="40" t="n">
        <v>0.104347826086957</v>
      </c>
      <c r="O616" s="40" t="n">
        <v>0.0608695652173913</v>
      </c>
      <c r="P616" s="40" t="n">
        <v>0.0521739130434783</v>
      </c>
      <c r="Q616" s="40" t="n">
        <v>0.0260869565217391</v>
      </c>
      <c r="R616" s="40" t="n">
        <v>0.0173913043478261</v>
      </c>
      <c r="S616" s="40" t="n">
        <v>0.0173913043478261</v>
      </c>
      <c r="T616" s="32"/>
      <c r="U616" s="32"/>
      <c r="V616" s="32"/>
    </row>
    <row r="617" customFormat="false" ht="15" hidden="false" customHeight="true" outlineLevel="0" collapsed="false">
      <c r="A617" s="42" t="s">
        <v>119</v>
      </c>
      <c r="B617" s="31" t="n">
        <v>7</v>
      </c>
      <c r="C617" s="43" t="s">
        <v>338</v>
      </c>
      <c r="D617" s="31" t="n">
        <v>3</v>
      </c>
      <c r="E617" s="40" t="n">
        <v>1</v>
      </c>
      <c r="F617" s="40" t="n">
        <v>1</v>
      </c>
      <c r="G617" s="40" t="n">
        <v>1</v>
      </c>
      <c r="H617" s="40" t="n">
        <v>1</v>
      </c>
      <c r="I617" s="40" t="n">
        <v>1</v>
      </c>
      <c r="J617" s="40" t="n">
        <v>1</v>
      </c>
      <c r="K617" s="40" t="n">
        <v>0.666666666666667</v>
      </c>
      <c r="L617" s="40" t="n">
        <v>0.333333333333333</v>
      </c>
      <c r="M617" s="40" t="n">
        <v>0</v>
      </c>
      <c r="N617" s="40" t="n">
        <v>0</v>
      </c>
      <c r="O617" s="40" t="n">
        <v>0</v>
      </c>
      <c r="P617" s="40" t="n">
        <v>0</v>
      </c>
      <c r="Q617" s="40" t="n">
        <v>0</v>
      </c>
      <c r="R617" s="40" t="n">
        <v>0</v>
      </c>
      <c r="S617" s="32"/>
      <c r="T617" s="32"/>
      <c r="U617" s="32"/>
      <c r="V617" s="32"/>
    </row>
    <row r="618" customFormat="false" ht="15" hidden="false" customHeight="true" outlineLevel="0" collapsed="false">
      <c r="A618" s="42" t="s">
        <v>120</v>
      </c>
      <c r="B618" s="31" t="n">
        <v>8</v>
      </c>
      <c r="C618" s="43" t="s">
        <v>338</v>
      </c>
      <c r="D618" s="31" t="n">
        <v>120</v>
      </c>
      <c r="E618" s="40" t="n">
        <v>1</v>
      </c>
      <c r="F618" s="40" t="n">
        <v>0.908333333333333</v>
      </c>
      <c r="G618" s="40" t="n">
        <v>0.758333333333333</v>
      </c>
      <c r="H618" s="40" t="n">
        <v>0.808333333333333</v>
      </c>
      <c r="I618" s="40" t="n">
        <v>0.783333333333333</v>
      </c>
      <c r="J618" s="40" t="n">
        <v>0.741666666666667</v>
      </c>
      <c r="K618" s="40" t="n">
        <v>0.775</v>
      </c>
      <c r="L618" s="40" t="n">
        <v>0.341666666666667</v>
      </c>
      <c r="M618" s="40" t="n">
        <v>0.166666666666667</v>
      </c>
      <c r="N618" s="40" t="n">
        <v>0.075</v>
      </c>
      <c r="O618" s="40" t="n">
        <v>0.0333333333333333</v>
      </c>
      <c r="P618" s="40" t="n">
        <v>0.0166666666666667</v>
      </c>
      <c r="Q618" s="40" t="n">
        <v>0.0166666666666667</v>
      </c>
      <c r="R618" s="32"/>
      <c r="S618" s="32"/>
      <c r="T618" s="32"/>
      <c r="U618" s="32"/>
      <c r="V618" s="32"/>
    </row>
    <row r="619" customFormat="false" ht="15" hidden="false" customHeight="true" outlineLevel="0" collapsed="false">
      <c r="A619" s="42" t="s">
        <v>121</v>
      </c>
      <c r="B619" s="31" t="n">
        <v>9</v>
      </c>
      <c r="C619" s="43" t="s">
        <v>338</v>
      </c>
      <c r="D619" s="31" t="n">
        <v>54</v>
      </c>
      <c r="E619" s="40" t="n">
        <v>1</v>
      </c>
      <c r="F619" s="40" t="n">
        <v>0.777777777777778</v>
      </c>
      <c r="G619" s="40" t="n">
        <v>0.833333333333333</v>
      </c>
      <c r="H619" s="40" t="n">
        <v>0.685185185185185</v>
      </c>
      <c r="I619" s="40" t="n">
        <v>0.62962962962963</v>
      </c>
      <c r="J619" s="40" t="n">
        <v>0.759259259259259</v>
      </c>
      <c r="K619" s="40" t="n">
        <v>0.703703703703704</v>
      </c>
      <c r="L619" s="40" t="n">
        <v>0.296296296296296</v>
      </c>
      <c r="M619" s="40" t="n">
        <v>0.240740740740741</v>
      </c>
      <c r="N619" s="40" t="n">
        <v>0.166666666666667</v>
      </c>
      <c r="O619" s="40" t="n">
        <v>0.12962962962963</v>
      </c>
      <c r="P619" s="40" t="n">
        <v>0.0740740740740741</v>
      </c>
      <c r="Q619" s="32"/>
      <c r="R619" s="32"/>
      <c r="S619" s="32"/>
      <c r="T619" s="32"/>
      <c r="U619" s="32"/>
      <c r="V619" s="32"/>
    </row>
    <row r="620" customFormat="false" ht="15" hidden="false" customHeight="true" outlineLevel="0" collapsed="false">
      <c r="A620" s="42" t="s">
        <v>122</v>
      </c>
      <c r="B620" s="31" t="n">
        <v>10</v>
      </c>
      <c r="C620" s="43" t="s">
        <v>338</v>
      </c>
      <c r="D620" s="31" t="n">
        <v>1</v>
      </c>
      <c r="E620" s="40" t="n">
        <v>1</v>
      </c>
      <c r="F620" s="40" t="n">
        <v>1</v>
      </c>
      <c r="G620" s="40" t="n">
        <v>1</v>
      </c>
      <c r="H620" s="40" t="n">
        <v>1</v>
      </c>
      <c r="I620" s="40" t="n">
        <v>0</v>
      </c>
      <c r="J620" s="40" t="n">
        <v>0</v>
      </c>
      <c r="K620" s="40" t="n">
        <v>0</v>
      </c>
      <c r="L620" s="40" t="n">
        <v>0</v>
      </c>
      <c r="M620" s="40" t="n">
        <v>0</v>
      </c>
      <c r="N620" s="40" t="n">
        <v>0</v>
      </c>
      <c r="O620" s="40" t="n">
        <v>0</v>
      </c>
      <c r="P620" s="32"/>
      <c r="Q620" s="32"/>
      <c r="R620" s="32"/>
      <c r="S620" s="32"/>
      <c r="T620" s="32"/>
      <c r="U620" s="32"/>
      <c r="V620" s="32"/>
    </row>
    <row r="621" customFormat="false" ht="15" hidden="false" customHeight="true" outlineLevel="0" collapsed="false">
      <c r="A621" s="42" t="s">
        <v>123</v>
      </c>
      <c r="B621" s="31" t="n">
        <v>11</v>
      </c>
      <c r="C621" s="43" t="s">
        <v>338</v>
      </c>
      <c r="D621" s="31" t="n">
        <v>125</v>
      </c>
      <c r="E621" s="40" t="n">
        <v>1</v>
      </c>
      <c r="F621" s="40" t="n">
        <v>0.936</v>
      </c>
      <c r="G621" s="40" t="n">
        <v>0.792</v>
      </c>
      <c r="H621" s="40" t="n">
        <v>0.848</v>
      </c>
      <c r="I621" s="40" t="n">
        <v>0.744</v>
      </c>
      <c r="J621" s="40" t="n">
        <v>0.744</v>
      </c>
      <c r="K621" s="40" t="n">
        <v>0.736</v>
      </c>
      <c r="L621" s="40" t="n">
        <v>0.68</v>
      </c>
      <c r="M621" s="40" t="n">
        <v>0.608</v>
      </c>
      <c r="N621" s="40" t="n">
        <v>0.232</v>
      </c>
      <c r="O621" s="32"/>
      <c r="P621" s="32"/>
      <c r="Q621" s="32"/>
      <c r="R621" s="32"/>
      <c r="S621" s="32"/>
      <c r="T621" s="32"/>
      <c r="U621" s="32"/>
      <c r="V621" s="32"/>
    </row>
    <row r="622" customFormat="false" ht="15" hidden="false" customHeight="true" outlineLevel="0" collapsed="false">
      <c r="A622" s="42" t="s">
        <v>124</v>
      </c>
      <c r="B622" s="31" t="n">
        <v>12</v>
      </c>
      <c r="C622" s="43" t="s">
        <v>338</v>
      </c>
      <c r="D622" s="31" t="n">
        <v>72</v>
      </c>
      <c r="E622" s="40" t="n">
        <v>1</v>
      </c>
      <c r="F622" s="40" t="n">
        <v>0.75</v>
      </c>
      <c r="G622" s="40" t="n">
        <v>0.708333333333333</v>
      </c>
      <c r="H622" s="40" t="n">
        <v>0.75</v>
      </c>
      <c r="I622" s="40" t="n">
        <v>0.694444444444444</v>
      </c>
      <c r="J622" s="40" t="n">
        <v>0.666666666666667</v>
      </c>
      <c r="K622" s="40" t="n">
        <v>0.625</v>
      </c>
      <c r="L622" s="40" t="n">
        <v>0.472222222222222</v>
      </c>
      <c r="M622" s="40" t="n">
        <v>0.416666666666667</v>
      </c>
      <c r="N622" s="32"/>
      <c r="O622" s="32"/>
      <c r="P622" s="32"/>
      <c r="Q622" s="32"/>
      <c r="R622" s="32"/>
      <c r="S622" s="32"/>
      <c r="T622" s="32"/>
      <c r="U622" s="32"/>
      <c r="V622" s="32"/>
    </row>
    <row r="623" customFormat="false" ht="15" hidden="false" customHeight="true" outlineLevel="0" collapsed="false">
      <c r="A623" s="38" t="s">
        <v>126</v>
      </c>
      <c r="B623" s="31" t="n">
        <v>14</v>
      </c>
      <c r="C623" s="39" t="s">
        <v>334</v>
      </c>
      <c r="D623" s="31" t="n">
        <v>111</v>
      </c>
      <c r="E623" s="40" t="n">
        <v>1</v>
      </c>
      <c r="F623" s="40" t="n">
        <v>0.90990990990991</v>
      </c>
      <c r="G623" s="40" t="n">
        <v>0.828828828828829</v>
      </c>
      <c r="H623" s="40" t="n">
        <v>0.783783783783784</v>
      </c>
      <c r="I623" s="40" t="n">
        <v>0.738738738738739</v>
      </c>
      <c r="J623" s="40" t="n">
        <v>0.720720720720721</v>
      </c>
      <c r="K623" s="40" t="n">
        <v>0.693693693693694</v>
      </c>
      <c r="L623" s="32"/>
      <c r="M623" s="32"/>
      <c r="N623" s="32"/>
      <c r="O623" s="32"/>
      <c r="P623" s="32"/>
      <c r="Q623" s="32"/>
      <c r="R623" s="32"/>
      <c r="S623" s="32"/>
      <c r="T623" s="32"/>
      <c r="U623" s="32"/>
      <c r="V623" s="32"/>
    </row>
    <row r="624" customFormat="false" ht="15" hidden="false" customHeight="true" outlineLevel="0" collapsed="false">
      <c r="A624" s="38" t="s">
        <v>127</v>
      </c>
      <c r="B624" s="31" t="n">
        <v>15</v>
      </c>
      <c r="C624" s="39" t="s">
        <v>334</v>
      </c>
      <c r="D624" s="31" t="n">
        <v>62</v>
      </c>
      <c r="E624" s="40" t="n">
        <v>1</v>
      </c>
      <c r="F624" s="40" t="n">
        <v>0.935483870967742</v>
      </c>
      <c r="G624" s="40" t="n">
        <v>0.903225806451613</v>
      </c>
      <c r="H624" s="40" t="n">
        <v>0.887096774193548</v>
      </c>
      <c r="I624" s="40" t="n">
        <v>0.838709677419355</v>
      </c>
      <c r="J624" s="40" t="n">
        <v>0.806451612903226</v>
      </c>
      <c r="K624" s="32"/>
      <c r="L624" s="32"/>
      <c r="M624" s="32"/>
      <c r="N624" s="32"/>
      <c r="O624" s="32"/>
      <c r="P624" s="32"/>
      <c r="Q624" s="32"/>
      <c r="R624" s="32"/>
      <c r="S624" s="32"/>
      <c r="T624" s="32"/>
      <c r="U624" s="32"/>
      <c r="V624" s="32"/>
    </row>
    <row r="625" customFormat="false" ht="15" hidden="false" customHeight="true" outlineLevel="0" collapsed="false">
      <c r="A625" s="38" t="s">
        <v>129</v>
      </c>
      <c r="B625" s="31" t="n">
        <v>17</v>
      </c>
      <c r="C625" s="39" t="s">
        <v>334</v>
      </c>
      <c r="D625" s="31" t="n">
        <v>118</v>
      </c>
      <c r="E625" s="40" t="n">
        <v>1</v>
      </c>
      <c r="F625" s="40" t="n">
        <v>0.940677966101695</v>
      </c>
      <c r="G625" s="40" t="n">
        <v>0.838983050847458</v>
      </c>
      <c r="H625" s="40" t="n">
        <v>0.822033898305085</v>
      </c>
      <c r="I625" s="32"/>
      <c r="J625" s="32"/>
      <c r="K625" s="32"/>
      <c r="L625" s="32"/>
      <c r="M625" s="32"/>
      <c r="N625" s="32"/>
      <c r="O625" s="32"/>
      <c r="P625" s="32"/>
      <c r="Q625" s="32"/>
      <c r="R625" s="32"/>
      <c r="S625" s="32"/>
      <c r="T625" s="32"/>
      <c r="U625" s="32"/>
      <c r="V625" s="32"/>
    </row>
    <row r="626" customFormat="false" ht="15" hidden="false" customHeight="true" outlineLevel="0" collapsed="false">
      <c r="A626" s="38" t="s">
        <v>130</v>
      </c>
      <c r="B626" s="31" t="n">
        <v>18</v>
      </c>
      <c r="C626" s="39" t="s">
        <v>334</v>
      </c>
      <c r="D626" s="31" t="n">
        <v>68</v>
      </c>
      <c r="E626" s="40" t="n">
        <v>1</v>
      </c>
      <c r="F626" s="40" t="n">
        <v>0.882352941176471</v>
      </c>
      <c r="G626" s="40" t="n">
        <v>0.882352941176471</v>
      </c>
      <c r="H626" s="32"/>
      <c r="I626" s="32"/>
      <c r="J626" s="32"/>
      <c r="K626" s="32"/>
      <c r="L626" s="32"/>
      <c r="M626" s="32"/>
      <c r="N626" s="32"/>
      <c r="O626" s="32"/>
      <c r="P626" s="32"/>
      <c r="Q626" s="32"/>
      <c r="R626" s="32"/>
      <c r="S626" s="32"/>
      <c r="T626" s="32"/>
      <c r="U626" s="32"/>
      <c r="V626" s="32"/>
    </row>
    <row r="627" customFormat="false" ht="15" hidden="false" customHeight="true" outlineLevel="0" collapsed="false">
      <c r="A627" s="38" t="s">
        <v>131</v>
      </c>
      <c r="B627" s="31" t="n">
        <v>19</v>
      </c>
      <c r="C627" s="39" t="s">
        <v>334</v>
      </c>
      <c r="D627" s="31" t="n">
        <v>2</v>
      </c>
      <c r="E627" s="40" t="n">
        <v>1</v>
      </c>
      <c r="F627" s="40" t="n">
        <v>1</v>
      </c>
      <c r="G627" s="32"/>
      <c r="H627" s="32"/>
      <c r="I627" s="32"/>
      <c r="J627" s="32"/>
      <c r="K627" s="32"/>
      <c r="L627" s="32"/>
      <c r="M627" s="32"/>
      <c r="N627" s="32"/>
      <c r="O627" s="32"/>
      <c r="P627" s="32"/>
      <c r="Q627" s="32"/>
      <c r="R627" s="32"/>
      <c r="S627" s="32"/>
      <c r="T627" s="32"/>
      <c r="U627" s="32"/>
      <c r="V627" s="32"/>
    </row>
    <row r="628" customFormat="false" ht="15" hidden="false" customHeight="true" outlineLevel="0" collapsed="false">
      <c r="A628" s="38" t="s">
        <v>132</v>
      </c>
      <c r="B628" s="31" t="n">
        <v>20</v>
      </c>
      <c r="C628" s="39" t="s">
        <v>334</v>
      </c>
      <c r="D628" s="31" t="n">
        <v>113</v>
      </c>
      <c r="E628" s="40" t="n">
        <v>1</v>
      </c>
      <c r="F628" s="32"/>
      <c r="G628" s="32"/>
      <c r="H628" s="32"/>
      <c r="I628" s="32"/>
      <c r="J628" s="32"/>
      <c r="K628" s="32"/>
      <c r="L628" s="32"/>
      <c r="M628" s="32"/>
      <c r="N628" s="32"/>
      <c r="O628" s="32"/>
      <c r="P628" s="32"/>
      <c r="Q628" s="32"/>
      <c r="R628" s="32"/>
      <c r="S628" s="32"/>
      <c r="T628" s="32"/>
      <c r="U628" s="32"/>
      <c r="V628" s="32"/>
    </row>
    <row r="629" customFormat="false" ht="15" hidden="false" customHeight="true" outlineLevel="0" collapsed="false">
      <c r="A629" s="34" t="s">
        <v>335</v>
      </c>
      <c r="B629" s="36"/>
      <c r="C629" s="36"/>
      <c r="D629" s="36"/>
      <c r="E629" s="44" t="n">
        <v>1</v>
      </c>
      <c r="F629" s="44" t="n">
        <v>0.872892347600519</v>
      </c>
      <c r="G629" s="44" t="n">
        <v>0.771725032425422</v>
      </c>
      <c r="H629" s="44" t="n">
        <v>0.778210116731518</v>
      </c>
      <c r="I629" s="44" t="n">
        <v>0.721141374837873</v>
      </c>
      <c r="J629" s="44" t="n">
        <v>0.714656290531777</v>
      </c>
      <c r="K629" s="44" t="n">
        <v>0.699092088197147</v>
      </c>
      <c r="L629" s="44" t="n">
        <v>0.348897535667964</v>
      </c>
      <c r="M629" s="44" t="n">
        <v>0.255512321660182</v>
      </c>
      <c r="N629" s="44" t="n">
        <v>0.108949416342413</v>
      </c>
      <c r="O629" s="44" t="n">
        <v>0.0428015564202335</v>
      </c>
      <c r="P629" s="44" t="n">
        <v>0.0285343709468223</v>
      </c>
      <c r="Q629" s="44" t="n">
        <v>0.012970168612192</v>
      </c>
      <c r="R629" s="44" t="n">
        <v>0.00518806744487678</v>
      </c>
      <c r="S629" s="44" t="n">
        <v>0.00648508430609598</v>
      </c>
      <c r="T629" s="44" t="n">
        <v>0.00259403372243839</v>
      </c>
      <c r="U629" s="44" t="n">
        <v>0.00259403372243839</v>
      </c>
      <c r="V629" s="44" t="n">
        <v>0.00259403372243839</v>
      </c>
    </row>
    <row r="630" customFormat="false" ht="15" hidden="false" customHeight="true" outlineLevel="0" collapsed="false">
      <c r="A630" s="34" t="s">
        <v>336</v>
      </c>
      <c r="B630" s="36"/>
      <c r="C630" s="36"/>
      <c r="D630" s="36"/>
      <c r="E630" s="44" t="n">
        <v>1</v>
      </c>
      <c r="F630" s="44" t="n">
        <v>0.899318866413496</v>
      </c>
      <c r="G630" s="44" t="n">
        <v>0.746148453847942</v>
      </c>
      <c r="H630" s="44" t="n">
        <v>0.743890081548649</v>
      </c>
      <c r="I630" s="44" t="n">
        <v>0.611526458101906</v>
      </c>
      <c r="J630" s="44" t="n">
        <v>0.612754639317299</v>
      </c>
      <c r="K630" s="44" t="n">
        <v>0.568766755362663</v>
      </c>
      <c r="L630" s="44" t="n">
        <v>0.275995870899963</v>
      </c>
      <c r="M630" s="44" t="n">
        <v>0.18103719203975</v>
      </c>
      <c r="N630" s="44" t="n">
        <v>0.083971526001705</v>
      </c>
      <c r="O630" s="44" t="n">
        <v>0.042417879658573</v>
      </c>
      <c r="P630" s="44" t="n">
        <v>0.0308358790376054</v>
      </c>
      <c r="Q630" s="44" t="n">
        <v>0.0131957130678358</v>
      </c>
      <c r="R630" s="44" t="n">
        <v>0.00643115942028986</v>
      </c>
      <c r="S630" s="44" t="n">
        <v>0.0102173913043478</v>
      </c>
      <c r="T630" s="44" t="n">
        <v>0.00625</v>
      </c>
      <c r="U630" s="44" t="n">
        <v>0.00833333333333333</v>
      </c>
      <c r="V630" s="44" t="n">
        <v>0.0125</v>
      </c>
    </row>
    <row r="631" customFormat="false" ht="15" hidden="false" customHeight="true" outlineLevel="0" collapsed="false">
      <c r="A631" s="45" t="s">
        <v>366</v>
      </c>
      <c r="B631" s="45"/>
      <c r="C631" s="45"/>
      <c r="D631" s="45"/>
      <c r="E631" s="45"/>
      <c r="F631" s="45"/>
      <c r="G631" s="45"/>
      <c r="H631" s="45"/>
      <c r="I631" s="45"/>
      <c r="J631" s="45"/>
      <c r="K631" s="45"/>
      <c r="L631" s="45"/>
      <c r="M631" s="45"/>
      <c r="N631" s="45"/>
      <c r="O631" s="45"/>
      <c r="P631" s="45"/>
      <c r="Q631" s="45"/>
      <c r="R631" s="45"/>
      <c r="S631" s="45"/>
      <c r="T631" s="45"/>
      <c r="U631" s="45"/>
      <c r="V631" s="45"/>
    </row>
    <row r="633" customFormat="false" ht="15" hidden="false" customHeight="true" outlineLevel="0" collapsed="false">
      <c r="A633" s="28" t="s">
        <v>324</v>
      </c>
      <c r="B633" s="28"/>
      <c r="C633" s="28"/>
      <c r="D633" s="28"/>
      <c r="E633" s="28"/>
      <c r="F633" s="28"/>
      <c r="G633" s="28"/>
      <c r="H633" s="28"/>
    </row>
    <row r="634" customFormat="false" ht="15" hidden="false" customHeight="true" outlineLevel="0" collapsed="false">
      <c r="A634" s="29" t="s">
        <v>329</v>
      </c>
      <c r="B634" s="29"/>
      <c r="C634" s="29"/>
      <c r="D634" s="29"/>
      <c r="E634" s="29"/>
      <c r="F634" s="29"/>
      <c r="G634" s="29"/>
      <c r="H634" s="29"/>
    </row>
    <row r="636" customFormat="false" ht="15" hidden="false" customHeight="true" outlineLevel="0" collapsed="false">
      <c r="A636" s="28" t="s">
        <v>325</v>
      </c>
      <c r="B636" s="28"/>
      <c r="C636" s="28"/>
      <c r="D636" s="28"/>
      <c r="E636" s="28"/>
      <c r="F636" s="28"/>
      <c r="G636" s="28"/>
      <c r="H636" s="28"/>
    </row>
    <row r="637" customFormat="false" ht="15" hidden="false" customHeight="true" outlineLevel="0" collapsed="false">
      <c r="A637" s="12" t="s">
        <v>330</v>
      </c>
      <c r="B637" s="12" t="s">
        <v>331</v>
      </c>
      <c r="C637" s="12" t="s">
        <v>332</v>
      </c>
      <c r="D637" s="12" t="s">
        <v>333</v>
      </c>
      <c r="E637" s="37" t="n">
        <v>1</v>
      </c>
      <c r="F637" s="37" t="n">
        <v>2</v>
      </c>
      <c r="G637" s="37" t="n">
        <v>3</v>
      </c>
      <c r="H637" s="37" t="n">
        <v>4</v>
      </c>
    </row>
    <row r="638" customFormat="false" ht="15" hidden="false" customHeight="true" outlineLevel="0" collapsed="false">
      <c r="A638" s="42" t="s">
        <v>117</v>
      </c>
      <c r="B638" s="31" t="n">
        <v>5</v>
      </c>
      <c r="C638" s="43" t="s">
        <v>338</v>
      </c>
      <c r="D638" s="31" t="n">
        <v>1</v>
      </c>
      <c r="E638" s="40" t="n">
        <v>1</v>
      </c>
      <c r="F638" s="40" t="n">
        <v>1</v>
      </c>
      <c r="G638" s="40" t="n">
        <v>1</v>
      </c>
      <c r="H638" s="40" t="n">
        <v>1</v>
      </c>
    </row>
    <row r="639" customFormat="false" ht="15" hidden="false" customHeight="true" outlineLevel="0" collapsed="false">
      <c r="A639" s="42" t="s">
        <v>118</v>
      </c>
      <c r="B639" s="31" t="n">
        <v>6</v>
      </c>
      <c r="C639" s="43" t="s">
        <v>338</v>
      </c>
      <c r="D639" s="31" t="n">
        <v>2</v>
      </c>
      <c r="E639" s="40" t="n">
        <v>1</v>
      </c>
      <c r="F639" s="40" t="n">
        <v>0</v>
      </c>
      <c r="G639" s="40" t="n">
        <v>0</v>
      </c>
      <c r="H639" s="40" t="n">
        <v>0</v>
      </c>
    </row>
    <row r="640" customFormat="false" ht="15" hidden="false" customHeight="true" outlineLevel="0" collapsed="false">
      <c r="A640" s="42" t="s">
        <v>120</v>
      </c>
      <c r="B640" s="31" t="n">
        <v>8</v>
      </c>
      <c r="C640" s="43" t="s">
        <v>338</v>
      </c>
      <c r="D640" s="31" t="n">
        <v>1</v>
      </c>
      <c r="E640" s="40" t="n">
        <v>1</v>
      </c>
      <c r="F640" s="40" t="n">
        <v>0</v>
      </c>
      <c r="G640" s="40" t="n">
        <v>0</v>
      </c>
      <c r="H640" s="40" t="n">
        <v>0</v>
      </c>
    </row>
    <row r="641" customFormat="false" ht="15" hidden="false" customHeight="true" outlineLevel="0" collapsed="false">
      <c r="A641" s="42" t="s">
        <v>123</v>
      </c>
      <c r="B641" s="31" t="n">
        <v>11</v>
      </c>
      <c r="C641" s="43" t="s">
        <v>338</v>
      </c>
      <c r="D641" s="31" t="n">
        <v>3</v>
      </c>
      <c r="E641" s="40" t="n">
        <v>1</v>
      </c>
      <c r="F641" s="40" t="n">
        <v>0.666666666666667</v>
      </c>
      <c r="G641" s="40" t="n">
        <v>0.666666666666667</v>
      </c>
      <c r="H641" s="40" t="n">
        <v>0.666666666666667</v>
      </c>
    </row>
    <row r="642" customFormat="false" ht="15" hidden="false" customHeight="true" outlineLevel="0" collapsed="false">
      <c r="A642" s="42" t="s">
        <v>124</v>
      </c>
      <c r="B642" s="31" t="n">
        <v>12</v>
      </c>
      <c r="C642" s="43" t="s">
        <v>338</v>
      </c>
      <c r="D642" s="31" t="n">
        <v>2</v>
      </c>
      <c r="E642" s="40" t="n">
        <v>1</v>
      </c>
      <c r="F642" s="40" t="n">
        <v>0.5</v>
      </c>
      <c r="G642" s="40" t="n">
        <v>0.5</v>
      </c>
      <c r="H642" s="40" t="n">
        <v>0.5</v>
      </c>
    </row>
    <row r="643" customFormat="false" ht="15" hidden="false" customHeight="true" outlineLevel="0" collapsed="false">
      <c r="A643" s="38" t="s">
        <v>126</v>
      </c>
      <c r="B643" s="31" t="n">
        <v>14</v>
      </c>
      <c r="C643" s="39" t="s">
        <v>334</v>
      </c>
      <c r="D643" s="31" t="n">
        <v>3</v>
      </c>
      <c r="E643" s="40" t="n">
        <v>1</v>
      </c>
      <c r="F643" s="40" t="n">
        <v>0.666666666666667</v>
      </c>
      <c r="G643" s="40" t="n">
        <v>0.666666666666667</v>
      </c>
      <c r="H643" s="40" t="n">
        <v>0.666666666666667</v>
      </c>
    </row>
    <row r="644" customFormat="false" ht="15" hidden="false" customHeight="true" outlineLevel="0" collapsed="false">
      <c r="A644" s="38" t="s">
        <v>127</v>
      </c>
      <c r="B644" s="31" t="n">
        <v>15</v>
      </c>
      <c r="C644" s="39" t="s">
        <v>334</v>
      </c>
      <c r="D644" s="31" t="n">
        <v>1</v>
      </c>
      <c r="E644" s="40" t="n">
        <v>1</v>
      </c>
      <c r="F644" s="40" t="n">
        <v>1</v>
      </c>
      <c r="G644" s="40" t="n">
        <v>1</v>
      </c>
      <c r="H644" s="40" t="n">
        <v>1</v>
      </c>
    </row>
    <row r="645" customFormat="false" ht="15" hidden="false" customHeight="true" outlineLevel="0" collapsed="false">
      <c r="A645" s="38" t="s">
        <v>130</v>
      </c>
      <c r="B645" s="31" t="n">
        <v>18</v>
      </c>
      <c r="C645" s="39" t="s">
        <v>334</v>
      </c>
      <c r="D645" s="31" t="n">
        <v>2</v>
      </c>
      <c r="E645" s="40" t="n">
        <v>1</v>
      </c>
      <c r="F645" s="40" t="n">
        <v>1</v>
      </c>
      <c r="G645" s="40" t="n">
        <v>0.5</v>
      </c>
      <c r="H645" s="32"/>
    </row>
    <row r="646" customFormat="false" ht="15" hidden="false" customHeight="true" outlineLevel="0" collapsed="false">
      <c r="A646" s="38" t="s">
        <v>132</v>
      </c>
      <c r="B646" s="31" t="n">
        <v>20</v>
      </c>
      <c r="C646" s="39" t="s">
        <v>334</v>
      </c>
      <c r="D646" s="31" t="n">
        <v>1</v>
      </c>
      <c r="E646" s="40" t="n">
        <v>1</v>
      </c>
      <c r="F646" s="32"/>
      <c r="G646" s="32"/>
      <c r="H646" s="32"/>
    </row>
    <row r="647" customFormat="false" ht="15" hidden="false" customHeight="true" outlineLevel="0" collapsed="false">
      <c r="A647" s="34" t="s">
        <v>335</v>
      </c>
      <c r="B647" s="36"/>
      <c r="C647" s="36"/>
      <c r="D647" s="36"/>
      <c r="E647" s="44" t="n">
        <v>1</v>
      </c>
      <c r="F647" s="44" t="n">
        <v>0.444444444444444</v>
      </c>
      <c r="G647" s="44" t="n">
        <v>0.444444444444444</v>
      </c>
      <c r="H647" s="44" t="n">
        <v>0.444444444444444</v>
      </c>
    </row>
    <row r="648" customFormat="false" ht="15" hidden="false" customHeight="true" outlineLevel="0" collapsed="false">
      <c r="A648" s="34" t="s">
        <v>336</v>
      </c>
      <c r="B648" s="36"/>
      <c r="C648" s="36"/>
      <c r="D648" s="36"/>
      <c r="E648" s="44" t="n">
        <v>1</v>
      </c>
      <c r="F648" s="44" t="n">
        <v>0.433333333333333</v>
      </c>
      <c r="G648" s="44" t="n">
        <v>0.433333333333333</v>
      </c>
      <c r="H648" s="44" t="n">
        <v>0.433333333333333</v>
      </c>
    </row>
    <row r="649" customFormat="false" ht="15" hidden="false" customHeight="true" outlineLevel="0" collapsed="false">
      <c r="A649" s="45" t="s">
        <v>367</v>
      </c>
      <c r="B649" s="45"/>
      <c r="C649" s="45"/>
      <c r="D649" s="45"/>
      <c r="E649" s="45"/>
      <c r="F649" s="45"/>
      <c r="G649" s="45"/>
      <c r="H649" s="45"/>
    </row>
    <row r="651" customFormat="false" ht="15" hidden="false" customHeight="true" outlineLevel="0" collapsed="false">
      <c r="A651" s="28" t="s">
        <v>326</v>
      </c>
      <c r="B651" s="28"/>
      <c r="C651" s="28"/>
      <c r="D651" s="28"/>
      <c r="E651" s="28"/>
      <c r="F651" s="28"/>
      <c r="G651" s="28"/>
      <c r="H651" s="28"/>
    </row>
    <row r="652" customFormat="false" ht="15" hidden="false" customHeight="true" outlineLevel="0" collapsed="false">
      <c r="A652" s="12" t="s">
        <v>330</v>
      </c>
      <c r="B652" s="12" t="s">
        <v>331</v>
      </c>
      <c r="C652" s="12" t="s">
        <v>332</v>
      </c>
      <c r="D652" s="12" t="s">
        <v>333</v>
      </c>
      <c r="E652" s="37" t="n">
        <v>1</v>
      </c>
      <c r="F652" s="37" t="n">
        <v>2</v>
      </c>
      <c r="G652" s="37" t="n">
        <v>3</v>
      </c>
      <c r="H652" s="37" t="n">
        <v>4</v>
      </c>
    </row>
    <row r="653" customFormat="false" ht="15" hidden="false" customHeight="true" outlineLevel="0" collapsed="false">
      <c r="A653" s="42" t="s">
        <v>116</v>
      </c>
      <c r="B653" s="31" t="n">
        <v>4</v>
      </c>
      <c r="C653" s="43" t="s">
        <v>338</v>
      </c>
      <c r="D653" s="31" t="n">
        <v>1</v>
      </c>
      <c r="E653" s="40" t="n">
        <v>1</v>
      </c>
      <c r="F653" s="40" t="n">
        <v>1</v>
      </c>
      <c r="G653" s="40" t="n">
        <v>1</v>
      </c>
      <c r="H653" s="40" t="n">
        <v>1</v>
      </c>
    </row>
    <row r="654" customFormat="false" ht="15" hidden="false" customHeight="true" outlineLevel="0" collapsed="false">
      <c r="A654" s="42" t="s">
        <v>117</v>
      </c>
      <c r="B654" s="31" t="n">
        <v>5</v>
      </c>
      <c r="C654" s="43" t="s">
        <v>338</v>
      </c>
      <c r="D654" s="31" t="n">
        <v>1</v>
      </c>
      <c r="E654" s="40" t="n">
        <v>1</v>
      </c>
      <c r="F654" s="40" t="n">
        <v>0</v>
      </c>
      <c r="G654" s="40" t="n">
        <v>0</v>
      </c>
      <c r="H654" s="40" t="n">
        <v>0</v>
      </c>
    </row>
    <row r="655" customFormat="false" ht="15" hidden="false" customHeight="true" outlineLevel="0" collapsed="false">
      <c r="A655" s="42" t="s">
        <v>119</v>
      </c>
      <c r="B655" s="31" t="n">
        <v>7</v>
      </c>
      <c r="C655" s="43" t="s">
        <v>338</v>
      </c>
      <c r="D655" s="31" t="n">
        <v>1</v>
      </c>
      <c r="E655" s="40" t="n">
        <v>1</v>
      </c>
      <c r="F655" s="40" t="n">
        <v>0</v>
      </c>
      <c r="G655" s="40" t="n">
        <v>0</v>
      </c>
      <c r="H655" s="40" t="n">
        <v>0</v>
      </c>
    </row>
    <row r="656" customFormat="false" ht="15" hidden="false" customHeight="true" outlineLevel="0" collapsed="false">
      <c r="A656" s="42" t="s">
        <v>120</v>
      </c>
      <c r="B656" s="31" t="n">
        <v>8</v>
      </c>
      <c r="C656" s="43" t="s">
        <v>338</v>
      </c>
      <c r="D656" s="31" t="n">
        <v>1</v>
      </c>
      <c r="E656" s="40" t="n">
        <v>1</v>
      </c>
      <c r="F656" s="40" t="n">
        <v>0</v>
      </c>
      <c r="G656" s="40" t="n">
        <v>0</v>
      </c>
      <c r="H656" s="40" t="n">
        <v>0</v>
      </c>
    </row>
    <row r="657" customFormat="false" ht="15" hidden="false" customHeight="true" outlineLevel="0" collapsed="false">
      <c r="A657" s="42" t="s">
        <v>121</v>
      </c>
      <c r="B657" s="31" t="n">
        <v>9</v>
      </c>
      <c r="C657" s="43" t="s">
        <v>338</v>
      </c>
      <c r="D657" s="31" t="n">
        <v>2</v>
      </c>
      <c r="E657" s="40" t="n">
        <v>1</v>
      </c>
      <c r="F657" s="40" t="n">
        <v>0.5</v>
      </c>
      <c r="G657" s="40" t="n">
        <v>0.5</v>
      </c>
      <c r="H657" s="40" t="n">
        <v>0.5</v>
      </c>
    </row>
    <row r="658" customFormat="false" ht="15" hidden="false" customHeight="true" outlineLevel="0" collapsed="false">
      <c r="A658" s="42" t="s">
        <v>122</v>
      </c>
      <c r="B658" s="31" t="n">
        <v>10</v>
      </c>
      <c r="C658" s="43" t="s">
        <v>338</v>
      </c>
      <c r="D658" s="31" t="n">
        <v>1</v>
      </c>
      <c r="E658" s="40" t="n">
        <v>1</v>
      </c>
      <c r="F658" s="40" t="n">
        <v>1</v>
      </c>
      <c r="G658" s="40" t="n">
        <v>1</v>
      </c>
      <c r="H658" s="40" t="n">
        <v>1</v>
      </c>
    </row>
    <row r="659" customFormat="false" ht="15" hidden="false" customHeight="true" outlineLevel="0" collapsed="false">
      <c r="A659" s="42" t="s">
        <v>123</v>
      </c>
      <c r="B659" s="31" t="n">
        <v>11</v>
      </c>
      <c r="C659" s="43" t="s">
        <v>338</v>
      </c>
      <c r="D659" s="31" t="n">
        <v>2</v>
      </c>
      <c r="E659" s="40" t="n">
        <v>1</v>
      </c>
      <c r="F659" s="40" t="n">
        <v>0</v>
      </c>
      <c r="G659" s="40" t="n">
        <v>0</v>
      </c>
      <c r="H659" s="40" t="n">
        <v>0</v>
      </c>
    </row>
    <row r="660" customFormat="false" ht="15" hidden="false" customHeight="true" outlineLevel="0" collapsed="false">
      <c r="A660" s="38" t="s">
        <v>125</v>
      </c>
      <c r="B660" s="31" t="n">
        <v>13</v>
      </c>
      <c r="C660" s="39" t="s">
        <v>334</v>
      </c>
      <c r="D660" s="31" t="n">
        <v>2</v>
      </c>
      <c r="E660" s="40" t="n">
        <v>1</v>
      </c>
      <c r="F660" s="40" t="n">
        <v>0.5</v>
      </c>
      <c r="G660" s="40" t="n">
        <v>0.5</v>
      </c>
      <c r="H660" s="40" t="n">
        <v>0.5</v>
      </c>
    </row>
    <row r="661" customFormat="false" ht="15" hidden="false" customHeight="true" outlineLevel="0" collapsed="false">
      <c r="A661" s="38" t="s">
        <v>127</v>
      </c>
      <c r="B661" s="31" t="n">
        <v>15</v>
      </c>
      <c r="C661" s="39" t="s">
        <v>334</v>
      </c>
      <c r="D661" s="31" t="n">
        <v>1</v>
      </c>
      <c r="E661" s="40" t="n">
        <v>1</v>
      </c>
      <c r="F661" s="40" t="n">
        <v>1</v>
      </c>
      <c r="G661" s="40" t="n">
        <v>1</v>
      </c>
      <c r="H661" s="40" t="n">
        <v>1</v>
      </c>
    </row>
    <row r="662" customFormat="false" ht="15" hidden="false" customHeight="true" outlineLevel="0" collapsed="false">
      <c r="A662" s="38" t="s">
        <v>129</v>
      </c>
      <c r="B662" s="31" t="n">
        <v>17</v>
      </c>
      <c r="C662" s="39" t="s">
        <v>334</v>
      </c>
      <c r="D662" s="31" t="n">
        <v>2</v>
      </c>
      <c r="E662" s="40" t="n">
        <v>1</v>
      </c>
      <c r="F662" s="40" t="n">
        <v>1</v>
      </c>
      <c r="G662" s="40" t="n">
        <v>0</v>
      </c>
      <c r="H662" s="40" t="n">
        <v>0.5</v>
      </c>
    </row>
    <row r="663" customFormat="false" ht="15" hidden="false" customHeight="true" outlineLevel="0" collapsed="false">
      <c r="A663" s="38" t="s">
        <v>130</v>
      </c>
      <c r="B663" s="31" t="n">
        <v>18</v>
      </c>
      <c r="C663" s="39" t="s">
        <v>334</v>
      </c>
      <c r="D663" s="31" t="n">
        <v>1</v>
      </c>
      <c r="E663" s="40" t="n">
        <v>1</v>
      </c>
      <c r="F663" s="40" t="n">
        <v>1</v>
      </c>
      <c r="G663" s="40" t="n">
        <v>1</v>
      </c>
      <c r="H663" s="32"/>
    </row>
    <row r="664" customFormat="false" ht="15" hidden="false" customHeight="true" outlineLevel="0" collapsed="false">
      <c r="A664" s="38" t="s">
        <v>131</v>
      </c>
      <c r="B664" s="31" t="n">
        <v>19</v>
      </c>
      <c r="C664" s="39" t="s">
        <v>334</v>
      </c>
      <c r="D664" s="31" t="n">
        <v>1</v>
      </c>
      <c r="E664" s="40" t="n">
        <v>1</v>
      </c>
      <c r="F664" s="40" t="n">
        <v>1</v>
      </c>
      <c r="G664" s="32"/>
      <c r="H664" s="32"/>
    </row>
    <row r="665" customFormat="false" ht="15" hidden="false" customHeight="true" outlineLevel="0" collapsed="false">
      <c r="A665" s="34" t="s">
        <v>335</v>
      </c>
      <c r="B665" s="36"/>
      <c r="C665" s="36"/>
      <c r="D665" s="36"/>
      <c r="E665" s="44" t="n">
        <v>1</v>
      </c>
      <c r="F665" s="44" t="n">
        <v>0.333333333333333</v>
      </c>
      <c r="G665" s="44" t="n">
        <v>0.333333333333333</v>
      </c>
      <c r="H665" s="44" t="n">
        <v>0.333333333333333</v>
      </c>
    </row>
    <row r="666" customFormat="false" ht="15" hidden="false" customHeight="true" outlineLevel="0" collapsed="false">
      <c r="A666" s="34" t="s">
        <v>336</v>
      </c>
      <c r="B666" s="36"/>
      <c r="C666" s="36"/>
      <c r="D666" s="36"/>
      <c r="E666" s="44" t="n">
        <v>1</v>
      </c>
      <c r="F666" s="44" t="n">
        <v>0.357142857142857</v>
      </c>
      <c r="G666" s="44" t="n">
        <v>0.357142857142857</v>
      </c>
      <c r="H666" s="44" t="n">
        <v>0.357142857142857</v>
      </c>
    </row>
    <row r="667" customFormat="false" ht="15" hidden="false" customHeight="true" outlineLevel="0" collapsed="false">
      <c r="A667" s="45" t="s">
        <v>368</v>
      </c>
      <c r="B667" s="45"/>
      <c r="C667" s="45"/>
      <c r="D667" s="45"/>
      <c r="E667" s="45"/>
      <c r="F667" s="45"/>
      <c r="G667" s="45"/>
      <c r="H667" s="45"/>
    </row>
    <row r="669" customFormat="false" ht="15" hidden="false" customHeight="true" outlineLevel="0" collapsed="false">
      <c r="A669" s="28" t="s">
        <v>327</v>
      </c>
      <c r="B669" s="28"/>
      <c r="C669" s="28"/>
      <c r="D669" s="28"/>
      <c r="E669" s="28"/>
      <c r="F669" s="28"/>
      <c r="G669" s="28"/>
      <c r="H669" s="28"/>
      <c r="I669" s="28"/>
      <c r="J669" s="28"/>
      <c r="K669" s="28"/>
      <c r="L669" s="28"/>
      <c r="M669" s="28"/>
      <c r="N669" s="28"/>
    </row>
    <row r="670" customFormat="false" ht="15" hidden="false" customHeight="true" outlineLevel="0" collapsed="false">
      <c r="A670" s="12" t="s">
        <v>330</v>
      </c>
      <c r="B670" s="12" t="s">
        <v>331</v>
      </c>
      <c r="C670" s="12" t="s">
        <v>332</v>
      </c>
      <c r="D670" s="12" t="s">
        <v>333</v>
      </c>
      <c r="E670" s="37" t="n">
        <v>1</v>
      </c>
      <c r="F670" s="37" t="n">
        <v>2</v>
      </c>
      <c r="G670" s="37" t="n">
        <v>3</v>
      </c>
      <c r="H670" s="37" t="n">
        <v>4</v>
      </c>
      <c r="I670" s="37" t="n">
        <v>5</v>
      </c>
      <c r="J670" s="37" t="n">
        <v>6</v>
      </c>
      <c r="K670" s="37" t="n">
        <v>7</v>
      </c>
      <c r="L670" s="37" t="n">
        <v>8</v>
      </c>
      <c r="M670" s="37" t="n">
        <v>9</v>
      </c>
      <c r="N670" s="37" t="n">
        <v>10</v>
      </c>
    </row>
    <row r="671" customFormat="false" ht="15" hidden="false" customHeight="true" outlineLevel="0" collapsed="false">
      <c r="A671" s="42" t="s">
        <v>115</v>
      </c>
      <c r="B671" s="31" t="n">
        <v>3</v>
      </c>
      <c r="C671" s="43" t="s">
        <v>338</v>
      </c>
      <c r="D671" s="31" t="n">
        <v>2</v>
      </c>
      <c r="E671" s="40" t="n">
        <v>1</v>
      </c>
      <c r="F671" s="40" t="n">
        <v>1</v>
      </c>
      <c r="G671" s="40" t="n">
        <v>0.5</v>
      </c>
      <c r="H671" s="40" t="n">
        <v>0.5</v>
      </c>
      <c r="I671" s="40" t="n">
        <v>0</v>
      </c>
      <c r="J671" s="40" t="n">
        <v>0</v>
      </c>
      <c r="K671" s="40" t="n">
        <v>0</v>
      </c>
      <c r="L671" s="40" t="n">
        <v>0</v>
      </c>
      <c r="M671" s="40" t="n">
        <v>0</v>
      </c>
      <c r="N671" s="40" t="n">
        <v>0</v>
      </c>
    </row>
    <row r="672" customFormat="false" ht="15" hidden="false" customHeight="true" outlineLevel="0" collapsed="false">
      <c r="A672" s="42" t="s">
        <v>116</v>
      </c>
      <c r="B672" s="31" t="n">
        <v>4</v>
      </c>
      <c r="C672" s="43" t="s">
        <v>338</v>
      </c>
      <c r="D672" s="31" t="n">
        <v>4</v>
      </c>
      <c r="E672" s="40" t="n">
        <v>1</v>
      </c>
      <c r="F672" s="40" t="n">
        <v>0.75</v>
      </c>
      <c r="G672" s="40" t="n">
        <v>0</v>
      </c>
      <c r="H672" s="40" t="n">
        <v>0</v>
      </c>
      <c r="I672" s="40" t="n">
        <v>0</v>
      </c>
      <c r="J672" s="40" t="n">
        <v>0</v>
      </c>
      <c r="K672" s="40" t="n">
        <v>0</v>
      </c>
      <c r="L672" s="40" t="n">
        <v>0</v>
      </c>
      <c r="M672" s="40" t="n">
        <v>0</v>
      </c>
      <c r="N672" s="40" t="n">
        <v>0</v>
      </c>
    </row>
    <row r="673" customFormat="false" ht="15" hidden="false" customHeight="true" outlineLevel="0" collapsed="false">
      <c r="A673" s="42" t="s">
        <v>117</v>
      </c>
      <c r="B673" s="31" t="n">
        <v>5</v>
      </c>
      <c r="C673" s="43" t="s">
        <v>338</v>
      </c>
      <c r="D673" s="31" t="n">
        <v>2</v>
      </c>
      <c r="E673" s="40" t="n">
        <v>1</v>
      </c>
      <c r="F673" s="40" t="n">
        <v>1</v>
      </c>
      <c r="G673" s="40" t="n">
        <v>1</v>
      </c>
      <c r="H673" s="40" t="n">
        <v>1</v>
      </c>
      <c r="I673" s="40" t="n">
        <v>0</v>
      </c>
      <c r="J673" s="40" t="n">
        <v>0</v>
      </c>
      <c r="K673" s="40" t="n">
        <v>0</v>
      </c>
      <c r="L673" s="40" t="n">
        <v>0</v>
      </c>
      <c r="M673" s="40" t="n">
        <v>0</v>
      </c>
      <c r="N673" s="40" t="n">
        <v>0</v>
      </c>
    </row>
    <row r="674" customFormat="false" ht="15" hidden="false" customHeight="true" outlineLevel="0" collapsed="false">
      <c r="A674" s="42" t="s">
        <v>120</v>
      </c>
      <c r="B674" s="31" t="n">
        <v>8</v>
      </c>
      <c r="C674" s="43" t="s">
        <v>338</v>
      </c>
      <c r="D674" s="31" t="n">
        <v>5</v>
      </c>
      <c r="E674" s="40" t="n">
        <v>1</v>
      </c>
      <c r="F674" s="40" t="n">
        <v>1</v>
      </c>
      <c r="G674" s="40" t="n">
        <v>0.2</v>
      </c>
      <c r="H674" s="40" t="n">
        <v>0.4</v>
      </c>
      <c r="I674" s="40" t="n">
        <v>0.4</v>
      </c>
      <c r="J674" s="40" t="n">
        <v>0.2</v>
      </c>
      <c r="K674" s="40" t="n">
        <v>0.2</v>
      </c>
      <c r="L674" s="40" t="n">
        <v>0.2</v>
      </c>
      <c r="M674" s="40" t="n">
        <v>0</v>
      </c>
      <c r="N674" s="40" t="n">
        <v>0.2</v>
      </c>
    </row>
    <row r="675" customFormat="false" ht="15" hidden="false" customHeight="true" outlineLevel="0" collapsed="false">
      <c r="A675" s="42" t="s">
        <v>121</v>
      </c>
      <c r="B675" s="31" t="n">
        <v>9</v>
      </c>
      <c r="C675" s="43" t="s">
        <v>338</v>
      </c>
      <c r="D675" s="31" t="n">
        <v>2</v>
      </c>
      <c r="E675" s="40" t="n">
        <v>1</v>
      </c>
      <c r="F675" s="40" t="n">
        <v>0</v>
      </c>
      <c r="G675" s="40" t="n">
        <v>0</v>
      </c>
      <c r="H675" s="40" t="n">
        <v>0</v>
      </c>
      <c r="I675" s="40" t="n">
        <v>0</v>
      </c>
      <c r="J675" s="40" t="n">
        <v>0</v>
      </c>
      <c r="K675" s="40" t="n">
        <v>0</v>
      </c>
      <c r="L675" s="40" t="n">
        <v>0</v>
      </c>
      <c r="M675" s="40" t="n">
        <v>0</v>
      </c>
      <c r="N675" s="40" t="n">
        <v>0</v>
      </c>
    </row>
    <row r="676" customFormat="false" ht="15" hidden="false" customHeight="true" outlineLevel="0" collapsed="false">
      <c r="A676" s="42" t="s">
        <v>123</v>
      </c>
      <c r="B676" s="31" t="n">
        <v>11</v>
      </c>
      <c r="C676" s="43" t="s">
        <v>338</v>
      </c>
      <c r="D676" s="31" t="n">
        <v>2</v>
      </c>
      <c r="E676" s="40" t="n">
        <v>1</v>
      </c>
      <c r="F676" s="40" t="n">
        <v>1</v>
      </c>
      <c r="G676" s="40" t="n">
        <v>0.5</v>
      </c>
      <c r="H676" s="40" t="n">
        <v>0.5</v>
      </c>
      <c r="I676" s="40" t="n">
        <v>0.5</v>
      </c>
      <c r="J676" s="40" t="n">
        <v>0</v>
      </c>
      <c r="K676" s="40" t="n">
        <v>0</v>
      </c>
      <c r="L676" s="40" t="n">
        <v>0</v>
      </c>
      <c r="M676" s="40" t="n">
        <v>0</v>
      </c>
      <c r="N676" s="40" t="n">
        <v>0</v>
      </c>
    </row>
    <row r="677" customFormat="false" ht="15" hidden="false" customHeight="true" outlineLevel="0" collapsed="false">
      <c r="A677" s="42" t="s">
        <v>124</v>
      </c>
      <c r="B677" s="31" t="n">
        <v>12</v>
      </c>
      <c r="C677" s="43" t="s">
        <v>338</v>
      </c>
      <c r="D677" s="31" t="n">
        <v>2</v>
      </c>
      <c r="E677" s="40" t="n">
        <v>1</v>
      </c>
      <c r="F677" s="40" t="n">
        <v>1</v>
      </c>
      <c r="G677" s="40" t="n">
        <v>1</v>
      </c>
      <c r="H677" s="40" t="n">
        <v>1</v>
      </c>
      <c r="I677" s="40" t="n">
        <v>0</v>
      </c>
      <c r="J677" s="40" t="n">
        <v>0</v>
      </c>
      <c r="K677" s="40" t="n">
        <v>0</v>
      </c>
      <c r="L677" s="40" t="n">
        <v>0</v>
      </c>
      <c r="M677" s="40" t="n">
        <v>0</v>
      </c>
      <c r="N677" s="32"/>
    </row>
    <row r="678" customFormat="false" ht="15" hidden="false" customHeight="true" outlineLevel="0" collapsed="false">
      <c r="A678" s="38" t="s">
        <v>126</v>
      </c>
      <c r="B678" s="31" t="n">
        <v>14</v>
      </c>
      <c r="C678" s="39" t="s">
        <v>334</v>
      </c>
      <c r="D678" s="31" t="n">
        <v>7</v>
      </c>
      <c r="E678" s="40" t="n">
        <v>1</v>
      </c>
      <c r="F678" s="40" t="n">
        <v>0.857142857142857</v>
      </c>
      <c r="G678" s="40" t="n">
        <v>0.571428571428571</v>
      </c>
      <c r="H678" s="40" t="n">
        <v>0.571428571428571</v>
      </c>
      <c r="I678" s="40" t="n">
        <v>0.142857142857143</v>
      </c>
      <c r="J678" s="40" t="n">
        <v>0</v>
      </c>
      <c r="K678" s="40" t="n">
        <v>0</v>
      </c>
      <c r="L678" s="32"/>
      <c r="M678" s="32"/>
      <c r="N678" s="32"/>
    </row>
    <row r="679" customFormat="false" ht="15" hidden="false" customHeight="true" outlineLevel="0" collapsed="false">
      <c r="A679" s="38" t="s">
        <v>127</v>
      </c>
      <c r="B679" s="31" t="n">
        <v>15</v>
      </c>
      <c r="C679" s="39" t="s">
        <v>334</v>
      </c>
      <c r="D679" s="31" t="n">
        <v>1</v>
      </c>
      <c r="E679" s="40" t="n">
        <v>1</v>
      </c>
      <c r="F679" s="40" t="n">
        <v>0</v>
      </c>
      <c r="G679" s="40" t="n">
        <v>0</v>
      </c>
      <c r="H679" s="40" t="n">
        <v>0</v>
      </c>
      <c r="I679" s="40" t="n">
        <v>0</v>
      </c>
      <c r="J679" s="40" t="n">
        <v>0</v>
      </c>
      <c r="K679" s="32"/>
      <c r="L679" s="32"/>
      <c r="M679" s="32"/>
      <c r="N679" s="32"/>
    </row>
    <row r="680" customFormat="false" ht="15" hidden="false" customHeight="true" outlineLevel="0" collapsed="false">
      <c r="A680" s="38" t="s">
        <v>128</v>
      </c>
      <c r="B680" s="31" t="n">
        <v>16</v>
      </c>
      <c r="C680" s="39" t="s">
        <v>334</v>
      </c>
      <c r="D680" s="31" t="n">
        <v>1</v>
      </c>
      <c r="E680" s="40" t="n">
        <v>1</v>
      </c>
      <c r="F680" s="40" t="n">
        <v>1</v>
      </c>
      <c r="G680" s="40" t="n">
        <v>1</v>
      </c>
      <c r="H680" s="40" t="n">
        <v>1</v>
      </c>
      <c r="I680" s="40" t="n">
        <v>0</v>
      </c>
      <c r="J680" s="32"/>
      <c r="K680" s="32"/>
      <c r="L680" s="32"/>
      <c r="M680" s="32"/>
      <c r="N680" s="32"/>
    </row>
    <row r="681" customFormat="false" ht="15" hidden="false" customHeight="true" outlineLevel="0" collapsed="false">
      <c r="A681" s="38" t="s">
        <v>129</v>
      </c>
      <c r="B681" s="31" t="n">
        <v>17</v>
      </c>
      <c r="C681" s="39" t="s">
        <v>334</v>
      </c>
      <c r="D681" s="31" t="n">
        <v>1</v>
      </c>
      <c r="E681" s="40" t="n">
        <v>1</v>
      </c>
      <c r="F681" s="40" t="n">
        <v>1</v>
      </c>
      <c r="G681" s="40" t="n">
        <v>1</v>
      </c>
      <c r="H681" s="40" t="n">
        <v>0</v>
      </c>
      <c r="I681" s="32"/>
      <c r="J681" s="32"/>
      <c r="K681" s="32"/>
      <c r="L681" s="32"/>
      <c r="M681" s="32"/>
      <c r="N681" s="32"/>
    </row>
    <row r="682" customFormat="false" ht="15" hidden="false" customHeight="true" outlineLevel="0" collapsed="false">
      <c r="A682" s="38" t="s">
        <v>132</v>
      </c>
      <c r="B682" s="31" t="n">
        <v>20</v>
      </c>
      <c r="C682" s="39" t="s">
        <v>334</v>
      </c>
      <c r="D682" s="31" t="n">
        <v>1</v>
      </c>
      <c r="E682" s="40" t="n">
        <v>1</v>
      </c>
      <c r="F682" s="32"/>
      <c r="G682" s="32"/>
      <c r="H682" s="32"/>
      <c r="I682" s="32"/>
      <c r="J682" s="32"/>
      <c r="K682" s="32"/>
      <c r="L682" s="32"/>
      <c r="M682" s="32"/>
      <c r="N682" s="32"/>
    </row>
    <row r="683" customFormat="false" ht="15" hidden="false" customHeight="true" outlineLevel="0" collapsed="false">
      <c r="A683" s="34" t="s">
        <v>335</v>
      </c>
      <c r="B683" s="36"/>
      <c r="C683" s="36"/>
      <c r="D683" s="36"/>
      <c r="E683" s="44" t="n">
        <v>1</v>
      </c>
      <c r="F683" s="44" t="n">
        <v>0.842105263157895</v>
      </c>
      <c r="G683" s="44" t="n">
        <v>0.368421052631579</v>
      </c>
      <c r="H683" s="44" t="n">
        <v>0.421052631578947</v>
      </c>
      <c r="I683" s="44" t="n">
        <v>0.157894736842105</v>
      </c>
      <c r="J683" s="44" t="n">
        <v>0.0526315789473684</v>
      </c>
      <c r="K683" s="44" t="n">
        <v>0.0526315789473684</v>
      </c>
      <c r="L683" s="44" t="n">
        <v>0.0526315789473684</v>
      </c>
      <c r="M683" s="44" t="n">
        <v>0</v>
      </c>
      <c r="N683" s="44" t="n">
        <v>0.0526315789473684</v>
      </c>
    </row>
    <row r="684" customFormat="false" ht="15" hidden="false" customHeight="true" outlineLevel="0" collapsed="false">
      <c r="A684" s="34" t="s">
        <v>336</v>
      </c>
      <c r="B684" s="36"/>
      <c r="C684" s="36"/>
      <c r="D684" s="36"/>
      <c r="E684" s="44" t="n">
        <v>1</v>
      </c>
      <c r="F684" s="44" t="n">
        <v>0.821428571428571</v>
      </c>
      <c r="G684" s="44" t="n">
        <v>0.457142857142857</v>
      </c>
      <c r="H684" s="44" t="n">
        <v>0.485714285714286</v>
      </c>
      <c r="I684" s="44" t="n">
        <v>0.128571428571429</v>
      </c>
      <c r="J684" s="44" t="n">
        <v>0.0285714285714286</v>
      </c>
      <c r="K684" s="44" t="n">
        <v>0.0285714285714286</v>
      </c>
      <c r="L684" s="44" t="n">
        <v>0.0285714285714286</v>
      </c>
      <c r="M684" s="44" t="n">
        <v>0</v>
      </c>
      <c r="N684" s="44" t="n">
        <v>0.0333333333333333</v>
      </c>
    </row>
    <row r="685" customFormat="false" ht="15" hidden="false" customHeight="true" outlineLevel="0" collapsed="false">
      <c r="A685" s="45" t="s">
        <v>369</v>
      </c>
      <c r="B685" s="45"/>
      <c r="C685" s="45"/>
      <c r="D685" s="45"/>
      <c r="E685" s="45"/>
      <c r="F685" s="45"/>
      <c r="G685" s="45"/>
      <c r="H685" s="45"/>
      <c r="I685" s="45"/>
      <c r="J685" s="45"/>
      <c r="K685" s="45"/>
      <c r="L685" s="45"/>
      <c r="M685" s="45"/>
      <c r="N685" s="45"/>
    </row>
    <row r="687" customFormat="false" ht="15" hidden="false" customHeight="true" outlineLevel="0" collapsed="false">
      <c r="A687" s="28" t="s">
        <v>328</v>
      </c>
      <c r="B687" s="28"/>
      <c r="C687" s="28"/>
      <c r="D687" s="28"/>
      <c r="E687" s="28"/>
      <c r="F687" s="28"/>
      <c r="G687" s="28"/>
      <c r="H687" s="28"/>
    </row>
    <row r="688" customFormat="false" ht="15" hidden="false" customHeight="true" outlineLevel="0" collapsed="false">
      <c r="A688" s="12" t="s">
        <v>330</v>
      </c>
      <c r="B688" s="12" t="s">
        <v>331</v>
      </c>
      <c r="C688" s="12" t="s">
        <v>332</v>
      </c>
      <c r="D688" s="12" t="s">
        <v>333</v>
      </c>
      <c r="E688" s="37" t="n">
        <v>1</v>
      </c>
      <c r="F688" s="37" t="n">
        <v>2</v>
      </c>
      <c r="G688" s="37" t="n">
        <v>3</v>
      </c>
      <c r="H688" s="37" t="n">
        <v>4</v>
      </c>
    </row>
    <row r="689" customFormat="false" ht="15" hidden="false" customHeight="true" outlineLevel="0" collapsed="false">
      <c r="A689" s="42" t="s">
        <v>120</v>
      </c>
      <c r="B689" s="31" t="n">
        <v>8</v>
      </c>
      <c r="C689" s="43" t="s">
        <v>338</v>
      </c>
      <c r="D689" s="31" t="n">
        <v>1</v>
      </c>
      <c r="E689" s="40" t="n">
        <v>1</v>
      </c>
      <c r="F689" s="40" t="n">
        <v>1</v>
      </c>
      <c r="G689" s="40" t="n">
        <v>0</v>
      </c>
      <c r="H689" s="40" t="n">
        <v>0</v>
      </c>
    </row>
    <row r="690" customFormat="false" ht="15" hidden="false" customHeight="true" outlineLevel="0" collapsed="false">
      <c r="A690" s="42" t="s">
        <v>123</v>
      </c>
      <c r="B690" s="31" t="n">
        <v>11</v>
      </c>
      <c r="C690" s="43" t="s">
        <v>338</v>
      </c>
      <c r="D690" s="31" t="n">
        <v>1</v>
      </c>
      <c r="E690" s="40" t="n">
        <v>1</v>
      </c>
      <c r="F690" s="40" t="n">
        <v>1</v>
      </c>
      <c r="G690" s="40" t="n">
        <v>1</v>
      </c>
      <c r="H690" s="40" t="n">
        <v>0</v>
      </c>
    </row>
    <row r="691" customFormat="false" ht="15" hidden="false" customHeight="true" outlineLevel="0" collapsed="false">
      <c r="A691" s="38" t="s">
        <v>129</v>
      </c>
      <c r="B691" s="31" t="n">
        <v>17</v>
      </c>
      <c r="C691" s="39" t="s">
        <v>334</v>
      </c>
      <c r="D691" s="31" t="n">
        <v>3</v>
      </c>
      <c r="E691" s="40" t="n">
        <v>1</v>
      </c>
      <c r="F691" s="40" t="n">
        <v>1</v>
      </c>
      <c r="G691" s="40" t="n">
        <v>0.333333333333333</v>
      </c>
      <c r="H691" s="40" t="n">
        <v>0.666666666666667</v>
      </c>
    </row>
    <row r="692" customFormat="false" ht="15" hidden="false" customHeight="true" outlineLevel="0" collapsed="false">
      <c r="A692" s="38" t="s">
        <v>130</v>
      </c>
      <c r="B692" s="31" t="n">
        <v>18</v>
      </c>
      <c r="C692" s="39" t="s">
        <v>334</v>
      </c>
      <c r="D692" s="31" t="n">
        <v>1</v>
      </c>
      <c r="E692" s="40" t="n">
        <v>1</v>
      </c>
      <c r="F692" s="40" t="n">
        <v>1</v>
      </c>
      <c r="G692" s="40" t="n">
        <v>0</v>
      </c>
      <c r="H692" s="32"/>
    </row>
    <row r="693" customFormat="false" ht="15" hidden="false" customHeight="true" outlineLevel="0" collapsed="false">
      <c r="A693" s="34" t="s">
        <v>335</v>
      </c>
      <c r="B693" s="36"/>
      <c r="C693" s="36"/>
      <c r="D693" s="36"/>
      <c r="E693" s="44" t="n">
        <v>1</v>
      </c>
      <c r="F693" s="44" t="n">
        <v>1</v>
      </c>
      <c r="G693" s="44" t="n">
        <v>0.5</v>
      </c>
      <c r="H693" s="44" t="n">
        <v>0</v>
      </c>
    </row>
    <row r="694" customFormat="false" ht="15" hidden="false" customHeight="true" outlineLevel="0" collapsed="false">
      <c r="A694" s="34" t="s">
        <v>336</v>
      </c>
      <c r="B694" s="36"/>
      <c r="C694" s="36"/>
      <c r="D694" s="36"/>
      <c r="E694" s="44" t="n">
        <v>1</v>
      </c>
      <c r="F694" s="44" t="n">
        <v>1</v>
      </c>
      <c r="G694" s="44" t="n">
        <v>0.5</v>
      </c>
      <c r="H694" s="44" t="n">
        <v>0</v>
      </c>
    </row>
    <row r="695" customFormat="false" ht="15" hidden="false" customHeight="true" outlineLevel="0" collapsed="false">
      <c r="A695" s="45" t="s">
        <v>370</v>
      </c>
      <c r="B695" s="45"/>
      <c r="C695" s="45"/>
      <c r="D695" s="45"/>
      <c r="E695" s="45"/>
      <c r="F695" s="45"/>
      <c r="G695" s="45"/>
      <c r="H695" s="45"/>
    </row>
  </sheetData>
  <mergeCells count="82">
    <mergeCell ref="A1:H1"/>
    <mergeCell ref="A2:H2"/>
    <mergeCell ref="A4:L4"/>
    <mergeCell ref="A12:L12"/>
    <mergeCell ref="A14:O14"/>
    <mergeCell ref="A32:O32"/>
    <mergeCell ref="A34:H34"/>
    <mergeCell ref="A35:H35"/>
    <mergeCell ref="A37:T37"/>
    <mergeCell ref="A61:T61"/>
    <mergeCell ref="A63:Q63"/>
    <mergeCell ref="A78:Q78"/>
    <mergeCell ref="A80:M80"/>
    <mergeCell ref="A93:M93"/>
    <mergeCell ref="A95:U95"/>
    <mergeCell ref="A119:U119"/>
    <mergeCell ref="A121:S121"/>
    <mergeCell ref="A145:S145"/>
    <mergeCell ref="A147:U147"/>
    <mergeCell ref="A171:U171"/>
    <mergeCell ref="A173:T173"/>
    <mergeCell ref="A195:T195"/>
    <mergeCell ref="A197:P197"/>
    <mergeCell ref="A216:P216"/>
    <mergeCell ref="A218:S218"/>
    <mergeCell ref="A233:S233"/>
    <mergeCell ref="A235:J235"/>
    <mergeCell ref="A243:J243"/>
    <mergeCell ref="A245:H245"/>
    <mergeCell ref="A254:H254"/>
    <mergeCell ref="A256:T256"/>
    <mergeCell ref="A276:T276"/>
    <mergeCell ref="A278:Q278"/>
    <mergeCell ref="A294:Q294"/>
    <mergeCell ref="A296:H296"/>
    <mergeCell ref="A303:H303"/>
    <mergeCell ref="A305:Q305"/>
    <mergeCell ref="A329:Q329"/>
    <mergeCell ref="A331:V331"/>
    <mergeCell ref="A355:V355"/>
    <mergeCell ref="A357:N357"/>
    <mergeCell ref="A372:N372"/>
    <mergeCell ref="A374:J374"/>
    <mergeCell ref="A384:J384"/>
    <mergeCell ref="A386:M386"/>
    <mergeCell ref="A399:M399"/>
    <mergeCell ref="A401:N401"/>
    <mergeCell ref="A415:N415"/>
    <mergeCell ref="A417:T417"/>
    <mergeCell ref="A435:T435"/>
    <mergeCell ref="A437:Q437"/>
    <mergeCell ref="A461:Q461"/>
    <mergeCell ref="A463:H463"/>
    <mergeCell ref="A469:H469"/>
    <mergeCell ref="A471:K471"/>
    <mergeCell ref="A481:K481"/>
    <mergeCell ref="A483:R483"/>
    <mergeCell ref="A507:R507"/>
    <mergeCell ref="A509:O509"/>
    <mergeCell ref="A526:O526"/>
    <mergeCell ref="A528:R528"/>
    <mergeCell ref="A543:R543"/>
    <mergeCell ref="A545:Q545"/>
    <mergeCell ref="A564:Q564"/>
    <mergeCell ref="A566:N566"/>
    <mergeCell ref="A583:N583"/>
    <mergeCell ref="A585:L585"/>
    <mergeCell ref="A596:L596"/>
    <mergeCell ref="A598:K598"/>
    <mergeCell ref="A608:K608"/>
    <mergeCell ref="A610:V610"/>
    <mergeCell ref="A631:V631"/>
    <mergeCell ref="A633:H633"/>
    <mergeCell ref="A634:H634"/>
    <mergeCell ref="A636:H636"/>
    <mergeCell ref="A649:H649"/>
    <mergeCell ref="A651:H651"/>
    <mergeCell ref="A667:H667"/>
    <mergeCell ref="A669:N669"/>
    <mergeCell ref="A685:N685"/>
    <mergeCell ref="A687:H687"/>
    <mergeCell ref="A695:H69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2" min="1" style="0" width="42"/>
    <col collapsed="false" customWidth="true" hidden="false" outlineLevel="0" max="3" min="3" style="0" width="20"/>
    <col collapsed="false" customWidth="true" hidden="false" outlineLevel="0" max="4" min="4" style="0" width="16"/>
    <col collapsed="false" customWidth="true" hidden="false" outlineLevel="0" max="5" min="5" style="0" width="24"/>
    <col collapsed="false" customWidth="true" hidden="false" outlineLevel="0" max="6" min="6" style="0" width="15"/>
    <col collapsed="false" customWidth="true" hidden="false" outlineLevel="0" max="7" min="7" style="0" width="17"/>
    <col collapsed="false" customWidth="true" hidden="false" outlineLevel="0" max="9" min="8" style="0" width="15"/>
  </cols>
  <sheetData>
    <row r="1" customFormat="false" ht="17.25" hidden="false" customHeight="true" outlineLevel="0" collapsed="false">
      <c r="A1" s="46" t="s">
        <v>371</v>
      </c>
      <c r="B1" s="46"/>
      <c r="C1" s="46"/>
      <c r="D1" s="46"/>
      <c r="E1" s="46"/>
      <c r="F1" s="46"/>
      <c r="G1" s="46"/>
      <c r="H1" s="46"/>
      <c r="I1" s="46"/>
    </row>
    <row r="2" customFormat="false" ht="30" hidden="false" customHeight="true" outlineLevel="0" collapsed="false">
      <c r="A2" s="47" t="s">
        <v>372</v>
      </c>
      <c r="B2" s="47"/>
      <c r="C2" s="47"/>
      <c r="D2" s="47"/>
      <c r="E2" s="47"/>
      <c r="F2" s="47"/>
      <c r="G2" s="47"/>
      <c r="H2" s="47"/>
      <c r="I2" s="47"/>
    </row>
    <row r="4" customFormat="false" ht="15" hidden="false" customHeight="true" outlineLevel="0" collapsed="false">
      <c r="A4" s="7" t="s">
        <v>373</v>
      </c>
      <c r="B4" s="8" t="s">
        <v>374</v>
      </c>
    </row>
    <row r="5" customFormat="false" ht="15" hidden="false" customHeight="true" outlineLevel="0" collapsed="false">
      <c r="A5" s="7" t="s">
        <v>375</v>
      </c>
      <c r="B5" s="48" t="n">
        <v>0.1</v>
      </c>
      <c r="C5" s="49" t="s">
        <v>376</v>
      </c>
    </row>
    <row r="6" customFormat="false" ht="15" hidden="false" customHeight="true" outlineLevel="0" collapsed="false">
      <c r="A6" s="7" t="s">
        <v>377</v>
      </c>
      <c r="B6" s="8" t="n">
        <v>30</v>
      </c>
    </row>
    <row r="8" customFormat="false" ht="15" hidden="false" customHeight="true" outlineLevel="0" collapsed="false">
      <c r="A8" s="50" t="s">
        <v>378</v>
      </c>
      <c r="B8" s="50"/>
      <c r="C8" s="50"/>
      <c r="D8" s="50"/>
      <c r="E8" s="50"/>
      <c r="F8" s="50"/>
      <c r="G8" s="50"/>
      <c r="H8" s="50"/>
      <c r="I8" s="50"/>
    </row>
    <row r="9" customFormat="false" ht="15" hidden="false" customHeight="true" outlineLevel="0" collapsed="false">
      <c r="A9" s="12" t="s">
        <v>133</v>
      </c>
      <c r="B9" s="12" t="s">
        <v>379</v>
      </c>
      <c r="C9" s="12" t="s">
        <v>380</v>
      </c>
      <c r="D9" s="12" t="s">
        <v>381</v>
      </c>
      <c r="E9" s="12" t="s">
        <v>382</v>
      </c>
      <c r="F9" s="12" t="s">
        <v>383</v>
      </c>
      <c r="G9" s="12" t="s">
        <v>384</v>
      </c>
      <c r="H9" s="12" t="s">
        <v>385</v>
      </c>
      <c r="I9" s="12" t="s">
        <v>386</v>
      </c>
    </row>
    <row r="10" customFormat="false" ht="15" hidden="false" customHeight="true" outlineLevel="0" collapsed="false">
      <c r="A10" s="22" t="s">
        <v>224</v>
      </c>
      <c r="B10" s="22" t="s">
        <v>225</v>
      </c>
      <c r="C10" s="51" t="s">
        <v>387</v>
      </c>
      <c r="D10" s="22" t="s">
        <v>130</v>
      </c>
      <c r="E10" s="22" t="s">
        <v>388</v>
      </c>
      <c r="F10" s="52" t="n">
        <v>0.6</v>
      </c>
      <c r="G10" s="23" t="n">
        <v>0.83495145631068</v>
      </c>
      <c r="H10" s="53" t="n">
        <v>-0.23495145631068</v>
      </c>
      <c r="I10" s="22" t="s">
        <v>283</v>
      </c>
    </row>
    <row r="11" customFormat="false" ht="15" hidden="false" customHeight="true" outlineLevel="0" collapsed="false">
      <c r="A11" s="22" t="s">
        <v>165</v>
      </c>
      <c r="B11" s="22" t="s">
        <v>166</v>
      </c>
      <c r="C11" s="19" t="s">
        <v>389</v>
      </c>
      <c r="D11" s="22" t="s">
        <v>130</v>
      </c>
      <c r="E11" s="22" t="s">
        <v>388</v>
      </c>
      <c r="F11" s="52" t="n">
        <v>0.6875</v>
      </c>
      <c r="G11" s="23" t="n">
        <v>0.85</v>
      </c>
      <c r="H11" s="53" t="n">
        <v>-0.1625</v>
      </c>
      <c r="I11" s="22" t="s">
        <v>283</v>
      </c>
    </row>
    <row r="12" customFormat="false" ht="15" hidden="false" customHeight="true" outlineLevel="0" collapsed="false">
      <c r="A12" s="22" t="s">
        <v>169</v>
      </c>
      <c r="B12" s="22" t="s">
        <v>170</v>
      </c>
      <c r="C12" s="54" t="s">
        <v>390</v>
      </c>
      <c r="D12" s="22" t="s">
        <v>130</v>
      </c>
      <c r="E12" s="22" t="s">
        <v>388</v>
      </c>
      <c r="F12" s="52" t="n">
        <v>0.627906976744186</v>
      </c>
      <c r="G12" s="23" t="n">
        <v>0.772151898734177</v>
      </c>
      <c r="H12" s="53" t="n">
        <v>-0.144244921989991</v>
      </c>
      <c r="I12" s="22" t="s">
        <v>284</v>
      </c>
    </row>
    <row r="13" customFormat="false" ht="15" hidden="false" customHeight="true" outlineLevel="0" collapsed="false">
      <c r="A13" s="22" t="s">
        <v>197</v>
      </c>
      <c r="B13" s="22" t="s">
        <v>198</v>
      </c>
      <c r="C13" s="55" t="s">
        <v>391</v>
      </c>
      <c r="D13" s="22" t="s">
        <v>130</v>
      </c>
      <c r="E13" s="22" t="s">
        <v>388</v>
      </c>
      <c r="F13" s="52" t="n">
        <v>0.652173913043478</v>
      </c>
      <c r="G13" s="23" t="n">
        <v>0.791519434628975</v>
      </c>
      <c r="H13" s="53" t="n">
        <v>-0.139345521585497</v>
      </c>
      <c r="I13" s="22" t="s">
        <v>283</v>
      </c>
    </row>
    <row r="14" customFormat="false" ht="15" hidden="false" customHeight="true" outlineLevel="0" collapsed="false">
      <c r="A14" s="22" t="s">
        <v>221</v>
      </c>
      <c r="B14" s="22" t="s">
        <v>222</v>
      </c>
      <c r="C14" s="55" t="s">
        <v>391</v>
      </c>
      <c r="D14" s="22" t="s">
        <v>130</v>
      </c>
      <c r="E14" s="22" t="s">
        <v>392</v>
      </c>
      <c r="F14" s="52" t="n">
        <v>0.777777777777778</v>
      </c>
      <c r="G14" s="23" t="n">
        <v>0.911214953271028</v>
      </c>
      <c r="H14" s="53" t="n">
        <v>-0.13343717549325</v>
      </c>
      <c r="I14" s="22" t="s">
        <v>283</v>
      </c>
    </row>
    <row r="15" customFormat="false" ht="15" hidden="false" customHeight="true" outlineLevel="0" collapsed="false">
      <c r="A15" s="22" t="s">
        <v>212</v>
      </c>
      <c r="B15" s="22" t="s">
        <v>213</v>
      </c>
      <c r="C15" s="51" t="s">
        <v>387</v>
      </c>
      <c r="D15" s="22" t="s">
        <v>131</v>
      </c>
      <c r="E15" s="22" t="s">
        <v>388</v>
      </c>
      <c r="F15" s="52" t="n">
        <v>0.571428571428571</v>
      </c>
      <c r="G15" s="23" t="n">
        <v>0.701834862385321</v>
      </c>
      <c r="H15" s="53" t="n">
        <v>-0.13040629095675</v>
      </c>
      <c r="I15" s="22" t="s">
        <v>283</v>
      </c>
    </row>
    <row r="16" customFormat="false" ht="15" hidden="false" customHeight="true" outlineLevel="0" collapsed="false">
      <c r="A16" s="22" t="s">
        <v>212</v>
      </c>
      <c r="B16" s="22" t="s">
        <v>213</v>
      </c>
      <c r="C16" s="51" t="s">
        <v>387</v>
      </c>
      <c r="D16" s="22" t="s">
        <v>130</v>
      </c>
      <c r="E16" s="22" t="s">
        <v>388</v>
      </c>
      <c r="F16" s="52" t="n">
        <v>0.583333333333333</v>
      </c>
      <c r="G16" s="23" t="n">
        <v>0.701834862385321</v>
      </c>
      <c r="H16" s="53" t="n">
        <v>-0.118501529051988</v>
      </c>
      <c r="I16" s="22" t="s">
        <v>283</v>
      </c>
    </row>
    <row r="17" customFormat="false" ht="15" hidden="false" customHeight="true" outlineLevel="0" collapsed="false">
      <c r="A17" s="22" t="s">
        <v>226</v>
      </c>
      <c r="B17" s="22" t="s">
        <v>227</v>
      </c>
      <c r="C17" s="54" t="s">
        <v>390</v>
      </c>
      <c r="D17" s="22" t="s">
        <v>130</v>
      </c>
      <c r="E17" s="22" t="s">
        <v>388</v>
      </c>
      <c r="F17" s="52" t="n">
        <v>0.566666666666667</v>
      </c>
      <c r="G17" s="23" t="n">
        <v>0.67032967032967</v>
      </c>
      <c r="H17" s="53" t="n">
        <v>-0.103663003663004</v>
      </c>
      <c r="I17" s="22" t="s">
        <v>284</v>
      </c>
    </row>
    <row r="18" customFormat="false" ht="27.75" hidden="false" customHeight="true" outlineLevel="0" collapsed="false">
      <c r="A18" s="56" t="s">
        <v>393</v>
      </c>
      <c r="B18" s="56"/>
      <c r="C18" s="56"/>
      <c r="D18" s="56"/>
      <c r="E18" s="56"/>
      <c r="F18" s="56"/>
      <c r="G18" s="56"/>
      <c r="H18" s="56"/>
      <c r="I18" s="56"/>
    </row>
    <row r="20" customFormat="false" ht="15" hidden="false" customHeight="true" outlineLevel="0" collapsed="false">
      <c r="A20" s="50" t="s">
        <v>394</v>
      </c>
      <c r="B20" s="50"/>
      <c r="C20" s="50"/>
      <c r="D20" s="50"/>
      <c r="E20" s="50"/>
      <c r="F20" s="50"/>
      <c r="G20" s="50"/>
      <c r="H20" s="50"/>
      <c r="I20" s="50"/>
    </row>
    <row r="22" customFormat="false" ht="15" hidden="false" customHeight="true" outlineLevel="0" collapsed="false">
      <c r="A22" s="28" t="s">
        <v>395</v>
      </c>
      <c r="B22" s="28"/>
      <c r="C22" s="28"/>
      <c r="D22" s="28"/>
      <c r="E22" s="28"/>
      <c r="F22" s="28"/>
      <c r="G22" s="28"/>
      <c r="H22" s="28"/>
      <c r="I22" s="28"/>
    </row>
    <row r="23" customFormat="false" ht="15" hidden="false" customHeight="true" outlineLevel="0" collapsed="false">
      <c r="A23" s="29" t="s">
        <v>396</v>
      </c>
      <c r="B23" s="29"/>
      <c r="C23" s="29"/>
      <c r="D23" s="29"/>
      <c r="E23" s="29"/>
      <c r="F23" s="29"/>
      <c r="G23" s="29"/>
      <c r="H23" s="29"/>
      <c r="I23" s="29"/>
    </row>
    <row r="25" customFormat="false" ht="15" hidden="false" customHeight="true" outlineLevel="0" collapsed="false">
      <c r="A25" s="28" t="s">
        <v>397</v>
      </c>
      <c r="B25" s="28"/>
      <c r="C25" s="28"/>
      <c r="D25" s="28"/>
      <c r="E25" s="28"/>
      <c r="F25" s="28"/>
      <c r="G25" s="28"/>
      <c r="H25" s="28"/>
      <c r="I25" s="28"/>
    </row>
    <row r="26" customFormat="false" ht="15" hidden="false" customHeight="true" outlineLevel="0" collapsed="false">
      <c r="A26" s="34" t="s">
        <v>398</v>
      </c>
      <c r="B26" s="57"/>
      <c r="C26" s="36"/>
      <c r="D26" s="36"/>
      <c r="E26" s="36"/>
      <c r="F26" s="36"/>
      <c r="G26" s="36"/>
      <c r="H26" s="36"/>
      <c r="I26" s="58" t="s">
        <v>399</v>
      </c>
    </row>
    <row r="27" customFormat="false" ht="15" hidden="false" customHeight="true" outlineLevel="0" collapsed="false">
      <c r="A27" s="12" t="s">
        <v>400</v>
      </c>
      <c r="B27" s="12" t="s">
        <v>333</v>
      </c>
      <c r="C27" s="12" t="s">
        <v>388</v>
      </c>
      <c r="D27" s="12" t="s">
        <v>401</v>
      </c>
      <c r="E27" s="12" t="s">
        <v>392</v>
      </c>
      <c r="F27" s="12" t="s">
        <v>401</v>
      </c>
      <c r="G27" s="12" t="s">
        <v>402</v>
      </c>
      <c r="H27" s="12" t="s">
        <v>401</v>
      </c>
      <c r="I27" s="12" t="s">
        <v>142</v>
      </c>
    </row>
    <row r="28" customFormat="false" ht="15" hidden="false" customHeight="true" outlineLevel="0" collapsed="false">
      <c r="A28" s="22" t="s">
        <v>131</v>
      </c>
      <c r="B28" s="31" t="n">
        <v>69</v>
      </c>
      <c r="C28" s="59" t="n">
        <v>0.927536231884058</v>
      </c>
      <c r="D28" s="31" t="s">
        <v>282</v>
      </c>
      <c r="E28" s="31" t="s">
        <v>282</v>
      </c>
      <c r="F28" s="31" t="s">
        <v>282</v>
      </c>
      <c r="G28" s="31" t="s">
        <v>282</v>
      </c>
      <c r="H28" s="31" t="s">
        <v>282</v>
      </c>
      <c r="I28" s="22" t="s">
        <v>156</v>
      </c>
    </row>
    <row r="30" customFormat="false" ht="15" hidden="false" customHeight="true" outlineLevel="0" collapsed="false">
      <c r="A30" s="28" t="s">
        <v>403</v>
      </c>
      <c r="B30" s="28"/>
      <c r="C30" s="28"/>
      <c r="D30" s="28"/>
      <c r="E30" s="28"/>
      <c r="F30" s="28"/>
      <c r="G30" s="28"/>
      <c r="H30" s="28"/>
      <c r="I30" s="28"/>
    </row>
    <row r="31" customFormat="false" ht="15" hidden="false" customHeight="true" outlineLevel="0" collapsed="false">
      <c r="A31" s="34" t="s">
        <v>398</v>
      </c>
      <c r="B31" s="57" t="n">
        <v>112</v>
      </c>
      <c r="C31" s="35" t="n">
        <v>1</v>
      </c>
      <c r="D31" s="36"/>
      <c r="E31" s="35" t="n">
        <v>0.973214285714286</v>
      </c>
      <c r="F31" s="36"/>
      <c r="G31" s="35" t="n">
        <v>0.973214285714286</v>
      </c>
      <c r="H31" s="36"/>
      <c r="I31" s="36"/>
    </row>
    <row r="32" customFormat="false" ht="15" hidden="false" customHeight="true" outlineLevel="0" collapsed="false">
      <c r="A32" s="12" t="s">
        <v>400</v>
      </c>
      <c r="B32" s="12" t="s">
        <v>333</v>
      </c>
      <c r="C32" s="12" t="s">
        <v>388</v>
      </c>
      <c r="D32" s="12" t="s">
        <v>401</v>
      </c>
      <c r="E32" s="12" t="s">
        <v>392</v>
      </c>
      <c r="F32" s="12" t="s">
        <v>401</v>
      </c>
      <c r="G32" s="12" t="s">
        <v>402</v>
      </c>
      <c r="H32" s="12" t="s">
        <v>401</v>
      </c>
      <c r="I32" s="12" t="s">
        <v>142</v>
      </c>
    </row>
    <row r="33" customFormat="false" ht="15" hidden="false" customHeight="true" outlineLevel="0" collapsed="false">
      <c r="A33" s="22" t="s">
        <v>130</v>
      </c>
      <c r="B33" s="31" t="n">
        <v>1</v>
      </c>
      <c r="C33" s="59" t="n">
        <v>1</v>
      </c>
      <c r="D33" s="60" t="n">
        <v>0</v>
      </c>
      <c r="E33" s="59" t="n">
        <v>1</v>
      </c>
      <c r="F33" s="60" t="n">
        <v>0.0267857142857143</v>
      </c>
      <c r="G33" s="59" t="n">
        <v>1</v>
      </c>
      <c r="H33" s="60" t="n">
        <v>0.0267857142857143</v>
      </c>
      <c r="I33" s="25" t="s">
        <v>404</v>
      </c>
    </row>
    <row r="34" customFormat="false" ht="15" hidden="false" customHeight="true" outlineLevel="0" collapsed="false">
      <c r="A34" s="22" t="s">
        <v>131</v>
      </c>
      <c r="B34" s="31" t="n">
        <v>5</v>
      </c>
      <c r="C34" s="59" t="n">
        <v>1</v>
      </c>
      <c r="D34" s="60" t="n">
        <v>0</v>
      </c>
      <c r="E34" s="31" t="s">
        <v>282</v>
      </c>
      <c r="F34" s="31" t="s">
        <v>282</v>
      </c>
      <c r="G34" s="31" t="s">
        <v>282</v>
      </c>
      <c r="H34" s="31" t="s">
        <v>282</v>
      </c>
      <c r="I34" s="25" t="s">
        <v>404</v>
      </c>
    </row>
    <row r="36" customFormat="false" ht="15" hidden="false" customHeight="true" outlineLevel="0" collapsed="false">
      <c r="A36" s="28" t="s">
        <v>405</v>
      </c>
      <c r="B36" s="28"/>
      <c r="C36" s="28"/>
      <c r="D36" s="28"/>
      <c r="E36" s="28"/>
      <c r="F36" s="28"/>
      <c r="G36" s="28"/>
      <c r="H36" s="28"/>
      <c r="I36" s="28"/>
    </row>
    <row r="37" customFormat="false" ht="15" hidden="false" customHeight="true" outlineLevel="0" collapsed="false">
      <c r="A37" s="29" t="s">
        <v>396</v>
      </c>
      <c r="B37" s="29"/>
      <c r="C37" s="29"/>
      <c r="D37" s="29"/>
      <c r="E37" s="29"/>
      <c r="F37" s="29"/>
      <c r="G37" s="29"/>
      <c r="H37" s="29"/>
      <c r="I37" s="29"/>
    </row>
    <row r="39" customFormat="false" ht="15" hidden="false" customHeight="true" outlineLevel="0" collapsed="false">
      <c r="A39" s="28" t="s">
        <v>406</v>
      </c>
      <c r="B39" s="28"/>
      <c r="C39" s="28"/>
      <c r="D39" s="28"/>
      <c r="E39" s="28"/>
      <c r="F39" s="28"/>
      <c r="G39" s="28"/>
      <c r="H39" s="28"/>
      <c r="I39" s="28"/>
    </row>
    <row r="40" customFormat="false" ht="15" hidden="false" customHeight="true" outlineLevel="0" collapsed="false">
      <c r="A40" s="34" t="s">
        <v>398</v>
      </c>
      <c r="B40" s="57" t="n">
        <v>272</v>
      </c>
      <c r="C40" s="35" t="n">
        <v>0.790441176470588</v>
      </c>
      <c r="D40" s="36"/>
      <c r="E40" s="35" t="n">
        <v>0.874418604651163</v>
      </c>
      <c r="F40" s="36"/>
      <c r="G40" s="35" t="n">
        <v>0.691176470588235</v>
      </c>
      <c r="H40" s="36"/>
      <c r="I40" s="36"/>
    </row>
    <row r="41" customFormat="false" ht="15" hidden="false" customHeight="true" outlineLevel="0" collapsed="false">
      <c r="A41" s="12" t="s">
        <v>400</v>
      </c>
      <c r="B41" s="12" t="s">
        <v>333</v>
      </c>
      <c r="C41" s="12" t="s">
        <v>388</v>
      </c>
      <c r="D41" s="12" t="s">
        <v>401</v>
      </c>
      <c r="E41" s="12" t="s">
        <v>392</v>
      </c>
      <c r="F41" s="12" t="s">
        <v>401</v>
      </c>
      <c r="G41" s="12" t="s">
        <v>402</v>
      </c>
      <c r="H41" s="12" t="s">
        <v>401</v>
      </c>
      <c r="I41" s="12" t="s">
        <v>142</v>
      </c>
    </row>
    <row r="42" customFormat="false" ht="15" hidden="false" customHeight="true" outlineLevel="0" collapsed="false">
      <c r="A42" s="22" t="s">
        <v>130</v>
      </c>
      <c r="B42" s="31" t="n">
        <v>23</v>
      </c>
      <c r="C42" s="59" t="n">
        <v>0.782608695652174</v>
      </c>
      <c r="D42" s="60" t="n">
        <v>-0.00783248081841426</v>
      </c>
      <c r="E42" s="59" t="n">
        <v>0.888888888888889</v>
      </c>
      <c r="F42" s="60" t="n">
        <v>0.014470284237726</v>
      </c>
      <c r="G42" s="59" t="n">
        <v>0.695652173913044</v>
      </c>
      <c r="H42" s="60" t="n">
        <v>0.00447570332480818</v>
      </c>
      <c r="I42" s="25" t="s">
        <v>404</v>
      </c>
    </row>
    <row r="43" customFormat="false" ht="15" hidden="false" customHeight="true" outlineLevel="0" collapsed="false">
      <c r="A43" s="22" t="s">
        <v>131</v>
      </c>
      <c r="B43" s="31" t="n">
        <v>10</v>
      </c>
      <c r="C43" s="59" t="n">
        <v>0.9</v>
      </c>
      <c r="D43" s="60" t="n">
        <v>0.109558823529412</v>
      </c>
      <c r="E43" s="31" t="s">
        <v>282</v>
      </c>
      <c r="F43" s="31" t="s">
        <v>282</v>
      </c>
      <c r="G43" s="31" t="s">
        <v>282</v>
      </c>
      <c r="H43" s="31" t="s">
        <v>282</v>
      </c>
      <c r="I43" s="25" t="s">
        <v>404</v>
      </c>
    </row>
    <row r="44" customFormat="false" ht="15" hidden="false" customHeight="true" outlineLevel="0" collapsed="false">
      <c r="A44" s="22" t="s">
        <v>132</v>
      </c>
      <c r="B44" s="31" t="n">
        <v>24</v>
      </c>
      <c r="C44" s="31" t="s">
        <v>282</v>
      </c>
      <c r="D44" s="31" t="s">
        <v>282</v>
      </c>
      <c r="E44" s="31" t="s">
        <v>282</v>
      </c>
      <c r="F44" s="31" t="s">
        <v>282</v>
      </c>
      <c r="G44" s="31" t="s">
        <v>282</v>
      </c>
      <c r="H44" s="31" t="s">
        <v>282</v>
      </c>
      <c r="I44" s="25" t="s">
        <v>404</v>
      </c>
    </row>
    <row r="46" customFormat="false" ht="15" hidden="false" customHeight="true" outlineLevel="0" collapsed="false">
      <c r="A46" s="28" t="s">
        <v>407</v>
      </c>
      <c r="B46" s="28"/>
      <c r="C46" s="28"/>
      <c r="D46" s="28"/>
      <c r="E46" s="28"/>
      <c r="F46" s="28"/>
      <c r="G46" s="28"/>
      <c r="H46" s="28"/>
      <c r="I46" s="28"/>
    </row>
    <row r="47" customFormat="false" ht="15" hidden="false" customHeight="true" outlineLevel="0" collapsed="false">
      <c r="A47" s="34" t="s">
        <v>398</v>
      </c>
      <c r="B47" s="57" t="n">
        <v>146</v>
      </c>
      <c r="C47" s="35" t="n">
        <v>0.808219178082192</v>
      </c>
      <c r="D47" s="36"/>
      <c r="E47" s="35" t="n">
        <v>0.85593220338983</v>
      </c>
      <c r="F47" s="36"/>
      <c r="G47" s="35" t="n">
        <v>0.691780821917808</v>
      </c>
      <c r="H47" s="36"/>
      <c r="I47" s="36"/>
    </row>
    <row r="48" customFormat="false" ht="15" hidden="false" customHeight="true" outlineLevel="0" collapsed="false">
      <c r="A48" s="12" t="s">
        <v>400</v>
      </c>
      <c r="B48" s="12" t="s">
        <v>333</v>
      </c>
      <c r="C48" s="12" t="s">
        <v>388</v>
      </c>
      <c r="D48" s="12" t="s">
        <v>401</v>
      </c>
      <c r="E48" s="12" t="s">
        <v>392</v>
      </c>
      <c r="F48" s="12" t="s">
        <v>401</v>
      </c>
      <c r="G48" s="12" t="s">
        <v>402</v>
      </c>
      <c r="H48" s="12" t="s">
        <v>401</v>
      </c>
      <c r="I48" s="12" t="s">
        <v>142</v>
      </c>
    </row>
    <row r="49" customFormat="false" ht="15" hidden="false" customHeight="true" outlineLevel="0" collapsed="false">
      <c r="A49" s="22" t="s">
        <v>130</v>
      </c>
      <c r="B49" s="31" t="n">
        <v>15</v>
      </c>
      <c r="C49" s="59" t="n">
        <v>0.933333333333333</v>
      </c>
      <c r="D49" s="60" t="n">
        <v>0.125114155251142</v>
      </c>
      <c r="E49" s="59" t="n">
        <v>0.785714285714286</v>
      </c>
      <c r="F49" s="60" t="n">
        <v>-0.0702179176755448</v>
      </c>
      <c r="G49" s="59" t="n">
        <v>0.733333333333333</v>
      </c>
      <c r="H49" s="60" t="n">
        <v>0.0415525114155251</v>
      </c>
      <c r="I49" s="25" t="s">
        <v>404</v>
      </c>
    </row>
    <row r="50" customFormat="false" ht="15" hidden="false" customHeight="true" outlineLevel="0" collapsed="false">
      <c r="A50" s="22" t="s">
        <v>132</v>
      </c>
      <c r="B50" s="31" t="n">
        <v>11</v>
      </c>
      <c r="C50" s="31" t="s">
        <v>282</v>
      </c>
      <c r="D50" s="31" t="s">
        <v>282</v>
      </c>
      <c r="E50" s="31" t="s">
        <v>282</v>
      </c>
      <c r="F50" s="31" t="s">
        <v>282</v>
      </c>
      <c r="G50" s="31" t="s">
        <v>282</v>
      </c>
      <c r="H50" s="31" t="s">
        <v>282</v>
      </c>
      <c r="I50" s="25" t="s">
        <v>404</v>
      </c>
    </row>
    <row r="52" customFormat="false" ht="15" hidden="false" customHeight="true" outlineLevel="0" collapsed="false">
      <c r="A52" s="28" t="s">
        <v>408</v>
      </c>
      <c r="B52" s="28"/>
      <c r="C52" s="28"/>
      <c r="D52" s="28"/>
      <c r="E52" s="28"/>
      <c r="F52" s="28"/>
      <c r="G52" s="28"/>
      <c r="H52" s="28"/>
      <c r="I52" s="28"/>
    </row>
    <row r="53" customFormat="false" ht="15" hidden="false" customHeight="true" outlineLevel="0" collapsed="false">
      <c r="A53" s="34" t="s">
        <v>398</v>
      </c>
      <c r="B53" s="57" t="n">
        <v>80</v>
      </c>
      <c r="C53" s="35" t="n">
        <v>0.85</v>
      </c>
      <c r="D53" s="36"/>
      <c r="E53" s="35" t="n">
        <v>0.911764705882353</v>
      </c>
      <c r="F53" s="36"/>
      <c r="G53" s="35" t="n">
        <v>0.775</v>
      </c>
      <c r="H53" s="36"/>
      <c r="I53" s="36"/>
    </row>
    <row r="54" customFormat="false" ht="15" hidden="false" customHeight="true" outlineLevel="0" collapsed="false">
      <c r="A54" s="12" t="s">
        <v>400</v>
      </c>
      <c r="B54" s="12" t="s">
        <v>333</v>
      </c>
      <c r="C54" s="12" t="s">
        <v>388</v>
      </c>
      <c r="D54" s="12" t="s">
        <v>401</v>
      </c>
      <c r="E54" s="12" t="s">
        <v>392</v>
      </c>
      <c r="F54" s="12" t="s">
        <v>401</v>
      </c>
      <c r="G54" s="12" t="s">
        <v>402</v>
      </c>
      <c r="H54" s="12" t="s">
        <v>401</v>
      </c>
      <c r="I54" s="12" t="s">
        <v>142</v>
      </c>
    </row>
    <row r="55" customFormat="false" ht="15" hidden="false" customHeight="true" outlineLevel="0" collapsed="false">
      <c r="A55" s="22" t="s">
        <v>130</v>
      </c>
      <c r="B55" s="31" t="n">
        <v>16</v>
      </c>
      <c r="C55" s="61" t="n">
        <v>0.6875</v>
      </c>
      <c r="D55" s="60" t="n">
        <v>-0.1625</v>
      </c>
      <c r="E55" s="59" t="n">
        <v>1.18181818181818</v>
      </c>
      <c r="F55" s="60" t="n">
        <v>0.270053475935829</v>
      </c>
      <c r="G55" s="59" t="n">
        <v>0.8125</v>
      </c>
      <c r="H55" s="60" t="n">
        <v>0.0375</v>
      </c>
      <c r="I55" s="25" t="s">
        <v>404</v>
      </c>
    </row>
    <row r="56" customFormat="false" ht="15" hidden="false" customHeight="true" outlineLevel="0" collapsed="false">
      <c r="A56" s="22" t="s">
        <v>132</v>
      </c>
      <c r="B56" s="31" t="n">
        <v>23</v>
      </c>
      <c r="C56" s="31" t="s">
        <v>282</v>
      </c>
      <c r="D56" s="31" t="s">
        <v>282</v>
      </c>
      <c r="E56" s="31" t="s">
        <v>282</v>
      </c>
      <c r="F56" s="31" t="s">
        <v>282</v>
      </c>
      <c r="G56" s="31" t="s">
        <v>282</v>
      </c>
      <c r="H56" s="31" t="s">
        <v>282</v>
      </c>
      <c r="I56" s="25" t="s">
        <v>404</v>
      </c>
    </row>
    <row r="58" customFormat="false" ht="15" hidden="false" customHeight="true" outlineLevel="0" collapsed="false">
      <c r="A58" s="28" t="s">
        <v>409</v>
      </c>
      <c r="B58" s="28"/>
      <c r="C58" s="28"/>
      <c r="D58" s="28"/>
      <c r="E58" s="28"/>
      <c r="F58" s="28"/>
      <c r="G58" s="28"/>
      <c r="H58" s="28"/>
      <c r="I58" s="28"/>
    </row>
    <row r="59" customFormat="false" ht="15" hidden="false" customHeight="true" outlineLevel="0" collapsed="false">
      <c r="A59" s="34" t="s">
        <v>398</v>
      </c>
      <c r="B59" s="57" t="n">
        <v>248</v>
      </c>
      <c r="C59" s="35" t="n">
        <v>0.673387096774194</v>
      </c>
      <c r="D59" s="36"/>
      <c r="E59" s="35" t="n">
        <v>0.790419161676647</v>
      </c>
      <c r="F59" s="36"/>
      <c r="G59" s="35" t="n">
        <v>0.532258064516129</v>
      </c>
      <c r="H59" s="36"/>
      <c r="I59" s="36"/>
    </row>
    <row r="60" customFormat="false" ht="15" hidden="false" customHeight="true" outlineLevel="0" collapsed="false">
      <c r="A60" s="12" t="s">
        <v>400</v>
      </c>
      <c r="B60" s="12" t="s">
        <v>333</v>
      </c>
      <c r="C60" s="12" t="s">
        <v>388</v>
      </c>
      <c r="D60" s="12" t="s">
        <v>401</v>
      </c>
      <c r="E60" s="12" t="s">
        <v>392</v>
      </c>
      <c r="F60" s="12" t="s">
        <v>401</v>
      </c>
      <c r="G60" s="12" t="s">
        <v>402</v>
      </c>
      <c r="H60" s="12" t="s">
        <v>401</v>
      </c>
      <c r="I60" s="12" t="s">
        <v>142</v>
      </c>
    </row>
    <row r="61" customFormat="false" ht="15" hidden="false" customHeight="true" outlineLevel="0" collapsed="false">
      <c r="A61" s="22" t="s">
        <v>130</v>
      </c>
      <c r="B61" s="31" t="n">
        <v>21</v>
      </c>
      <c r="C61" s="59" t="n">
        <v>0.619047619047619</v>
      </c>
      <c r="D61" s="60" t="n">
        <v>-0.0543394777265744</v>
      </c>
      <c r="E61" s="59" t="n">
        <v>1.15384615384615</v>
      </c>
      <c r="F61" s="60" t="n">
        <v>0.363426992169507</v>
      </c>
      <c r="G61" s="59" t="n">
        <v>0.714285714285714</v>
      </c>
      <c r="H61" s="60" t="n">
        <v>0.182027649769585</v>
      </c>
      <c r="I61" s="25" t="s">
        <v>404</v>
      </c>
    </row>
    <row r="62" customFormat="false" ht="15" hidden="false" customHeight="true" outlineLevel="0" collapsed="false">
      <c r="A62" s="22" t="s">
        <v>131</v>
      </c>
      <c r="B62" s="31" t="n">
        <v>9</v>
      </c>
      <c r="C62" s="59" t="n">
        <v>1</v>
      </c>
      <c r="D62" s="60" t="n">
        <v>0.326612903225807</v>
      </c>
      <c r="E62" s="31" t="s">
        <v>282</v>
      </c>
      <c r="F62" s="31" t="s">
        <v>282</v>
      </c>
      <c r="G62" s="31" t="s">
        <v>282</v>
      </c>
      <c r="H62" s="31" t="s">
        <v>282</v>
      </c>
      <c r="I62" s="25" t="s">
        <v>404</v>
      </c>
    </row>
    <row r="63" customFormat="false" ht="15" hidden="false" customHeight="true" outlineLevel="0" collapsed="false">
      <c r="A63" s="22" t="s">
        <v>132</v>
      </c>
      <c r="B63" s="31" t="n">
        <v>13</v>
      </c>
      <c r="C63" s="31" t="s">
        <v>282</v>
      </c>
      <c r="D63" s="31" t="s">
        <v>282</v>
      </c>
      <c r="E63" s="31" t="s">
        <v>282</v>
      </c>
      <c r="F63" s="31" t="s">
        <v>282</v>
      </c>
      <c r="G63" s="31" t="s">
        <v>282</v>
      </c>
      <c r="H63" s="31" t="s">
        <v>282</v>
      </c>
      <c r="I63" s="25" t="s">
        <v>404</v>
      </c>
    </row>
    <row r="65" customFormat="false" ht="15" hidden="false" customHeight="true" outlineLevel="0" collapsed="false">
      <c r="A65" s="28" t="s">
        <v>410</v>
      </c>
      <c r="B65" s="28"/>
      <c r="C65" s="28"/>
      <c r="D65" s="28"/>
      <c r="E65" s="28"/>
      <c r="F65" s="28"/>
      <c r="G65" s="28"/>
      <c r="H65" s="28"/>
      <c r="I65" s="28"/>
    </row>
    <row r="66" customFormat="false" ht="15" hidden="false" customHeight="true" outlineLevel="0" collapsed="false">
      <c r="A66" s="34" t="s">
        <v>398</v>
      </c>
      <c r="B66" s="57" t="n">
        <v>474</v>
      </c>
      <c r="C66" s="35" t="n">
        <v>0.772151898734177</v>
      </c>
      <c r="D66" s="36"/>
      <c r="E66" s="35" t="n">
        <v>0.846994535519126</v>
      </c>
      <c r="F66" s="36"/>
      <c r="G66" s="35" t="n">
        <v>0.654008438818565</v>
      </c>
      <c r="H66" s="36"/>
      <c r="I66" s="36"/>
    </row>
    <row r="67" customFormat="false" ht="15" hidden="false" customHeight="true" outlineLevel="0" collapsed="false">
      <c r="A67" s="12" t="s">
        <v>400</v>
      </c>
      <c r="B67" s="12" t="s">
        <v>333</v>
      </c>
      <c r="C67" s="12" t="s">
        <v>388</v>
      </c>
      <c r="D67" s="12" t="s">
        <v>401</v>
      </c>
      <c r="E67" s="12" t="s">
        <v>392</v>
      </c>
      <c r="F67" s="12" t="s">
        <v>401</v>
      </c>
      <c r="G67" s="12" t="s">
        <v>402</v>
      </c>
      <c r="H67" s="12" t="s">
        <v>401</v>
      </c>
      <c r="I67" s="12" t="s">
        <v>142</v>
      </c>
    </row>
    <row r="68" customFormat="false" ht="15" hidden="false" customHeight="true" outlineLevel="0" collapsed="false">
      <c r="A68" s="22" t="s">
        <v>130</v>
      </c>
      <c r="B68" s="31" t="n">
        <v>43</v>
      </c>
      <c r="C68" s="61" t="n">
        <v>0.627906976744186</v>
      </c>
      <c r="D68" s="60" t="n">
        <v>-0.144244921989991</v>
      </c>
      <c r="E68" s="59" t="n">
        <v>1</v>
      </c>
      <c r="F68" s="60" t="n">
        <v>0.153005464480874</v>
      </c>
      <c r="G68" s="59" t="n">
        <v>0.627906976744186</v>
      </c>
      <c r="H68" s="60" t="n">
        <v>-0.0261014620743794</v>
      </c>
      <c r="I68" s="22" t="s">
        <v>156</v>
      </c>
    </row>
    <row r="69" customFormat="false" ht="15" hidden="false" customHeight="true" outlineLevel="0" collapsed="false">
      <c r="A69" s="22" t="s">
        <v>131</v>
      </c>
      <c r="B69" s="31" t="n">
        <v>22</v>
      </c>
      <c r="C69" s="59" t="n">
        <v>0.818181818181818</v>
      </c>
      <c r="D69" s="60" t="n">
        <v>0.046029919447641</v>
      </c>
      <c r="E69" s="31" t="s">
        <v>282</v>
      </c>
      <c r="F69" s="31" t="s">
        <v>282</v>
      </c>
      <c r="G69" s="31" t="s">
        <v>282</v>
      </c>
      <c r="H69" s="31" t="s">
        <v>282</v>
      </c>
      <c r="I69" s="25" t="s">
        <v>404</v>
      </c>
    </row>
    <row r="70" customFormat="false" ht="15" hidden="false" customHeight="true" outlineLevel="0" collapsed="false">
      <c r="A70" s="22" t="s">
        <v>132</v>
      </c>
      <c r="B70" s="31" t="n">
        <v>51</v>
      </c>
      <c r="C70" s="31" t="s">
        <v>282</v>
      </c>
      <c r="D70" s="31" t="s">
        <v>282</v>
      </c>
      <c r="E70" s="31" t="s">
        <v>282</v>
      </c>
      <c r="F70" s="31" t="s">
        <v>282</v>
      </c>
      <c r="G70" s="31" t="s">
        <v>282</v>
      </c>
      <c r="H70" s="31" t="s">
        <v>282</v>
      </c>
      <c r="I70" s="22" t="s">
        <v>156</v>
      </c>
    </row>
    <row r="72" customFormat="false" ht="15" hidden="false" customHeight="true" outlineLevel="0" collapsed="false">
      <c r="A72" s="28" t="s">
        <v>411</v>
      </c>
      <c r="B72" s="28"/>
      <c r="C72" s="28"/>
      <c r="D72" s="28"/>
      <c r="E72" s="28"/>
      <c r="F72" s="28"/>
      <c r="G72" s="28"/>
      <c r="H72" s="28"/>
      <c r="I72" s="28"/>
    </row>
    <row r="73" customFormat="false" ht="15" hidden="false" customHeight="true" outlineLevel="0" collapsed="false">
      <c r="A73" s="34" t="s">
        <v>398</v>
      </c>
      <c r="B73" s="57" t="n">
        <v>505</v>
      </c>
      <c r="C73" s="35" t="n">
        <v>0.685148514851485</v>
      </c>
      <c r="D73" s="36"/>
      <c r="E73" s="35" t="n">
        <v>0.832369942196532</v>
      </c>
      <c r="F73" s="36"/>
      <c r="G73" s="35" t="n">
        <v>0.57029702970297</v>
      </c>
      <c r="H73" s="36"/>
      <c r="I73" s="36"/>
    </row>
    <row r="74" customFormat="false" ht="15" hidden="false" customHeight="true" outlineLevel="0" collapsed="false">
      <c r="A74" s="12" t="s">
        <v>400</v>
      </c>
      <c r="B74" s="12" t="s">
        <v>333</v>
      </c>
      <c r="C74" s="12" t="s">
        <v>388</v>
      </c>
      <c r="D74" s="12" t="s">
        <v>401</v>
      </c>
      <c r="E74" s="12" t="s">
        <v>392</v>
      </c>
      <c r="F74" s="12" t="s">
        <v>401</v>
      </c>
      <c r="G74" s="12" t="s">
        <v>402</v>
      </c>
      <c r="H74" s="12" t="s">
        <v>401</v>
      </c>
      <c r="I74" s="12" t="s">
        <v>142</v>
      </c>
    </row>
    <row r="75" customFormat="false" ht="15" hidden="false" customHeight="true" outlineLevel="0" collapsed="false">
      <c r="A75" s="22" t="s">
        <v>130</v>
      </c>
      <c r="B75" s="31" t="n">
        <v>34</v>
      </c>
      <c r="C75" s="59" t="n">
        <v>0.764705882352941</v>
      </c>
      <c r="D75" s="60" t="n">
        <v>0.0795573675014559</v>
      </c>
      <c r="E75" s="59" t="n">
        <v>0.884615384615385</v>
      </c>
      <c r="F75" s="60" t="n">
        <v>0.052245442418853</v>
      </c>
      <c r="G75" s="59" t="n">
        <v>0.676470588235294</v>
      </c>
      <c r="H75" s="60" t="n">
        <v>0.106173558532324</v>
      </c>
      <c r="I75" s="22" t="s">
        <v>156</v>
      </c>
    </row>
    <row r="76" customFormat="false" ht="15" hidden="false" customHeight="true" outlineLevel="0" collapsed="false">
      <c r="A76" s="22" t="s">
        <v>131</v>
      </c>
      <c r="B76" s="31" t="n">
        <v>22</v>
      </c>
      <c r="C76" s="59" t="n">
        <v>0.727272727272727</v>
      </c>
      <c r="D76" s="60" t="n">
        <v>0.0421242124212421</v>
      </c>
      <c r="E76" s="31" t="s">
        <v>282</v>
      </c>
      <c r="F76" s="31" t="s">
        <v>282</v>
      </c>
      <c r="G76" s="31" t="s">
        <v>282</v>
      </c>
      <c r="H76" s="31" t="s">
        <v>282</v>
      </c>
      <c r="I76" s="25" t="s">
        <v>404</v>
      </c>
    </row>
    <row r="77" customFormat="false" ht="15" hidden="false" customHeight="true" outlineLevel="0" collapsed="false">
      <c r="A77" s="22" t="s">
        <v>132</v>
      </c>
      <c r="B77" s="31" t="n">
        <v>48</v>
      </c>
      <c r="C77" s="31" t="s">
        <v>282</v>
      </c>
      <c r="D77" s="31" t="s">
        <v>282</v>
      </c>
      <c r="E77" s="31" t="s">
        <v>282</v>
      </c>
      <c r="F77" s="31" t="s">
        <v>282</v>
      </c>
      <c r="G77" s="31" t="s">
        <v>282</v>
      </c>
      <c r="H77" s="31" t="s">
        <v>282</v>
      </c>
      <c r="I77" s="22" t="s">
        <v>156</v>
      </c>
    </row>
    <row r="79" customFormat="false" ht="15" hidden="false" customHeight="true" outlineLevel="0" collapsed="false">
      <c r="A79" s="28" t="s">
        <v>412</v>
      </c>
      <c r="B79" s="28"/>
      <c r="C79" s="28"/>
      <c r="D79" s="28"/>
      <c r="E79" s="28"/>
      <c r="F79" s="28"/>
      <c r="G79" s="28"/>
      <c r="H79" s="28"/>
      <c r="I79" s="28"/>
    </row>
    <row r="80" customFormat="false" ht="15" hidden="false" customHeight="true" outlineLevel="0" collapsed="false">
      <c r="A80" s="34" t="s">
        <v>398</v>
      </c>
      <c r="B80" s="57" t="n">
        <v>256</v>
      </c>
      <c r="C80" s="35" t="n">
        <v>0.8515625</v>
      </c>
      <c r="D80" s="36"/>
      <c r="E80" s="35" t="n">
        <v>0.954128440366973</v>
      </c>
      <c r="F80" s="36"/>
      <c r="G80" s="35" t="n">
        <v>0.8125</v>
      </c>
      <c r="H80" s="36"/>
      <c r="I80" s="36"/>
    </row>
    <row r="81" customFormat="false" ht="15" hidden="false" customHeight="true" outlineLevel="0" collapsed="false">
      <c r="A81" s="12" t="s">
        <v>400</v>
      </c>
      <c r="B81" s="12" t="s">
        <v>333</v>
      </c>
      <c r="C81" s="12" t="s">
        <v>388</v>
      </c>
      <c r="D81" s="12" t="s">
        <v>401</v>
      </c>
      <c r="E81" s="12" t="s">
        <v>392</v>
      </c>
      <c r="F81" s="12" t="s">
        <v>401</v>
      </c>
      <c r="G81" s="12" t="s">
        <v>402</v>
      </c>
      <c r="H81" s="12" t="s">
        <v>401</v>
      </c>
      <c r="I81" s="12" t="s">
        <v>142</v>
      </c>
    </row>
    <row r="82" customFormat="false" ht="15" hidden="false" customHeight="true" outlineLevel="0" collapsed="false">
      <c r="A82" s="22" t="s">
        <v>130</v>
      </c>
      <c r="B82" s="31" t="n">
        <v>16</v>
      </c>
      <c r="C82" s="59" t="n">
        <v>0.8125</v>
      </c>
      <c r="D82" s="60" t="n">
        <v>-0.0390625</v>
      </c>
      <c r="E82" s="59" t="n">
        <v>1.15384615384615</v>
      </c>
      <c r="F82" s="60" t="n">
        <v>0.199717713479181</v>
      </c>
      <c r="G82" s="59" t="n">
        <v>0.9375</v>
      </c>
      <c r="H82" s="60" t="n">
        <v>0.125</v>
      </c>
      <c r="I82" s="25" t="s">
        <v>404</v>
      </c>
    </row>
    <row r="83" customFormat="false" ht="15" hidden="false" customHeight="true" outlineLevel="0" collapsed="false">
      <c r="A83" s="22" t="s">
        <v>131</v>
      </c>
      <c r="B83" s="31" t="n">
        <v>10</v>
      </c>
      <c r="C83" s="59" t="n">
        <v>1</v>
      </c>
      <c r="D83" s="60" t="n">
        <v>0.1484375</v>
      </c>
      <c r="E83" s="31" t="s">
        <v>282</v>
      </c>
      <c r="F83" s="31" t="s">
        <v>282</v>
      </c>
      <c r="G83" s="31" t="s">
        <v>282</v>
      </c>
      <c r="H83" s="31" t="s">
        <v>282</v>
      </c>
      <c r="I83" s="25" t="s">
        <v>404</v>
      </c>
    </row>
    <row r="84" customFormat="false" ht="15" hidden="false" customHeight="true" outlineLevel="0" collapsed="false">
      <c r="A84" s="22" t="s">
        <v>132</v>
      </c>
      <c r="B84" s="31" t="n">
        <v>13</v>
      </c>
      <c r="C84" s="31" t="s">
        <v>282</v>
      </c>
      <c r="D84" s="31" t="s">
        <v>282</v>
      </c>
      <c r="E84" s="31" t="s">
        <v>282</v>
      </c>
      <c r="F84" s="31" t="s">
        <v>282</v>
      </c>
      <c r="G84" s="31" t="s">
        <v>282</v>
      </c>
      <c r="H84" s="31" t="s">
        <v>282</v>
      </c>
      <c r="I84" s="25" t="s">
        <v>404</v>
      </c>
    </row>
    <row r="86" customFormat="false" ht="15" hidden="false" customHeight="true" outlineLevel="0" collapsed="false">
      <c r="A86" s="28" t="s">
        <v>413</v>
      </c>
      <c r="B86" s="28"/>
      <c r="C86" s="28"/>
      <c r="D86" s="28"/>
      <c r="E86" s="28"/>
      <c r="F86" s="28"/>
      <c r="G86" s="28"/>
      <c r="H86" s="28"/>
      <c r="I86" s="28"/>
    </row>
    <row r="87" customFormat="false" ht="15" hidden="false" customHeight="true" outlineLevel="0" collapsed="false">
      <c r="A87" s="34" t="s">
        <v>398</v>
      </c>
      <c r="B87" s="57" t="n">
        <v>240</v>
      </c>
      <c r="C87" s="35" t="n">
        <v>0.8375</v>
      </c>
      <c r="D87" s="36"/>
      <c r="E87" s="35" t="n">
        <v>0.940298507462687</v>
      </c>
      <c r="F87" s="36"/>
      <c r="G87" s="35" t="n">
        <v>0.7875</v>
      </c>
      <c r="H87" s="36"/>
      <c r="I87" s="36"/>
    </row>
    <row r="88" customFormat="false" ht="15" hidden="false" customHeight="true" outlineLevel="0" collapsed="false">
      <c r="A88" s="12" t="s">
        <v>400</v>
      </c>
      <c r="B88" s="12" t="s">
        <v>333</v>
      </c>
      <c r="C88" s="12" t="s">
        <v>388</v>
      </c>
      <c r="D88" s="12" t="s">
        <v>401</v>
      </c>
      <c r="E88" s="12" t="s">
        <v>392</v>
      </c>
      <c r="F88" s="12" t="s">
        <v>401</v>
      </c>
      <c r="G88" s="12" t="s">
        <v>402</v>
      </c>
      <c r="H88" s="12" t="s">
        <v>401</v>
      </c>
      <c r="I88" s="12" t="s">
        <v>142</v>
      </c>
    </row>
    <row r="89" customFormat="false" ht="15" hidden="false" customHeight="true" outlineLevel="0" collapsed="false">
      <c r="A89" s="22" t="s">
        <v>130</v>
      </c>
      <c r="B89" s="31" t="n">
        <v>43</v>
      </c>
      <c r="C89" s="59" t="n">
        <v>0.883720930232558</v>
      </c>
      <c r="D89" s="60" t="n">
        <v>0.0462209302325581</v>
      </c>
      <c r="E89" s="59" t="n">
        <v>0.868421052631579</v>
      </c>
      <c r="F89" s="60" t="n">
        <v>-0.0718774548311075</v>
      </c>
      <c r="G89" s="59" t="n">
        <v>0.767441860465116</v>
      </c>
      <c r="H89" s="60" t="n">
        <v>-0.0200581395348837</v>
      </c>
      <c r="I89" s="22" t="s">
        <v>156</v>
      </c>
    </row>
    <row r="90" customFormat="false" ht="15" hidden="false" customHeight="true" outlineLevel="0" collapsed="false">
      <c r="A90" s="22" t="s">
        <v>131</v>
      </c>
      <c r="B90" s="31" t="n">
        <v>10</v>
      </c>
      <c r="C90" s="59" t="n">
        <v>0.9</v>
      </c>
      <c r="D90" s="60" t="n">
        <v>0.0625</v>
      </c>
      <c r="E90" s="31" t="s">
        <v>282</v>
      </c>
      <c r="F90" s="31" t="s">
        <v>282</v>
      </c>
      <c r="G90" s="31" t="s">
        <v>282</v>
      </c>
      <c r="H90" s="31" t="s">
        <v>282</v>
      </c>
      <c r="I90" s="25" t="s">
        <v>404</v>
      </c>
    </row>
    <row r="91" customFormat="false" ht="15" hidden="false" customHeight="true" outlineLevel="0" collapsed="false">
      <c r="A91" s="22" t="s">
        <v>132</v>
      </c>
      <c r="B91" s="31" t="n">
        <v>51</v>
      </c>
      <c r="C91" s="31" t="s">
        <v>282</v>
      </c>
      <c r="D91" s="31" t="s">
        <v>282</v>
      </c>
      <c r="E91" s="31" t="s">
        <v>282</v>
      </c>
      <c r="F91" s="31" t="s">
        <v>282</v>
      </c>
      <c r="G91" s="31" t="s">
        <v>282</v>
      </c>
      <c r="H91" s="31" t="s">
        <v>282</v>
      </c>
      <c r="I91" s="22" t="s">
        <v>156</v>
      </c>
    </row>
    <row r="93" customFormat="false" ht="15" hidden="false" customHeight="true" outlineLevel="0" collapsed="false">
      <c r="A93" s="28" t="s">
        <v>414</v>
      </c>
      <c r="B93" s="28"/>
      <c r="C93" s="28"/>
      <c r="D93" s="28"/>
      <c r="E93" s="28"/>
      <c r="F93" s="28"/>
      <c r="G93" s="28"/>
      <c r="H93" s="28"/>
      <c r="I93" s="28"/>
    </row>
    <row r="94" customFormat="false" ht="15" hidden="false" customHeight="true" outlineLevel="0" collapsed="false">
      <c r="A94" s="34" t="s">
        <v>398</v>
      </c>
      <c r="B94" s="57" t="n">
        <v>115</v>
      </c>
      <c r="C94" s="35" t="n">
        <v>0.88695652173913</v>
      </c>
      <c r="D94" s="36"/>
      <c r="E94" s="35" t="n">
        <v>0.980392156862745</v>
      </c>
      <c r="F94" s="36"/>
      <c r="G94" s="35" t="n">
        <v>0.869565217391304</v>
      </c>
      <c r="H94" s="36"/>
      <c r="I94" s="36"/>
    </row>
    <row r="95" customFormat="false" ht="15" hidden="false" customHeight="true" outlineLevel="0" collapsed="false">
      <c r="A95" s="12" t="s">
        <v>400</v>
      </c>
      <c r="B95" s="12" t="s">
        <v>333</v>
      </c>
      <c r="C95" s="12" t="s">
        <v>388</v>
      </c>
      <c r="D95" s="12" t="s">
        <v>401</v>
      </c>
      <c r="E95" s="12" t="s">
        <v>392</v>
      </c>
      <c r="F95" s="12" t="s">
        <v>401</v>
      </c>
      <c r="G95" s="12" t="s">
        <v>402</v>
      </c>
      <c r="H95" s="12" t="s">
        <v>401</v>
      </c>
      <c r="I95" s="12" t="s">
        <v>142</v>
      </c>
    </row>
    <row r="96" customFormat="false" ht="15" hidden="false" customHeight="true" outlineLevel="0" collapsed="false">
      <c r="A96" s="22" t="s">
        <v>130</v>
      </c>
      <c r="B96" s="31" t="n">
        <v>13</v>
      </c>
      <c r="C96" s="59" t="n">
        <v>0.923076923076923</v>
      </c>
      <c r="D96" s="60" t="n">
        <v>0.0361204013377927</v>
      </c>
      <c r="E96" s="59" t="n">
        <v>1</v>
      </c>
      <c r="F96" s="60" t="n">
        <v>0.0196078431372549</v>
      </c>
      <c r="G96" s="59" t="n">
        <v>0.923076923076923</v>
      </c>
      <c r="H96" s="60" t="n">
        <v>0.0535117056856188</v>
      </c>
      <c r="I96" s="25" t="s">
        <v>404</v>
      </c>
    </row>
    <row r="97" customFormat="false" ht="15" hidden="false" customHeight="true" outlineLevel="0" collapsed="false">
      <c r="A97" s="22" t="s">
        <v>132</v>
      </c>
      <c r="B97" s="31" t="n">
        <v>14</v>
      </c>
      <c r="C97" s="31" t="s">
        <v>282</v>
      </c>
      <c r="D97" s="31" t="s">
        <v>282</v>
      </c>
      <c r="E97" s="31" t="s">
        <v>282</v>
      </c>
      <c r="F97" s="31" t="s">
        <v>282</v>
      </c>
      <c r="G97" s="31" t="s">
        <v>282</v>
      </c>
      <c r="H97" s="31" t="s">
        <v>282</v>
      </c>
      <c r="I97" s="25" t="s">
        <v>404</v>
      </c>
    </row>
    <row r="99" customFormat="false" ht="15" hidden="false" customHeight="true" outlineLevel="0" collapsed="false">
      <c r="A99" s="28" t="s">
        <v>415</v>
      </c>
      <c r="B99" s="28"/>
      <c r="C99" s="28"/>
      <c r="D99" s="28"/>
      <c r="E99" s="28"/>
      <c r="F99" s="28"/>
      <c r="G99" s="28"/>
      <c r="H99" s="28"/>
      <c r="I99" s="28"/>
    </row>
    <row r="100" customFormat="false" ht="15" hidden="false" customHeight="true" outlineLevel="0" collapsed="false">
      <c r="A100" s="34" t="s">
        <v>398</v>
      </c>
      <c r="B100" s="57"/>
      <c r="C100" s="36"/>
      <c r="D100" s="36"/>
      <c r="E100" s="36"/>
      <c r="F100" s="36"/>
      <c r="G100" s="36"/>
      <c r="H100" s="36"/>
      <c r="I100" s="58" t="s">
        <v>399</v>
      </c>
    </row>
    <row r="101" customFormat="false" ht="15" hidden="false" customHeight="true" outlineLevel="0" collapsed="false">
      <c r="A101" s="12" t="s">
        <v>400</v>
      </c>
      <c r="B101" s="12" t="s">
        <v>333</v>
      </c>
      <c r="C101" s="12" t="s">
        <v>388</v>
      </c>
      <c r="D101" s="12" t="s">
        <v>401</v>
      </c>
      <c r="E101" s="12" t="s">
        <v>392</v>
      </c>
      <c r="F101" s="12" t="s">
        <v>401</v>
      </c>
      <c r="G101" s="12" t="s">
        <v>402</v>
      </c>
      <c r="H101" s="12" t="s">
        <v>401</v>
      </c>
      <c r="I101" s="12" t="s">
        <v>142</v>
      </c>
    </row>
    <row r="102" customFormat="false" ht="15" hidden="false" customHeight="true" outlineLevel="0" collapsed="false">
      <c r="A102" s="22" t="s">
        <v>130</v>
      </c>
      <c r="B102" s="31" t="n">
        <v>10</v>
      </c>
      <c r="C102" s="59" t="n">
        <v>0.8</v>
      </c>
      <c r="D102" s="31" t="s">
        <v>282</v>
      </c>
      <c r="E102" s="59" t="n">
        <v>1</v>
      </c>
      <c r="F102" s="31" t="s">
        <v>282</v>
      </c>
      <c r="G102" s="59" t="n">
        <v>0.8</v>
      </c>
      <c r="H102" s="31" t="s">
        <v>282</v>
      </c>
      <c r="I102" s="25" t="s">
        <v>404</v>
      </c>
    </row>
    <row r="103" customFormat="false" ht="15" hidden="false" customHeight="true" outlineLevel="0" collapsed="false">
      <c r="A103" s="22" t="s">
        <v>132</v>
      </c>
      <c r="B103" s="31" t="n">
        <v>7</v>
      </c>
      <c r="C103" s="31" t="s">
        <v>282</v>
      </c>
      <c r="D103" s="31" t="s">
        <v>282</v>
      </c>
      <c r="E103" s="31" t="s">
        <v>282</v>
      </c>
      <c r="F103" s="31" t="s">
        <v>282</v>
      </c>
      <c r="G103" s="31" t="s">
        <v>282</v>
      </c>
      <c r="H103" s="31" t="s">
        <v>282</v>
      </c>
      <c r="I103" s="25" t="s">
        <v>404</v>
      </c>
    </row>
    <row r="105" customFormat="false" ht="15" hidden="false" customHeight="true" outlineLevel="0" collapsed="false">
      <c r="A105" s="28" t="s">
        <v>416</v>
      </c>
      <c r="B105" s="28"/>
      <c r="C105" s="28"/>
      <c r="D105" s="28"/>
      <c r="E105" s="28"/>
      <c r="F105" s="28"/>
      <c r="G105" s="28"/>
      <c r="H105" s="28"/>
      <c r="I105" s="28"/>
    </row>
    <row r="106" customFormat="false" ht="15" hidden="false" customHeight="true" outlineLevel="0" collapsed="false">
      <c r="A106" s="34" t="s">
        <v>398</v>
      </c>
      <c r="B106" s="57"/>
      <c r="C106" s="36"/>
      <c r="D106" s="36"/>
      <c r="E106" s="36"/>
      <c r="F106" s="36"/>
      <c r="G106" s="36"/>
      <c r="H106" s="36"/>
      <c r="I106" s="58" t="s">
        <v>399</v>
      </c>
    </row>
    <row r="107" customFormat="false" ht="15" hidden="false" customHeight="true" outlineLevel="0" collapsed="false">
      <c r="A107" s="12" t="s">
        <v>400</v>
      </c>
      <c r="B107" s="12" t="s">
        <v>333</v>
      </c>
      <c r="C107" s="12" t="s">
        <v>388</v>
      </c>
      <c r="D107" s="12" t="s">
        <v>401</v>
      </c>
      <c r="E107" s="12" t="s">
        <v>392</v>
      </c>
      <c r="F107" s="12" t="s">
        <v>401</v>
      </c>
      <c r="G107" s="12" t="s">
        <v>402</v>
      </c>
      <c r="H107" s="12" t="s">
        <v>401</v>
      </c>
      <c r="I107" s="12" t="s">
        <v>142</v>
      </c>
    </row>
    <row r="108" customFormat="false" ht="15" hidden="false" customHeight="true" outlineLevel="0" collapsed="false">
      <c r="A108" s="22" t="s">
        <v>130</v>
      </c>
      <c r="B108" s="31" t="n">
        <v>7</v>
      </c>
      <c r="C108" s="59" t="n">
        <v>0.714285714285714</v>
      </c>
      <c r="D108" s="31" t="s">
        <v>282</v>
      </c>
      <c r="E108" s="59" t="n">
        <v>1</v>
      </c>
      <c r="F108" s="31" t="s">
        <v>282</v>
      </c>
      <c r="G108" s="59" t="n">
        <v>0.714285714285714</v>
      </c>
      <c r="H108" s="31" t="s">
        <v>282</v>
      </c>
      <c r="I108" s="25" t="s">
        <v>404</v>
      </c>
    </row>
    <row r="109" customFormat="false" ht="15" hidden="false" customHeight="true" outlineLevel="0" collapsed="false">
      <c r="A109" s="22" t="s">
        <v>132</v>
      </c>
      <c r="B109" s="31" t="n">
        <v>6</v>
      </c>
      <c r="C109" s="31" t="s">
        <v>282</v>
      </c>
      <c r="D109" s="31" t="s">
        <v>282</v>
      </c>
      <c r="E109" s="31" t="s">
        <v>282</v>
      </c>
      <c r="F109" s="31" t="s">
        <v>282</v>
      </c>
      <c r="G109" s="31" t="s">
        <v>282</v>
      </c>
      <c r="H109" s="31" t="s">
        <v>282</v>
      </c>
      <c r="I109" s="25" t="s">
        <v>404</v>
      </c>
    </row>
    <row r="111" customFormat="false" ht="15" hidden="false" customHeight="true" outlineLevel="0" collapsed="false">
      <c r="A111" s="28" t="s">
        <v>417</v>
      </c>
      <c r="B111" s="28"/>
      <c r="C111" s="28"/>
      <c r="D111" s="28"/>
      <c r="E111" s="28"/>
      <c r="F111" s="28"/>
      <c r="G111" s="28"/>
      <c r="H111" s="28"/>
      <c r="I111" s="28"/>
    </row>
    <row r="112" customFormat="false" ht="15" hidden="false" customHeight="true" outlineLevel="0" collapsed="false">
      <c r="A112" s="34" t="s">
        <v>398</v>
      </c>
      <c r="B112" s="57" t="n">
        <v>254</v>
      </c>
      <c r="C112" s="35" t="n">
        <v>0.791338582677165</v>
      </c>
      <c r="D112" s="36"/>
      <c r="E112" s="35" t="n">
        <v>0.915422885572139</v>
      </c>
      <c r="F112" s="36"/>
      <c r="G112" s="35" t="n">
        <v>0.724409448818898</v>
      </c>
      <c r="H112" s="36"/>
      <c r="I112" s="36"/>
    </row>
    <row r="113" customFormat="false" ht="15" hidden="false" customHeight="true" outlineLevel="0" collapsed="false">
      <c r="A113" s="12" t="s">
        <v>400</v>
      </c>
      <c r="B113" s="12" t="s">
        <v>333</v>
      </c>
      <c r="C113" s="12" t="s">
        <v>388</v>
      </c>
      <c r="D113" s="12" t="s">
        <v>401</v>
      </c>
      <c r="E113" s="12" t="s">
        <v>392</v>
      </c>
      <c r="F113" s="12" t="s">
        <v>401</v>
      </c>
      <c r="G113" s="12" t="s">
        <v>402</v>
      </c>
      <c r="H113" s="12" t="s">
        <v>401</v>
      </c>
      <c r="I113" s="12" t="s">
        <v>142</v>
      </c>
    </row>
    <row r="114" customFormat="false" ht="15" hidden="false" customHeight="true" outlineLevel="0" collapsed="false">
      <c r="A114" s="22" t="s">
        <v>130</v>
      </c>
      <c r="B114" s="31" t="n">
        <v>18</v>
      </c>
      <c r="C114" s="59" t="n">
        <v>0.888888888888889</v>
      </c>
      <c r="D114" s="60" t="n">
        <v>0.0975503062117235</v>
      </c>
      <c r="E114" s="59" t="n">
        <v>0.875</v>
      </c>
      <c r="F114" s="60" t="n">
        <v>-0.0404228855721392</v>
      </c>
      <c r="G114" s="59" t="n">
        <v>0.777777777777778</v>
      </c>
      <c r="H114" s="60" t="n">
        <v>0.0533683289588801</v>
      </c>
      <c r="I114" s="25" t="s">
        <v>404</v>
      </c>
    </row>
    <row r="115" customFormat="false" ht="15" hidden="false" customHeight="true" outlineLevel="0" collapsed="false">
      <c r="A115" s="22" t="s">
        <v>132</v>
      </c>
      <c r="B115" s="31" t="n">
        <v>32</v>
      </c>
      <c r="C115" s="31" t="s">
        <v>282</v>
      </c>
      <c r="D115" s="31" t="s">
        <v>282</v>
      </c>
      <c r="E115" s="31" t="s">
        <v>282</v>
      </c>
      <c r="F115" s="31" t="s">
        <v>282</v>
      </c>
      <c r="G115" s="31" t="s">
        <v>282</v>
      </c>
      <c r="H115" s="31" t="s">
        <v>282</v>
      </c>
      <c r="I115" s="22" t="s">
        <v>156</v>
      </c>
    </row>
    <row r="117" customFormat="false" ht="15" hidden="false" customHeight="true" outlineLevel="0" collapsed="false">
      <c r="A117" s="28" t="s">
        <v>418</v>
      </c>
      <c r="B117" s="28"/>
      <c r="C117" s="28"/>
      <c r="D117" s="28"/>
      <c r="E117" s="28"/>
      <c r="F117" s="28"/>
      <c r="G117" s="28"/>
      <c r="H117" s="28"/>
      <c r="I117" s="28"/>
    </row>
    <row r="118" customFormat="false" ht="15" hidden="false" customHeight="true" outlineLevel="0" collapsed="false">
      <c r="A118" s="34" t="s">
        <v>398</v>
      </c>
      <c r="B118" s="57" t="n">
        <v>82</v>
      </c>
      <c r="C118" s="35" t="n">
        <v>0.768292682926829</v>
      </c>
      <c r="D118" s="36"/>
      <c r="E118" s="35" t="n">
        <v>0.920634920634921</v>
      </c>
      <c r="F118" s="36"/>
      <c r="G118" s="35" t="n">
        <v>0.707317073170732</v>
      </c>
      <c r="H118" s="36"/>
      <c r="I118" s="36"/>
    </row>
    <row r="119" customFormat="false" ht="15" hidden="false" customHeight="true" outlineLevel="0" collapsed="false">
      <c r="A119" s="12" t="s">
        <v>400</v>
      </c>
      <c r="B119" s="12" t="s">
        <v>333</v>
      </c>
      <c r="C119" s="12" t="s">
        <v>388</v>
      </c>
      <c r="D119" s="12" t="s">
        <v>401</v>
      </c>
      <c r="E119" s="12" t="s">
        <v>392</v>
      </c>
      <c r="F119" s="12" t="s">
        <v>401</v>
      </c>
      <c r="G119" s="12" t="s">
        <v>402</v>
      </c>
      <c r="H119" s="12" t="s">
        <v>401</v>
      </c>
      <c r="I119" s="12" t="s">
        <v>142</v>
      </c>
    </row>
    <row r="120" customFormat="false" ht="15" hidden="false" customHeight="true" outlineLevel="0" collapsed="false">
      <c r="A120" s="22" t="s">
        <v>130</v>
      </c>
      <c r="B120" s="31" t="n">
        <v>7</v>
      </c>
      <c r="C120" s="59" t="n">
        <v>0.714285714285714</v>
      </c>
      <c r="D120" s="60" t="n">
        <v>-0.054006968641115</v>
      </c>
      <c r="E120" s="59" t="n">
        <v>1.2</v>
      </c>
      <c r="F120" s="60" t="n">
        <v>0.279365079365079</v>
      </c>
      <c r="G120" s="59" t="n">
        <v>0.857142857142857</v>
      </c>
      <c r="H120" s="60" t="n">
        <v>0.149825783972125</v>
      </c>
      <c r="I120" s="25" t="s">
        <v>404</v>
      </c>
    </row>
    <row r="121" customFormat="false" ht="15" hidden="false" customHeight="true" outlineLevel="0" collapsed="false">
      <c r="A121" s="22" t="s">
        <v>132</v>
      </c>
      <c r="B121" s="31" t="n">
        <v>18</v>
      </c>
      <c r="C121" s="31" t="s">
        <v>282</v>
      </c>
      <c r="D121" s="31" t="s">
        <v>282</v>
      </c>
      <c r="E121" s="31" t="s">
        <v>282</v>
      </c>
      <c r="F121" s="31" t="s">
        <v>282</v>
      </c>
      <c r="G121" s="31" t="s">
        <v>282</v>
      </c>
      <c r="H121" s="31" t="s">
        <v>282</v>
      </c>
      <c r="I121" s="25" t="s">
        <v>404</v>
      </c>
    </row>
    <row r="123" customFormat="false" ht="15" hidden="false" customHeight="true" outlineLevel="0" collapsed="false">
      <c r="A123" s="28" t="s">
        <v>419</v>
      </c>
      <c r="B123" s="28"/>
      <c r="C123" s="28"/>
      <c r="D123" s="28"/>
      <c r="E123" s="28"/>
      <c r="F123" s="28"/>
      <c r="G123" s="28"/>
      <c r="H123" s="28"/>
      <c r="I123" s="28"/>
    </row>
    <row r="124" customFormat="false" ht="15" hidden="false" customHeight="true" outlineLevel="0" collapsed="false">
      <c r="A124" s="34" t="s">
        <v>398</v>
      </c>
      <c r="B124" s="57"/>
      <c r="C124" s="36"/>
      <c r="D124" s="36"/>
      <c r="E124" s="36"/>
      <c r="F124" s="36"/>
      <c r="G124" s="36"/>
      <c r="H124" s="36"/>
      <c r="I124" s="58" t="s">
        <v>399</v>
      </c>
    </row>
    <row r="125" customFormat="false" ht="15" hidden="false" customHeight="true" outlineLevel="0" collapsed="false">
      <c r="A125" s="12" t="s">
        <v>400</v>
      </c>
      <c r="B125" s="12" t="s">
        <v>333</v>
      </c>
      <c r="C125" s="12" t="s">
        <v>388</v>
      </c>
      <c r="D125" s="12" t="s">
        <v>401</v>
      </c>
      <c r="E125" s="12" t="s">
        <v>392</v>
      </c>
      <c r="F125" s="12" t="s">
        <v>401</v>
      </c>
      <c r="G125" s="12" t="s">
        <v>402</v>
      </c>
      <c r="H125" s="12" t="s">
        <v>401</v>
      </c>
      <c r="I125" s="12" t="s">
        <v>142</v>
      </c>
    </row>
    <row r="126" customFormat="false" ht="15" hidden="false" customHeight="true" outlineLevel="0" collapsed="false">
      <c r="A126" s="22" t="s">
        <v>130</v>
      </c>
      <c r="B126" s="31" t="n">
        <v>4</v>
      </c>
      <c r="C126" s="59" t="n">
        <v>0.5</v>
      </c>
      <c r="D126" s="31" t="s">
        <v>282</v>
      </c>
      <c r="E126" s="59" t="n">
        <v>0.5</v>
      </c>
      <c r="F126" s="31" t="s">
        <v>282</v>
      </c>
      <c r="G126" s="59" t="n">
        <v>0.25</v>
      </c>
      <c r="H126" s="31" t="s">
        <v>282</v>
      </c>
      <c r="I126" s="25" t="s">
        <v>404</v>
      </c>
    </row>
    <row r="127" customFormat="false" ht="15" hidden="false" customHeight="true" outlineLevel="0" collapsed="false">
      <c r="A127" s="22" t="s">
        <v>132</v>
      </c>
      <c r="B127" s="31" t="n">
        <v>16</v>
      </c>
      <c r="C127" s="31" t="s">
        <v>282</v>
      </c>
      <c r="D127" s="31" t="s">
        <v>282</v>
      </c>
      <c r="E127" s="31" t="s">
        <v>282</v>
      </c>
      <c r="F127" s="31" t="s">
        <v>282</v>
      </c>
      <c r="G127" s="31" t="s">
        <v>282</v>
      </c>
      <c r="H127" s="31" t="s">
        <v>282</v>
      </c>
      <c r="I127" s="25" t="s">
        <v>404</v>
      </c>
    </row>
    <row r="129" customFormat="false" ht="15" hidden="false" customHeight="true" outlineLevel="0" collapsed="false">
      <c r="A129" s="28" t="s">
        <v>420</v>
      </c>
      <c r="B129" s="28"/>
      <c r="C129" s="28"/>
      <c r="D129" s="28"/>
      <c r="E129" s="28"/>
      <c r="F129" s="28"/>
      <c r="G129" s="28"/>
      <c r="H129" s="28"/>
      <c r="I129" s="28"/>
    </row>
    <row r="130" customFormat="false" ht="15" hidden="false" customHeight="true" outlineLevel="0" collapsed="false">
      <c r="A130" s="34" t="s">
        <v>398</v>
      </c>
      <c r="B130" s="57" t="n">
        <v>428</v>
      </c>
      <c r="C130" s="35" t="n">
        <v>0.820093457943925</v>
      </c>
      <c r="D130" s="36"/>
      <c r="E130" s="35" t="n">
        <v>0.894586894586895</v>
      </c>
      <c r="F130" s="36"/>
      <c r="G130" s="35" t="n">
        <v>0.733644859813084</v>
      </c>
      <c r="H130" s="36"/>
      <c r="I130" s="36"/>
    </row>
    <row r="131" customFormat="false" ht="15" hidden="false" customHeight="true" outlineLevel="0" collapsed="false">
      <c r="A131" s="12" t="s">
        <v>400</v>
      </c>
      <c r="B131" s="12" t="s">
        <v>333</v>
      </c>
      <c r="C131" s="12" t="s">
        <v>388</v>
      </c>
      <c r="D131" s="12" t="s">
        <v>401</v>
      </c>
      <c r="E131" s="12" t="s">
        <v>392</v>
      </c>
      <c r="F131" s="12" t="s">
        <v>401</v>
      </c>
      <c r="G131" s="12" t="s">
        <v>402</v>
      </c>
      <c r="H131" s="12" t="s">
        <v>401</v>
      </c>
      <c r="I131" s="12" t="s">
        <v>142</v>
      </c>
    </row>
    <row r="132" customFormat="false" ht="15" hidden="false" customHeight="true" outlineLevel="0" collapsed="false">
      <c r="A132" s="22" t="s">
        <v>130</v>
      </c>
      <c r="B132" s="31" t="n">
        <v>17</v>
      </c>
      <c r="C132" s="59" t="n">
        <v>0.941176470588235</v>
      </c>
      <c r="D132" s="60" t="n">
        <v>0.12108301264431</v>
      </c>
      <c r="E132" s="59" t="n">
        <v>1</v>
      </c>
      <c r="F132" s="60" t="n">
        <v>0.105413105413105</v>
      </c>
      <c r="G132" s="59" t="n">
        <v>0.941176470588235</v>
      </c>
      <c r="H132" s="60" t="n">
        <v>0.207531610775151</v>
      </c>
      <c r="I132" s="25" t="s">
        <v>404</v>
      </c>
    </row>
    <row r="133" customFormat="false" ht="15" hidden="false" customHeight="true" outlineLevel="0" collapsed="false">
      <c r="A133" s="22" t="s">
        <v>131</v>
      </c>
      <c r="B133" s="31" t="n">
        <v>19</v>
      </c>
      <c r="C133" s="59" t="n">
        <v>0.894736842105263</v>
      </c>
      <c r="D133" s="60" t="n">
        <v>0.074643384161338</v>
      </c>
      <c r="E133" s="31" t="s">
        <v>282</v>
      </c>
      <c r="F133" s="31" t="s">
        <v>282</v>
      </c>
      <c r="G133" s="31" t="s">
        <v>282</v>
      </c>
      <c r="H133" s="31" t="s">
        <v>282</v>
      </c>
      <c r="I133" s="25" t="s">
        <v>404</v>
      </c>
    </row>
    <row r="134" customFormat="false" ht="15" hidden="false" customHeight="true" outlineLevel="0" collapsed="false">
      <c r="A134" s="22" t="s">
        <v>132</v>
      </c>
      <c r="B134" s="31" t="n">
        <v>20</v>
      </c>
      <c r="C134" s="31" t="s">
        <v>282</v>
      </c>
      <c r="D134" s="31" t="s">
        <v>282</v>
      </c>
      <c r="E134" s="31" t="s">
        <v>282</v>
      </c>
      <c r="F134" s="31" t="s">
        <v>282</v>
      </c>
      <c r="G134" s="31" t="s">
        <v>282</v>
      </c>
      <c r="H134" s="31" t="s">
        <v>282</v>
      </c>
      <c r="I134" s="25" t="s">
        <v>404</v>
      </c>
    </row>
    <row r="136" customFormat="false" ht="15" hidden="false" customHeight="true" outlineLevel="0" collapsed="false">
      <c r="A136" s="28" t="s">
        <v>421</v>
      </c>
      <c r="B136" s="28"/>
      <c r="C136" s="28"/>
      <c r="D136" s="28"/>
      <c r="E136" s="28"/>
      <c r="F136" s="28"/>
      <c r="G136" s="28"/>
      <c r="H136" s="28"/>
      <c r="I136" s="28"/>
    </row>
    <row r="137" customFormat="false" ht="15" hidden="false" customHeight="true" outlineLevel="0" collapsed="false">
      <c r="A137" s="34" t="s">
        <v>398</v>
      </c>
      <c r="B137" s="57" t="n">
        <v>566</v>
      </c>
      <c r="C137" s="35" t="n">
        <v>0.791519434628975</v>
      </c>
      <c r="D137" s="36"/>
      <c r="E137" s="35" t="n">
        <v>0.857142857142857</v>
      </c>
      <c r="F137" s="36"/>
      <c r="G137" s="35" t="n">
        <v>0.678445229681979</v>
      </c>
      <c r="H137" s="36"/>
      <c r="I137" s="36"/>
    </row>
    <row r="138" customFormat="false" ht="15" hidden="false" customHeight="true" outlineLevel="0" collapsed="false">
      <c r="A138" s="12" t="s">
        <v>400</v>
      </c>
      <c r="B138" s="12" t="s">
        <v>333</v>
      </c>
      <c r="C138" s="12" t="s">
        <v>388</v>
      </c>
      <c r="D138" s="12" t="s">
        <v>401</v>
      </c>
      <c r="E138" s="12" t="s">
        <v>392</v>
      </c>
      <c r="F138" s="12" t="s">
        <v>401</v>
      </c>
      <c r="G138" s="12" t="s">
        <v>402</v>
      </c>
      <c r="H138" s="12" t="s">
        <v>401</v>
      </c>
      <c r="I138" s="12" t="s">
        <v>142</v>
      </c>
    </row>
    <row r="139" customFormat="false" ht="15" hidden="false" customHeight="true" outlineLevel="0" collapsed="false">
      <c r="A139" s="22" t="s">
        <v>130</v>
      </c>
      <c r="B139" s="31" t="n">
        <v>23</v>
      </c>
      <c r="C139" s="61" t="n">
        <v>0.652173913043478</v>
      </c>
      <c r="D139" s="60" t="n">
        <v>-0.139345521585497</v>
      </c>
      <c r="E139" s="59" t="n">
        <v>1.26666666666667</v>
      </c>
      <c r="F139" s="60" t="n">
        <v>0.409523809523809</v>
      </c>
      <c r="G139" s="59" t="n">
        <v>0.826086956521739</v>
      </c>
      <c r="H139" s="60" t="n">
        <v>0.14764172683976</v>
      </c>
      <c r="I139" s="25" t="s">
        <v>404</v>
      </c>
    </row>
    <row r="140" customFormat="false" ht="15" hidden="false" customHeight="true" outlineLevel="0" collapsed="false">
      <c r="A140" s="22" t="s">
        <v>131</v>
      </c>
      <c r="B140" s="31" t="n">
        <v>13</v>
      </c>
      <c r="C140" s="59" t="n">
        <v>0.846153846153846</v>
      </c>
      <c r="D140" s="60" t="n">
        <v>0.0546344115248709</v>
      </c>
      <c r="E140" s="31" t="s">
        <v>282</v>
      </c>
      <c r="F140" s="31" t="s">
        <v>282</v>
      </c>
      <c r="G140" s="31" t="s">
        <v>282</v>
      </c>
      <c r="H140" s="31" t="s">
        <v>282</v>
      </c>
      <c r="I140" s="25" t="s">
        <v>404</v>
      </c>
    </row>
    <row r="141" customFormat="false" ht="15" hidden="false" customHeight="true" outlineLevel="0" collapsed="false">
      <c r="A141" s="22" t="s">
        <v>132</v>
      </c>
      <c r="B141" s="31" t="n">
        <v>24</v>
      </c>
      <c r="C141" s="31" t="s">
        <v>282</v>
      </c>
      <c r="D141" s="31" t="s">
        <v>282</v>
      </c>
      <c r="E141" s="31" t="s">
        <v>282</v>
      </c>
      <c r="F141" s="31" t="s">
        <v>282</v>
      </c>
      <c r="G141" s="31" t="s">
        <v>282</v>
      </c>
      <c r="H141" s="31" t="s">
        <v>282</v>
      </c>
      <c r="I141" s="25" t="s">
        <v>404</v>
      </c>
    </row>
    <row r="143" customFormat="false" ht="15" hidden="false" customHeight="true" outlineLevel="0" collapsed="false">
      <c r="A143" s="28" t="s">
        <v>422</v>
      </c>
      <c r="B143" s="28"/>
      <c r="C143" s="28"/>
      <c r="D143" s="28"/>
      <c r="E143" s="28"/>
      <c r="F143" s="28"/>
      <c r="G143" s="28"/>
      <c r="H143" s="28"/>
      <c r="I143" s="28"/>
    </row>
    <row r="144" customFormat="false" ht="15" hidden="false" customHeight="true" outlineLevel="0" collapsed="false">
      <c r="A144" s="34" t="s">
        <v>398</v>
      </c>
      <c r="B144" s="57" t="n">
        <v>68</v>
      </c>
      <c r="C144" s="35" t="n">
        <v>0.764705882352941</v>
      </c>
      <c r="D144" s="36"/>
      <c r="E144" s="35" t="n">
        <v>0.923076923076923</v>
      </c>
      <c r="F144" s="36"/>
      <c r="G144" s="35" t="n">
        <v>0.705882352941177</v>
      </c>
      <c r="H144" s="36"/>
      <c r="I144" s="36"/>
    </row>
    <row r="145" customFormat="false" ht="15" hidden="false" customHeight="true" outlineLevel="0" collapsed="false">
      <c r="A145" s="12" t="s">
        <v>400</v>
      </c>
      <c r="B145" s="12" t="s">
        <v>333</v>
      </c>
      <c r="C145" s="12" t="s">
        <v>388</v>
      </c>
      <c r="D145" s="12" t="s">
        <v>401</v>
      </c>
      <c r="E145" s="12" t="s">
        <v>392</v>
      </c>
      <c r="F145" s="12" t="s">
        <v>401</v>
      </c>
      <c r="G145" s="12" t="s">
        <v>402</v>
      </c>
      <c r="H145" s="12" t="s">
        <v>401</v>
      </c>
      <c r="I145" s="12" t="s">
        <v>142</v>
      </c>
    </row>
    <row r="146" customFormat="false" ht="15" hidden="false" customHeight="true" outlineLevel="0" collapsed="false">
      <c r="A146" s="22" t="s">
        <v>130</v>
      </c>
      <c r="B146" s="31" t="n">
        <v>2</v>
      </c>
      <c r="C146" s="59" t="n">
        <v>1</v>
      </c>
      <c r="D146" s="60" t="n">
        <v>0.235294117647059</v>
      </c>
      <c r="E146" s="59" t="n">
        <v>1</v>
      </c>
      <c r="F146" s="60" t="n">
        <v>0.0769230769230768</v>
      </c>
      <c r="G146" s="59" t="n">
        <v>1</v>
      </c>
      <c r="H146" s="60" t="n">
        <v>0.294117647058824</v>
      </c>
      <c r="I146" s="25" t="s">
        <v>404</v>
      </c>
    </row>
    <row r="147" customFormat="false" ht="15" hidden="false" customHeight="true" outlineLevel="0" collapsed="false">
      <c r="A147" s="22" t="s">
        <v>132</v>
      </c>
      <c r="B147" s="31" t="n">
        <v>5</v>
      </c>
      <c r="C147" s="31" t="s">
        <v>282</v>
      </c>
      <c r="D147" s="31" t="s">
        <v>282</v>
      </c>
      <c r="E147" s="31" t="s">
        <v>282</v>
      </c>
      <c r="F147" s="31" t="s">
        <v>282</v>
      </c>
      <c r="G147" s="31" t="s">
        <v>282</v>
      </c>
      <c r="H147" s="31" t="s">
        <v>282</v>
      </c>
      <c r="I147" s="25" t="s">
        <v>404</v>
      </c>
    </row>
    <row r="149" customFormat="false" ht="15" hidden="false" customHeight="true" outlineLevel="0" collapsed="false">
      <c r="A149" s="28" t="s">
        <v>423</v>
      </c>
      <c r="B149" s="28"/>
      <c r="C149" s="28"/>
      <c r="D149" s="28"/>
      <c r="E149" s="28"/>
      <c r="F149" s="28"/>
      <c r="G149" s="28"/>
      <c r="H149" s="28"/>
      <c r="I149" s="28"/>
    </row>
    <row r="150" customFormat="false" ht="15" hidden="false" customHeight="true" outlineLevel="0" collapsed="false">
      <c r="A150" s="34" t="s">
        <v>398</v>
      </c>
      <c r="B150" s="57"/>
      <c r="C150" s="36"/>
      <c r="D150" s="36"/>
      <c r="E150" s="36"/>
      <c r="F150" s="36"/>
      <c r="G150" s="36"/>
      <c r="H150" s="36"/>
      <c r="I150" s="58" t="s">
        <v>399</v>
      </c>
    </row>
    <row r="151" customFormat="false" ht="15" hidden="false" customHeight="true" outlineLevel="0" collapsed="false">
      <c r="A151" s="12" t="s">
        <v>400</v>
      </c>
      <c r="B151" s="12" t="s">
        <v>333</v>
      </c>
      <c r="C151" s="12" t="s">
        <v>388</v>
      </c>
      <c r="D151" s="12" t="s">
        <v>401</v>
      </c>
      <c r="E151" s="12" t="s">
        <v>392</v>
      </c>
      <c r="F151" s="12" t="s">
        <v>401</v>
      </c>
      <c r="G151" s="12" t="s">
        <v>402</v>
      </c>
      <c r="H151" s="12" t="s">
        <v>401</v>
      </c>
      <c r="I151" s="12" t="s">
        <v>142</v>
      </c>
    </row>
    <row r="152" customFormat="false" ht="15" hidden="false" customHeight="true" outlineLevel="0" collapsed="false">
      <c r="A152" s="22" t="s">
        <v>130</v>
      </c>
      <c r="B152" s="31" t="n">
        <v>3</v>
      </c>
      <c r="C152" s="59" t="n">
        <v>0.666666666666667</v>
      </c>
      <c r="D152" s="31" t="s">
        <v>282</v>
      </c>
      <c r="E152" s="59" t="n">
        <v>0.5</v>
      </c>
      <c r="F152" s="31" t="s">
        <v>282</v>
      </c>
      <c r="G152" s="59" t="n">
        <v>0.333333333333333</v>
      </c>
      <c r="H152" s="31" t="s">
        <v>282</v>
      </c>
      <c r="I152" s="25" t="s">
        <v>404</v>
      </c>
    </row>
    <row r="153" customFormat="false" ht="15" hidden="false" customHeight="true" outlineLevel="0" collapsed="false">
      <c r="A153" s="22" t="s">
        <v>132</v>
      </c>
      <c r="B153" s="31" t="n">
        <v>19</v>
      </c>
      <c r="C153" s="31" t="s">
        <v>282</v>
      </c>
      <c r="D153" s="31" t="s">
        <v>282</v>
      </c>
      <c r="E153" s="31" t="s">
        <v>282</v>
      </c>
      <c r="F153" s="31" t="s">
        <v>282</v>
      </c>
      <c r="G153" s="31" t="s">
        <v>282</v>
      </c>
      <c r="H153" s="31" t="s">
        <v>282</v>
      </c>
      <c r="I153" s="25" t="s">
        <v>404</v>
      </c>
    </row>
    <row r="155" customFormat="false" ht="15" hidden="false" customHeight="true" outlineLevel="0" collapsed="false">
      <c r="A155" s="28" t="s">
        <v>424</v>
      </c>
      <c r="B155" s="28"/>
      <c r="C155" s="28"/>
      <c r="D155" s="28"/>
      <c r="E155" s="28"/>
      <c r="F155" s="28"/>
      <c r="G155" s="28"/>
      <c r="H155" s="28"/>
      <c r="I155" s="28"/>
    </row>
    <row r="156" customFormat="false" ht="15" hidden="false" customHeight="true" outlineLevel="0" collapsed="false">
      <c r="A156" s="34" t="s">
        <v>398</v>
      </c>
      <c r="B156" s="57" t="n">
        <v>49</v>
      </c>
      <c r="C156" s="35" t="n">
        <v>0.551020408163265</v>
      </c>
      <c r="D156" s="36"/>
      <c r="E156" s="35" t="n">
        <v>0.777777777777778</v>
      </c>
      <c r="F156" s="36"/>
      <c r="G156" s="35" t="n">
        <v>0.428571428571429</v>
      </c>
      <c r="H156" s="36"/>
      <c r="I156" s="36"/>
    </row>
    <row r="157" customFormat="false" ht="15" hidden="false" customHeight="true" outlineLevel="0" collapsed="false">
      <c r="A157" s="12" t="s">
        <v>400</v>
      </c>
      <c r="B157" s="12" t="s">
        <v>333</v>
      </c>
      <c r="C157" s="12" t="s">
        <v>388</v>
      </c>
      <c r="D157" s="12" t="s">
        <v>401</v>
      </c>
      <c r="E157" s="12" t="s">
        <v>392</v>
      </c>
      <c r="F157" s="12" t="s">
        <v>401</v>
      </c>
      <c r="G157" s="12" t="s">
        <v>402</v>
      </c>
      <c r="H157" s="12" t="s">
        <v>401</v>
      </c>
      <c r="I157" s="12" t="s">
        <v>142</v>
      </c>
    </row>
    <row r="158" customFormat="false" ht="15" hidden="false" customHeight="true" outlineLevel="0" collapsed="false">
      <c r="A158" s="22" t="s">
        <v>130</v>
      </c>
      <c r="B158" s="31" t="n">
        <v>4</v>
      </c>
      <c r="C158" s="59" t="n">
        <v>0.75</v>
      </c>
      <c r="D158" s="60" t="n">
        <v>0.198979591836735</v>
      </c>
      <c r="E158" s="59" t="n">
        <v>1</v>
      </c>
      <c r="F158" s="60" t="n">
        <v>0.222222222222222</v>
      </c>
      <c r="G158" s="59" t="n">
        <v>0.75</v>
      </c>
      <c r="H158" s="60" t="n">
        <v>0.321428571428572</v>
      </c>
      <c r="I158" s="25" t="s">
        <v>404</v>
      </c>
    </row>
    <row r="159" customFormat="false" ht="15" hidden="false" customHeight="true" outlineLevel="0" collapsed="false">
      <c r="A159" s="22" t="s">
        <v>131</v>
      </c>
      <c r="B159" s="31" t="n">
        <v>5</v>
      </c>
      <c r="C159" s="59" t="n">
        <v>1</v>
      </c>
      <c r="D159" s="60" t="n">
        <v>0.448979591836735</v>
      </c>
      <c r="E159" s="31" t="s">
        <v>282</v>
      </c>
      <c r="F159" s="31" t="s">
        <v>282</v>
      </c>
      <c r="G159" s="31" t="s">
        <v>282</v>
      </c>
      <c r="H159" s="31" t="s">
        <v>282</v>
      </c>
      <c r="I159" s="25" t="s">
        <v>404</v>
      </c>
    </row>
    <row r="160" customFormat="false" ht="15" hidden="false" customHeight="true" outlineLevel="0" collapsed="false">
      <c r="A160" s="22" t="s">
        <v>132</v>
      </c>
      <c r="B160" s="31" t="n">
        <v>1</v>
      </c>
      <c r="C160" s="31" t="s">
        <v>282</v>
      </c>
      <c r="D160" s="31" t="s">
        <v>282</v>
      </c>
      <c r="E160" s="31" t="s">
        <v>282</v>
      </c>
      <c r="F160" s="31" t="s">
        <v>282</v>
      </c>
      <c r="G160" s="31" t="s">
        <v>282</v>
      </c>
      <c r="H160" s="31" t="s">
        <v>282</v>
      </c>
      <c r="I160" s="25" t="s">
        <v>404</v>
      </c>
    </row>
    <row r="162" customFormat="false" ht="15" hidden="false" customHeight="true" outlineLevel="0" collapsed="false">
      <c r="A162" s="28" t="s">
        <v>425</v>
      </c>
      <c r="B162" s="28"/>
      <c r="C162" s="28"/>
      <c r="D162" s="28"/>
      <c r="E162" s="28"/>
      <c r="F162" s="28"/>
      <c r="G162" s="28"/>
      <c r="H162" s="28"/>
      <c r="I162" s="28"/>
    </row>
    <row r="163" customFormat="false" ht="15" hidden="false" customHeight="true" outlineLevel="0" collapsed="false">
      <c r="A163" s="34" t="s">
        <v>398</v>
      </c>
      <c r="B163" s="57" t="n">
        <v>77</v>
      </c>
      <c r="C163" s="35" t="n">
        <v>0.74025974025974</v>
      </c>
      <c r="D163" s="36"/>
      <c r="E163" s="35" t="n">
        <v>0.824561403508772</v>
      </c>
      <c r="F163" s="36"/>
      <c r="G163" s="35" t="n">
        <v>0.61038961038961</v>
      </c>
      <c r="H163" s="36"/>
      <c r="I163" s="36"/>
    </row>
    <row r="164" customFormat="false" ht="15" hidden="false" customHeight="true" outlineLevel="0" collapsed="false">
      <c r="A164" s="12" t="s">
        <v>400</v>
      </c>
      <c r="B164" s="12" t="s">
        <v>333</v>
      </c>
      <c r="C164" s="12" t="s">
        <v>388</v>
      </c>
      <c r="D164" s="12" t="s">
        <v>401</v>
      </c>
      <c r="E164" s="12" t="s">
        <v>392</v>
      </c>
      <c r="F164" s="12" t="s">
        <v>401</v>
      </c>
      <c r="G164" s="12" t="s">
        <v>402</v>
      </c>
      <c r="H164" s="12" t="s">
        <v>401</v>
      </c>
      <c r="I164" s="12" t="s">
        <v>142</v>
      </c>
    </row>
    <row r="165" customFormat="false" ht="15" hidden="false" customHeight="true" outlineLevel="0" collapsed="false">
      <c r="A165" s="22" t="s">
        <v>130</v>
      </c>
      <c r="B165" s="31" t="n">
        <v>13</v>
      </c>
      <c r="C165" s="59" t="n">
        <v>0.923076923076923</v>
      </c>
      <c r="D165" s="60" t="n">
        <v>0.182817182817183</v>
      </c>
      <c r="E165" s="59" t="n">
        <v>1</v>
      </c>
      <c r="F165" s="60" t="n">
        <v>0.175438596491228</v>
      </c>
      <c r="G165" s="59" t="n">
        <v>0.923076923076923</v>
      </c>
      <c r="H165" s="60" t="n">
        <v>0.312687312687313</v>
      </c>
      <c r="I165" s="25" t="s">
        <v>404</v>
      </c>
    </row>
    <row r="166" customFormat="false" ht="15" hidden="false" customHeight="true" outlineLevel="0" collapsed="false">
      <c r="A166" s="22" t="s">
        <v>132</v>
      </c>
      <c r="B166" s="31" t="n">
        <v>12</v>
      </c>
      <c r="C166" s="31" t="s">
        <v>282</v>
      </c>
      <c r="D166" s="31" t="s">
        <v>282</v>
      </c>
      <c r="E166" s="31" t="s">
        <v>282</v>
      </c>
      <c r="F166" s="31" t="s">
        <v>282</v>
      </c>
      <c r="G166" s="31" t="s">
        <v>282</v>
      </c>
      <c r="H166" s="31" t="s">
        <v>282</v>
      </c>
      <c r="I166" s="25" t="s">
        <v>404</v>
      </c>
    </row>
    <row r="168" customFormat="false" ht="15" hidden="false" customHeight="true" outlineLevel="0" collapsed="false">
      <c r="A168" s="28" t="s">
        <v>426</v>
      </c>
      <c r="B168" s="28"/>
      <c r="C168" s="28"/>
      <c r="D168" s="28"/>
      <c r="E168" s="28"/>
      <c r="F168" s="28"/>
      <c r="G168" s="28"/>
      <c r="H168" s="28"/>
      <c r="I168" s="28"/>
    </row>
    <row r="169" customFormat="false" ht="15" hidden="false" customHeight="true" outlineLevel="0" collapsed="false">
      <c r="A169" s="34" t="s">
        <v>398</v>
      </c>
      <c r="B169" s="57" t="n">
        <v>145</v>
      </c>
      <c r="C169" s="35" t="n">
        <v>0.83448275862069</v>
      </c>
      <c r="D169" s="36"/>
      <c r="E169" s="35" t="n">
        <v>1</v>
      </c>
      <c r="F169" s="36"/>
      <c r="G169" s="35" t="n">
        <v>0.83448275862069</v>
      </c>
      <c r="H169" s="36"/>
      <c r="I169" s="36"/>
    </row>
    <row r="170" customFormat="false" ht="15" hidden="false" customHeight="true" outlineLevel="0" collapsed="false">
      <c r="A170" s="12" t="s">
        <v>400</v>
      </c>
      <c r="B170" s="12" t="s">
        <v>333</v>
      </c>
      <c r="C170" s="12" t="s">
        <v>388</v>
      </c>
      <c r="D170" s="12" t="s">
        <v>401</v>
      </c>
      <c r="E170" s="12" t="s">
        <v>392</v>
      </c>
      <c r="F170" s="12" t="s">
        <v>401</v>
      </c>
      <c r="G170" s="12" t="s">
        <v>402</v>
      </c>
      <c r="H170" s="12" t="s">
        <v>401</v>
      </c>
      <c r="I170" s="12" t="s">
        <v>142</v>
      </c>
    </row>
    <row r="171" customFormat="false" ht="15" hidden="false" customHeight="true" outlineLevel="0" collapsed="false">
      <c r="A171" s="22" t="s">
        <v>130</v>
      </c>
      <c r="B171" s="31" t="n">
        <v>14</v>
      </c>
      <c r="C171" s="59" t="n">
        <v>0.857142857142857</v>
      </c>
      <c r="D171" s="60" t="n">
        <v>0.0226600985221674</v>
      </c>
      <c r="E171" s="59" t="n">
        <v>1.08333333333333</v>
      </c>
      <c r="F171" s="60" t="n">
        <v>0.0833333333333335</v>
      </c>
      <c r="G171" s="59" t="n">
        <v>0.928571428571429</v>
      </c>
      <c r="H171" s="60" t="n">
        <v>0.094088669950739</v>
      </c>
      <c r="I171" s="25" t="s">
        <v>404</v>
      </c>
    </row>
    <row r="172" customFormat="false" ht="15" hidden="false" customHeight="true" outlineLevel="0" collapsed="false">
      <c r="A172" s="22" t="s">
        <v>132</v>
      </c>
      <c r="B172" s="31" t="n">
        <v>19</v>
      </c>
      <c r="C172" s="31" t="s">
        <v>282</v>
      </c>
      <c r="D172" s="31" t="s">
        <v>282</v>
      </c>
      <c r="E172" s="31" t="s">
        <v>282</v>
      </c>
      <c r="F172" s="31" t="s">
        <v>282</v>
      </c>
      <c r="G172" s="31" t="s">
        <v>282</v>
      </c>
      <c r="H172" s="31" t="s">
        <v>282</v>
      </c>
      <c r="I172" s="25" t="s">
        <v>404</v>
      </c>
    </row>
    <row r="174" customFormat="false" ht="15" hidden="false" customHeight="true" outlineLevel="0" collapsed="false">
      <c r="A174" s="28" t="s">
        <v>427</v>
      </c>
      <c r="B174" s="28"/>
      <c r="C174" s="28"/>
      <c r="D174" s="28"/>
      <c r="E174" s="28"/>
      <c r="F174" s="28"/>
      <c r="G174" s="28"/>
      <c r="H174" s="28"/>
      <c r="I174" s="28"/>
    </row>
    <row r="175" customFormat="false" ht="15" hidden="false" customHeight="true" outlineLevel="0" collapsed="false">
      <c r="A175" s="34" t="s">
        <v>398</v>
      </c>
      <c r="B175" s="57" t="n">
        <v>218</v>
      </c>
      <c r="C175" s="35" t="n">
        <v>0.701834862385321</v>
      </c>
      <c r="D175" s="36"/>
      <c r="E175" s="35" t="n">
        <v>0.790849673202614</v>
      </c>
      <c r="F175" s="36"/>
      <c r="G175" s="35" t="n">
        <v>0.555045871559633</v>
      </c>
      <c r="H175" s="36"/>
      <c r="I175" s="36"/>
    </row>
    <row r="176" customFormat="false" ht="15" hidden="false" customHeight="true" outlineLevel="0" collapsed="false">
      <c r="A176" s="12" t="s">
        <v>400</v>
      </c>
      <c r="B176" s="12" t="s">
        <v>333</v>
      </c>
      <c r="C176" s="12" t="s">
        <v>388</v>
      </c>
      <c r="D176" s="12" t="s">
        <v>401</v>
      </c>
      <c r="E176" s="12" t="s">
        <v>392</v>
      </c>
      <c r="F176" s="12" t="s">
        <v>401</v>
      </c>
      <c r="G176" s="12" t="s">
        <v>402</v>
      </c>
      <c r="H176" s="12" t="s">
        <v>401</v>
      </c>
      <c r="I176" s="12" t="s">
        <v>142</v>
      </c>
    </row>
    <row r="177" customFormat="false" ht="15" hidden="false" customHeight="true" outlineLevel="0" collapsed="false">
      <c r="A177" s="22" t="s">
        <v>130</v>
      </c>
      <c r="B177" s="31" t="n">
        <v>12</v>
      </c>
      <c r="C177" s="61" t="n">
        <v>0.583333333333333</v>
      </c>
      <c r="D177" s="60" t="n">
        <v>-0.118501529051988</v>
      </c>
      <c r="E177" s="59" t="n">
        <v>1.71428571428571</v>
      </c>
      <c r="F177" s="60" t="n">
        <v>0.9234360410831</v>
      </c>
      <c r="G177" s="59" t="n">
        <v>1</v>
      </c>
      <c r="H177" s="60" t="n">
        <v>0.444954128440367</v>
      </c>
      <c r="I177" s="25" t="s">
        <v>404</v>
      </c>
    </row>
    <row r="178" customFormat="false" ht="15" hidden="false" customHeight="true" outlineLevel="0" collapsed="false">
      <c r="A178" s="22" t="s">
        <v>131</v>
      </c>
      <c r="B178" s="31" t="n">
        <v>7</v>
      </c>
      <c r="C178" s="61" t="n">
        <v>0.571428571428571</v>
      </c>
      <c r="D178" s="60" t="n">
        <v>-0.13040629095675</v>
      </c>
      <c r="E178" s="31" t="s">
        <v>282</v>
      </c>
      <c r="F178" s="31" t="s">
        <v>282</v>
      </c>
      <c r="G178" s="31" t="s">
        <v>282</v>
      </c>
      <c r="H178" s="31" t="s">
        <v>282</v>
      </c>
      <c r="I178" s="25" t="s">
        <v>404</v>
      </c>
    </row>
    <row r="179" customFormat="false" ht="15" hidden="false" customHeight="true" outlineLevel="0" collapsed="false">
      <c r="A179" s="22" t="s">
        <v>132</v>
      </c>
      <c r="B179" s="31" t="n">
        <v>21</v>
      </c>
      <c r="C179" s="31" t="s">
        <v>282</v>
      </c>
      <c r="D179" s="31" t="s">
        <v>282</v>
      </c>
      <c r="E179" s="31" t="s">
        <v>282</v>
      </c>
      <c r="F179" s="31" t="s">
        <v>282</v>
      </c>
      <c r="G179" s="31" t="s">
        <v>282</v>
      </c>
      <c r="H179" s="31" t="s">
        <v>282</v>
      </c>
      <c r="I179" s="25" t="s">
        <v>404</v>
      </c>
    </row>
    <row r="181" customFormat="false" ht="15" hidden="false" customHeight="true" outlineLevel="0" collapsed="false">
      <c r="A181" s="28" t="s">
        <v>428</v>
      </c>
      <c r="B181" s="28"/>
      <c r="C181" s="28"/>
      <c r="D181" s="28"/>
      <c r="E181" s="28"/>
      <c r="F181" s="28"/>
      <c r="G181" s="28"/>
      <c r="H181" s="28"/>
      <c r="I181" s="28"/>
    </row>
    <row r="182" customFormat="false" ht="15" hidden="false" customHeight="true" outlineLevel="0" collapsed="false">
      <c r="A182" s="34" t="s">
        <v>398</v>
      </c>
      <c r="B182" s="57"/>
      <c r="C182" s="36"/>
      <c r="D182" s="36"/>
      <c r="E182" s="36"/>
      <c r="F182" s="36"/>
      <c r="G182" s="36"/>
      <c r="H182" s="36"/>
      <c r="I182" s="58" t="s">
        <v>399</v>
      </c>
    </row>
    <row r="183" customFormat="false" ht="15" hidden="false" customHeight="true" outlineLevel="0" collapsed="false">
      <c r="A183" s="12" t="s">
        <v>400</v>
      </c>
      <c r="B183" s="12" t="s">
        <v>333</v>
      </c>
      <c r="C183" s="12" t="s">
        <v>388</v>
      </c>
      <c r="D183" s="12" t="s">
        <v>401</v>
      </c>
      <c r="E183" s="12" t="s">
        <v>392</v>
      </c>
      <c r="F183" s="12" t="s">
        <v>401</v>
      </c>
      <c r="G183" s="12" t="s">
        <v>402</v>
      </c>
      <c r="H183" s="12" t="s">
        <v>401</v>
      </c>
      <c r="I183" s="12" t="s">
        <v>142</v>
      </c>
    </row>
    <row r="184" customFormat="false" ht="15" hidden="false" customHeight="true" outlineLevel="0" collapsed="false">
      <c r="A184" s="22" t="s">
        <v>130</v>
      </c>
      <c r="B184" s="31" t="n">
        <v>7</v>
      </c>
      <c r="C184" s="59" t="n">
        <v>0.857142857142857</v>
      </c>
      <c r="D184" s="31" t="s">
        <v>282</v>
      </c>
      <c r="E184" s="59" t="n">
        <v>1</v>
      </c>
      <c r="F184" s="31" t="s">
        <v>282</v>
      </c>
      <c r="G184" s="59" t="n">
        <v>0.857142857142857</v>
      </c>
      <c r="H184" s="31" t="s">
        <v>282</v>
      </c>
      <c r="I184" s="25" t="s">
        <v>404</v>
      </c>
    </row>
    <row r="185" customFormat="false" ht="15" hidden="false" customHeight="true" outlineLevel="0" collapsed="false">
      <c r="A185" s="22" t="s">
        <v>132</v>
      </c>
      <c r="B185" s="31" t="n">
        <v>22</v>
      </c>
      <c r="C185" s="31" t="s">
        <v>282</v>
      </c>
      <c r="D185" s="31" t="s">
        <v>282</v>
      </c>
      <c r="E185" s="31" t="s">
        <v>282</v>
      </c>
      <c r="F185" s="31" t="s">
        <v>282</v>
      </c>
      <c r="G185" s="31" t="s">
        <v>282</v>
      </c>
      <c r="H185" s="31" t="s">
        <v>282</v>
      </c>
      <c r="I185" s="25" t="s">
        <v>404</v>
      </c>
    </row>
    <row r="187" customFormat="false" ht="15" hidden="false" customHeight="true" outlineLevel="0" collapsed="false">
      <c r="A187" s="28" t="s">
        <v>429</v>
      </c>
      <c r="B187" s="28"/>
      <c r="C187" s="28"/>
      <c r="D187" s="28"/>
      <c r="E187" s="28"/>
      <c r="F187" s="28"/>
      <c r="G187" s="28"/>
      <c r="H187" s="28"/>
      <c r="I187" s="28"/>
    </row>
    <row r="188" customFormat="false" ht="15" hidden="false" customHeight="true" outlineLevel="0" collapsed="false">
      <c r="A188" s="34" t="s">
        <v>398</v>
      </c>
      <c r="B188" s="57" t="n">
        <v>24</v>
      </c>
      <c r="C188" s="35" t="n">
        <v>0.833333333333333</v>
      </c>
      <c r="D188" s="36"/>
      <c r="E188" s="35" t="n">
        <v>0.95</v>
      </c>
      <c r="F188" s="36"/>
      <c r="G188" s="35" t="n">
        <v>0.791666666666667</v>
      </c>
      <c r="H188" s="36"/>
      <c r="I188" s="58" t="s">
        <v>399</v>
      </c>
    </row>
    <row r="189" customFormat="false" ht="15" hidden="false" customHeight="true" outlineLevel="0" collapsed="false">
      <c r="A189" s="12" t="s">
        <v>400</v>
      </c>
      <c r="B189" s="12" t="s">
        <v>333</v>
      </c>
      <c r="C189" s="12" t="s">
        <v>388</v>
      </c>
      <c r="D189" s="12" t="s">
        <v>401</v>
      </c>
      <c r="E189" s="12" t="s">
        <v>392</v>
      </c>
      <c r="F189" s="12" t="s">
        <v>401</v>
      </c>
      <c r="G189" s="12" t="s">
        <v>402</v>
      </c>
      <c r="H189" s="12" t="s">
        <v>401</v>
      </c>
      <c r="I189" s="12" t="s">
        <v>142</v>
      </c>
    </row>
    <row r="190" customFormat="false" ht="15" hidden="false" customHeight="true" outlineLevel="0" collapsed="false">
      <c r="A190" s="22" t="s">
        <v>130</v>
      </c>
      <c r="B190" s="31" t="n">
        <v>22</v>
      </c>
      <c r="C190" s="59" t="n">
        <v>0.863636363636364</v>
      </c>
      <c r="D190" s="60" t="n">
        <v>0.0303030303030303</v>
      </c>
      <c r="E190" s="59" t="n">
        <v>1</v>
      </c>
      <c r="F190" s="60" t="n">
        <v>0.05</v>
      </c>
      <c r="G190" s="59" t="n">
        <v>0.863636363636364</v>
      </c>
      <c r="H190" s="60" t="n">
        <v>0.071969696969697</v>
      </c>
      <c r="I190" s="25" t="s">
        <v>404</v>
      </c>
    </row>
    <row r="191" customFormat="false" ht="15" hidden="false" customHeight="true" outlineLevel="0" collapsed="false">
      <c r="A191" s="22" t="s">
        <v>132</v>
      </c>
      <c r="B191" s="31" t="n">
        <v>43</v>
      </c>
      <c r="C191" s="31" t="s">
        <v>282</v>
      </c>
      <c r="D191" s="31" t="s">
        <v>282</v>
      </c>
      <c r="E191" s="31" t="s">
        <v>282</v>
      </c>
      <c r="F191" s="31" t="s">
        <v>282</v>
      </c>
      <c r="G191" s="31" t="s">
        <v>282</v>
      </c>
      <c r="H191" s="31" t="s">
        <v>282</v>
      </c>
      <c r="I191" s="22" t="s">
        <v>156</v>
      </c>
    </row>
    <row r="193" customFormat="false" ht="15" hidden="false" customHeight="true" outlineLevel="0" collapsed="false">
      <c r="A193" s="28" t="s">
        <v>430</v>
      </c>
      <c r="B193" s="28"/>
      <c r="C193" s="28"/>
      <c r="D193" s="28"/>
      <c r="E193" s="28"/>
      <c r="F193" s="28"/>
      <c r="G193" s="28"/>
      <c r="H193" s="28"/>
      <c r="I193" s="28"/>
    </row>
    <row r="194" customFormat="false" ht="15" hidden="false" customHeight="true" outlineLevel="0" collapsed="false">
      <c r="A194" s="34" t="s">
        <v>398</v>
      </c>
      <c r="B194" s="57" t="n">
        <v>262</v>
      </c>
      <c r="C194" s="35" t="n">
        <v>0.816793893129771</v>
      </c>
      <c r="D194" s="36"/>
      <c r="E194" s="35" t="n">
        <v>0.911214953271028</v>
      </c>
      <c r="F194" s="36"/>
      <c r="G194" s="35" t="n">
        <v>0.744274809160305</v>
      </c>
      <c r="H194" s="36"/>
      <c r="I194" s="36"/>
    </row>
    <row r="195" customFormat="false" ht="15" hidden="false" customHeight="true" outlineLevel="0" collapsed="false">
      <c r="A195" s="12" t="s">
        <v>400</v>
      </c>
      <c r="B195" s="12" t="s">
        <v>333</v>
      </c>
      <c r="C195" s="12" t="s">
        <v>388</v>
      </c>
      <c r="D195" s="12" t="s">
        <v>401</v>
      </c>
      <c r="E195" s="12" t="s">
        <v>392</v>
      </c>
      <c r="F195" s="12" t="s">
        <v>401</v>
      </c>
      <c r="G195" s="12" t="s">
        <v>402</v>
      </c>
      <c r="H195" s="12" t="s">
        <v>401</v>
      </c>
      <c r="I195" s="12" t="s">
        <v>142</v>
      </c>
    </row>
    <row r="196" customFormat="false" ht="15" hidden="false" customHeight="true" outlineLevel="0" collapsed="false">
      <c r="A196" s="22" t="s">
        <v>130</v>
      </c>
      <c r="B196" s="31" t="n">
        <v>21</v>
      </c>
      <c r="C196" s="59" t="n">
        <v>0.857142857142857</v>
      </c>
      <c r="D196" s="60" t="n">
        <v>0.0403489640130861</v>
      </c>
      <c r="E196" s="61" t="n">
        <v>0.777777777777778</v>
      </c>
      <c r="F196" s="60" t="n">
        <v>-0.13343717549325</v>
      </c>
      <c r="G196" s="59" t="n">
        <v>0.666666666666667</v>
      </c>
      <c r="H196" s="60" t="n">
        <v>-0.0776081424936387</v>
      </c>
      <c r="I196" s="25" t="s">
        <v>404</v>
      </c>
    </row>
    <row r="197" customFormat="false" ht="15" hidden="false" customHeight="true" outlineLevel="0" collapsed="false">
      <c r="A197" s="22" t="s">
        <v>131</v>
      </c>
      <c r="B197" s="31" t="n">
        <v>9</v>
      </c>
      <c r="C197" s="59" t="n">
        <v>1</v>
      </c>
      <c r="D197" s="60" t="n">
        <v>0.183206106870229</v>
      </c>
      <c r="E197" s="31" t="s">
        <v>282</v>
      </c>
      <c r="F197" s="31" t="s">
        <v>282</v>
      </c>
      <c r="G197" s="31" t="s">
        <v>282</v>
      </c>
      <c r="H197" s="31" t="s">
        <v>282</v>
      </c>
      <c r="I197" s="25" t="s">
        <v>404</v>
      </c>
    </row>
    <row r="198" customFormat="false" ht="15" hidden="false" customHeight="true" outlineLevel="0" collapsed="false">
      <c r="A198" s="22" t="s">
        <v>132</v>
      </c>
      <c r="B198" s="31" t="n">
        <v>27</v>
      </c>
      <c r="C198" s="31" t="s">
        <v>282</v>
      </c>
      <c r="D198" s="31" t="s">
        <v>282</v>
      </c>
      <c r="E198" s="31" t="s">
        <v>282</v>
      </c>
      <c r="F198" s="31" t="s">
        <v>282</v>
      </c>
      <c r="G198" s="31" t="s">
        <v>282</v>
      </c>
      <c r="H198" s="31" t="s">
        <v>282</v>
      </c>
      <c r="I198" s="25" t="s">
        <v>404</v>
      </c>
    </row>
    <row r="200" customFormat="false" ht="15" hidden="false" customHeight="true" outlineLevel="0" collapsed="false">
      <c r="A200" s="28" t="s">
        <v>431</v>
      </c>
      <c r="B200" s="28"/>
      <c r="C200" s="28"/>
      <c r="D200" s="28"/>
      <c r="E200" s="28"/>
      <c r="F200" s="28"/>
      <c r="G200" s="28"/>
      <c r="H200" s="28"/>
      <c r="I200" s="28"/>
    </row>
    <row r="201" customFormat="false" ht="15" hidden="false" customHeight="true" outlineLevel="0" collapsed="false">
      <c r="A201" s="34" t="s">
        <v>398</v>
      </c>
      <c r="B201" s="57" t="n">
        <v>103</v>
      </c>
      <c r="C201" s="35" t="n">
        <v>0.83495145631068</v>
      </c>
      <c r="D201" s="36"/>
      <c r="E201" s="35" t="n">
        <v>0.837209302325581</v>
      </c>
      <c r="F201" s="36"/>
      <c r="G201" s="35" t="n">
        <v>0.699029126213592</v>
      </c>
      <c r="H201" s="36"/>
      <c r="I201" s="36"/>
    </row>
    <row r="202" customFormat="false" ht="15" hidden="false" customHeight="true" outlineLevel="0" collapsed="false">
      <c r="A202" s="12" t="s">
        <v>400</v>
      </c>
      <c r="B202" s="12" t="s">
        <v>333</v>
      </c>
      <c r="C202" s="12" t="s">
        <v>388</v>
      </c>
      <c r="D202" s="12" t="s">
        <v>401</v>
      </c>
      <c r="E202" s="12" t="s">
        <v>392</v>
      </c>
      <c r="F202" s="12" t="s">
        <v>401</v>
      </c>
      <c r="G202" s="12" t="s">
        <v>402</v>
      </c>
      <c r="H202" s="12" t="s">
        <v>401</v>
      </c>
      <c r="I202" s="12" t="s">
        <v>142</v>
      </c>
    </row>
    <row r="203" customFormat="false" ht="15" hidden="false" customHeight="true" outlineLevel="0" collapsed="false">
      <c r="A203" s="22" t="s">
        <v>130</v>
      </c>
      <c r="B203" s="31" t="n">
        <v>5</v>
      </c>
      <c r="C203" s="61" t="n">
        <v>0.6</v>
      </c>
      <c r="D203" s="60" t="n">
        <v>-0.23495145631068</v>
      </c>
      <c r="E203" s="59" t="n">
        <v>1</v>
      </c>
      <c r="F203" s="60" t="n">
        <v>0.162790697674419</v>
      </c>
      <c r="G203" s="59" t="n">
        <v>0.6</v>
      </c>
      <c r="H203" s="60" t="n">
        <v>-0.0990291262135923</v>
      </c>
      <c r="I203" s="25" t="s">
        <v>404</v>
      </c>
    </row>
    <row r="204" customFormat="false" ht="15" hidden="false" customHeight="true" outlineLevel="0" collapsed="false">
      <c r="A204" s="22" t="s">
        <v>132</v>
      </c>
      <c r="B204" s="31" t="n">
        <v>3</v>
      </c>
      <c r="C204" s="31" t="s">
        <v>282</v>
      </c>
      <c r="D204" s="31" t="s">
        <v>282</v>
      </c>
      <c r="E204" s="31" t="s">
        <v>282</v>
      </c>
      <c r="F204" s="31" t="s">
        <v>282</v>
      </c>
      <c r="G204" s="31" t="s">
        <v>282</v>
      </c>
      <c r="H204" s="31" t="s">
        <v>282</v>
      </c>
      <c r="I204" s="25" t="s">
        <v>404</v>
      </c>
    </row>
    <row r="206" customFormat="false" ht="15" hidden="false" customHeight="true" outlineLevel="0" collapsed="false">
      <c r="A206" s="28" t="s">
        <v>432</v>
      </c>
      <c r="B206" s="28"/>
      <c r="C206" s="28"/>
      <c r="D206" s="28"/>
      <c r="E206" s="28"/>
      <c r="F206" s="28"/>
      <c r="G206" s="28"/>
      <c r="H206" s="28"/>
      <c r="I206" s="28"/>
    </row>
    <row r="207" customFormat="false" ht="15" hidden="false" customHeight="true" outlineLevel="0" collapsed="false">
      <c r="A207" s="34" t="s">
        <v>398</v>
      </c>
      <c r="B207" s="57" t="n">
        <v>91</v>
      </c>
      <c r="C207" s="35" t="n">
        <v>0.67032967032967</v>
      </c>
      <c r="D207" s="36"/>
      <c r="E207" s="35" t="n">
        <v>0.885245901639344</v>
      </c>
      <c r="F207" s="36"/>
      <c r="G207" s="35" t="n">
        <v>0.593406593406593</v>
      </c>
      <c r="H207" s="36"/>
      <c r="I207" s="36"/>
    </row>
    <row r="208" customFormat="false" ht="15" hidden="false" customHeight="true" outlineLevel="0" collapsed="false">
      <c r="A208" s="12" t="s">
        <v>400</v>
      </c>
      <c r="B208" s="12" t="s">
        <v>333</v>
      </c>
      <c r="C208" s="12" t="s">
        <v>388</v>
      </c>
      <c r="D208" s="12" t="s">
        <v>401</v>
      </c>
      <c r="E208" s="12" t="s">
        <v>392</v>
      </c>
      <c r="F208" s="12" t="s">
        <v>401</v>
      </c>
      <c r="G208" s="12" t="s">
        <v>402</v>
      </c>
      <c r="H208" s="12" t="s">
        <v>401</v>
      </c>
      <c r="I208" s="12" t="s">
        <v>142</v>
      </c>
    </row>
    <row r="209" customFormat="false" ht="15" hidden="false" customHeight="true" outlineLevel="0" collapsed="false">
      <c r="A209" s="22" t="s">
        <v>130</v>
      </c>
      <c r="B209" s="31" t="n">
        <v>30</v>
      </c>
      <c r="C209" s="61" t="n">
        <v>0.566666666666667</v>
      </c>
      <c r="D209" s="60" t="n">
        <v>-0.103663003663004</v>
      </c>
      <c r="E209" s="59" t="n">
        <v>1</v>
      </c>
      <c r="F209" s="60" t="n">
        <v>0.114754098360656</v>
      </c>
      <c r="G209" s="59" t="n">
        <v>0.566666666666667</v>
      </c>
      <c r="H209" s="60" t="n">
        <v>-0.0267399267399268</v>
      </c>
      <c r="I209" s="22" t="s">
        <v>156</v>
      </c>
    </row>
    <row r="210" customFormat="false" ht="15" hidden="false" customHeight="true" outlineLevel="0" collapsed="false">
      <c r="A210" s="22" t="s">
        <v>132</v>
      </c>
      <c r="B210" s="31" t="n">
        <v>43</v>
      </c>
      <c r="C210" s="31" t="s">
        <v>282</v>
      </c>
      <c r="D210" s="31" t="s">
        <v>282</v>
      </c>
      <c r="E210" s="31" t="s">
        <v>282</v>
      </c>
      <c r="F210" s="31" t="s">
        <v>282</v>
      </c>
      <c r="G210" s="31" t="s">
        <v>282</v>
      </c>
      <c r="H210" s="31" t="s">
        <v>282</v>
      </c>
      <c r="I210" s="22" t="s">
        <v>156</v>
      </c>
    </row>
    <row r="212" customFormat="false" ht="15" hidden="false" customHeight="true" outlineLevel="0" collapsed="false">
      <c r="A212" s="28" t="s">
        <v>433</v>
      </c>
      <c r="B212" s="28"/>
      <c r="C212" s="28"/>
      <c r="D212" s="28"/>
      <c r="E212" s="28"/>
      <c r="F212" s="28"/>
      <c r="G212" s="28"/>
      <c r="H212" s="28"/>
      <c r="I212" s="28"/>
    </row>
    <row r="213" customFormat="false" ht="15" hidden="false" customHeight="true" outlineLevel="0" collapsed="false">
      <c r="A213" s="34" t="s">
        <v>398</v>
      </c>
      <c r="B213" s="57" t="n">
        <v>82</v>
      </c>
      <c r="C213" s="35" t="n">
        <v>0.780487804878049</v>
      </c>
      <c r="D213" s="36"/>
      <c r="E213" s="35" t="n">
        <v>0.84375</v>
      </c>
      <c r="F213" s="36"/>
      <c r="G213" s="35" t="n">
        <v>0.658536585365854</v>
      </c>
      <c r="H213" s="36"/>
      <c r="I213" s="36"/>
    </row>
    <row r="214" customFormat="false" ht="15" hidden="false" customHeight="true" outlineLevel="0" collapsed="false">
      <c r="A214" s="12" t="s">
        <v>400</v>
      </c>
      <c r="B214" s="12" t="s">
        <v>333</v>
      </c>
      <c r="C214" s="12" t="s">
        <v>388</v>
      </c>
      <c r="D214" s="12" t="s">
        <v>401</v>
      </c>
      <c r="E214" s="12" t="s">
        <v>392</v>
      </c>
      <c r="F214" s="12" t="s">
        <v>401</v>
      </c>
      <c r="G214" s="12" t="s">
        <v>402</v>
      </c>
      <c r="H214" s="12" t="s">
        <v>401</v>
      </c>
      <c r="I214" s="12" t="s">
        <v>142</v>
      </c>
    </row>
    <row r="215" customFormat="false" ht="15" hidden="false" customHeight="true" outlineLevel="0" collapsed="false">
      <c r="A215" s="22" t="s">
        <v>130</v>
      </c>
      <c r="B215" s="31" t="n">
        <v>16</v>
      </c>
      <c r="C215" s="59" t="n">
        <v>0.6875</v>
      </c>
      <c r="D215" s="60" t="n">
        <v>-0.0929878048780488</v>
      </c>
      <c r="E215" s="59" t="n">
        <v>1.18181818181818</v>
      </c>
      <c r="F215" s="60" t="n">
        <v>0.338068181818182</v>
      </c>
      <c r="G215" s="59" t="n">
        <v>0.8125</v>
      </c>
      <c r="H215" s="60" t="n">
        <v>0.153963414634146</v>
      </c>
      <c r="I215" s="25" t="s">
        <v>404</v>
      </c>
    </row>
    <row r="216" customFormat="false" ht="15" hidden="false" customHeight="true" outlineLevel="0" collapsed="false">
      <c r="A216" s="22" t="s">
        <v>132</v>
      </c>
      <c r="B216" s="31" t="n">
        <v>20</v>
      </c>
      <c r="C216" s="31" t="s">
        <v>282</v>
      </c>
      <c r="D216" s="31" t="s">
        <v>282</v>
      </c>
      <c r="E216" s="31" t="s">
        <v>282</v>
      </c>
      <c r="F216" s="31" t="s">
        <v>282</v>
      </c>
      <c r="G216" s="31" t="s">
        <v>282</v>
      </c>
      <c r="H216" s="31" t="s">
        <v>282</v>
      </c>
      <c r="I216" s="25" t="s">
        <v>404</v>
      </c>
    </row>
    <row r="218" customFormat="false" ht="15" hidden="false" customHeight="true" outlineLevel="0" collapsed="false">
      <c r="A218" s="28" t="s">
        <v>434</v>
      </c>
      <c r="B218" s="28"/>
      <c r="C218" s="28"/>
      <c r="D218" s="28"/>
      <c r="E218" s="28"/>
      <c r="F218" s="28"/>
      <c r="G218" s="28"/>
      <c r="H218" s="28"/>
      <c r="I218" s="28"/>
    </row>
    <row r="219" customFormat="false" ht="15" hidden="false" customHeight="true" outlineLevel="0" collapsed="false">
      <c r="A219" s="34" t="s">
        <v>398</v>
      </c>
      <c r="B219" s="57" t="n">
        <v>88</v>
      </c>
      <c r="C219" s="35" t="n">
        <v>0.886363636363636</v>
      </c>
      <c r="D219" s="36"/>
      <c r="E219" s="35" t="n">
        <v>0.923076923076923</v>
      </c>
      <c r="F219" s="36"/>
      <c r="G219" s="35" t="n">
        <v>0.818181818181818</v>
      </c>
      <c r="H219" s="36"/>
      <c r="I219" s="36"/>
    </row>
    <row r="220" customFormat="false" ht="15" hidden="false" customHeight="true" outlineLevel="0" collapsed="false">
      <c r="A220" s="12" t="s">
        <v>400</v>
      </c>
      <c r="B220" s="12" t="s">
        <v>333</v>
      </c>
      <c r="C220" s="12" t="s">
        <v>388</v>
      </c>
      <c r="D220" s="12" t="s">
        <v>401</v>
      </c>
      <c r="E220" s="12" t="s">
        <v>392</v>
      </c>
      <c r="F220" s="12" t="s">
        <v>401</v>
      </c>
      <c r="G220" s="12" t="s">
        <v>402</v>
      </c>
      <c r="H220" s="12" t="s">
        <v>401</v>
      </c>
      <c r="I220" s="12" t="s">
        <v>142</v>
      </c>
    </row>
    <row r="221" customFormat="false" ht="15" hidden="false" customHeight="true" outlineLevel="0" collapsed="false">
      <c r="A221" s="22" t="s">
        <v>130</v>
      </c>
      <c r="B221" s="31" t="n">
        <v>18</v>
      </c>
      <c r="C221" s="59" t="n">
        <v>1</v>
      </c>
      <c r="D221" s="60" t="n">
        <v>0.113636363636364</v>
      </c>
      <c r="E221" s="59" t="n">
        <v>0.833333333333333</v>
      </c>
      <c r="F221" s="60" t="n">
        <v>-0.0897435897435898</v>
      </c>
      <c r="G221" s="59" t="n">
        <v>0.833333333333333</v>
      </c>
      <c r="H221" s="60" t="n">
        <v>0.0151515151515151</v>
      </c>
      <c r="I221" s="25" t="s">
        <v>404</v>
      </c>
    </row>
    <row r="222" customFormat="false" ht="15" hidden="false" customHeight="true" outlineLevel="0" collapsed="false">
      <c r="A222" s="22" t="s">
        <v>131</v>
      </c>
      <c r="B222" s="31" t="n">
        <v>8</v>
      </c>
      <c r="C222" s="59" t="n">
        <v>1</v>
      </c>
      <c r="D222" s="60" t="n">
        <v>0.113636363636364</v>
      </c>
      <c r="E222" s="31" t="s">
        <v>282</v>
      </c>
      <c r="F222" s="31" t="s">
        <v>282</v>
      </c>
      <c r="G222" s="31" t="s">
        <v>282</v>
      </c>
      <c r="H222" s="31" t="s">
        <v>282</v>
      </c>
      <c r="I222" s="25" t="s">
        <v>404</v>
      </c>
    </row>
    <row r="223" customFormat="false" ht="15" hidden="false" customHeight="true" outlineLevel="0" collapsed="false">
      <c r="A223" s="22" t="s">
        <v>132</v>
      </c>
      <c r="B223" s="31" t="n">
        <v>25</v>
      </c>
      <c r="C223" s="31" t="s">
        <v>282</v>
      </c>
      <c r="D223" s="31" t="s">
        <v>282</v>
      </c>
      <c r="E223" s="31" t="s">
        <v>282</v>
      </c>
      <c r="F223" s="31" t="s">
        <v>282</v>
      </c>
      <c r="G223" s="31" t="s">
        <v>282</v>
      </c>
      <c r="H223" s="31" t="s">
        <v>282</v>
      </c>
      <c r="I223" s="25" t="s">
        <v>404</v>
      </c>
    </row>
    <row r="225" customFormat="false" ht="15" hidden="false" customHeight="true" outlineLevel="0" collapsed="false">
      <c r="A225" s="28" t="s">
        <v>435</v>
      </c>
      <c r="B225" s="28"/>
      <c r="C225" s="28"/>
      <c r="D225" s="28"/>
      <c r="E225" s="28"/>
      <c r="F225" s="28"/>
      <c r="G225" s="28"/>
      <c r="H225" s="28"/>
      <c r="I225" s="28"/>
    </row>
    <row r="226" customFormat="false" ht="15" hidden="false" customHeight="true" outlineLevel="0" collapsed="false">
      <c r="A226" s="34" t="s">
        <v>398</v>
      </c>
      <c r="B226" s="57" t="n">
        <v>26</v>
      </c>
      <c r="C226" s="35" t="n">
        <v>0.692307692307692</v>
      </c>
      <c r="D226" s="36"/>
      <c r="E226" s="35" t="n">
        <v>0.888888888888889</v>
      </c>
      <c r="F226" s="36"/>
      <c r="G226" s="35" t="n">
        <v>0.615384615384615</v>
      </c>
      <c r="H226" s="36"/>
      <c r="I226" s="58" t="s">
        <v>399</v>
      </c>
    </row>
    <row r="227" customFormat="false" ht="15" hidden="false" customHeight="true" outlineLevel="0" collapsed="false">
      <c r="A227" s="12" t="s">
        <v>400</v>
      </c>
      <c r="B227" s="12" t="s">
        <v>333</v>
      </c>
      <c r="C227" s="12" t="s">
        <v>388</v>
      </c>
      <c r="D227" s="12" t="s">
        <v>401</v>
      </c>
      <c r="E227" s="12" t="s">
        <v>392</v>
      </c>
      <c r="F227" s="12" t="s">
        <v>401</v>
      </c>
      <c r="G227" s="12" t="s">
        <v>402</v>
      </c>
      <c r="H227" s="12" t="s">
        <v>401</v>
      </c>
      <c r="I227" s="12" t="s">
        <v>142</v>
      </c>
    </row>
    <row r="228" customFormat="false" ht="15" hidden="false" customHeight="true" outlineLevel="0" collapsed="false">
      <c r="A228" s="22" t="s">
        <v>130</v>
      </c>
      <c r="B228" s="31" t="n">
        <v>9</v>
      </c>
      <c r="C228" s="59" t="n">
        <v>0.888888888888889</v>
      </c>
      <c r="D228" s="60" t="n">
        <v>0.196581196581197</v>
      </c>
      <c r="E228" s="59" t="n">
        <v>0.875</v>
      </c>
      <c r="F228" s="60" t="n">
        <v>-0.0138888888888888</v>
      </c>
      <c r="G228" s="59" t="n">
        <v>0.777777777777778</v>
      </c>
      <c r="H228" s="60" t="n">
        <v>0.162393162393162</v>
      </c>
      <c r="I228" s="25" t="s">
        <v>404</v>
      </c>
    </row>
    <row r="229" customFormat="false" ht="15" hidden="false" customHeight="true" outlineLevel="0" collapsed="false">
      <c r="A229" s="22" t="s">
        <v>132</v>
      </c>
      <c r="B229" s="31" t="n">
        <v>17</v>
      </c>
      <c r="C229" s="31" t="s">
        <v>282</v>
      </c>
      <c r="D229" s="31" t="s">
        <v>282</v>
      </c>
      <c r="E229" s="31" t="s">
        <v>282</v>
      </c>
      <c r="F229" s="31" t="s">
        <v>282</v>
      </c>
      <c r="G229" s="31" t="s">
        <v>282</v>
      </c>
      <c r="H229" s="31" t="s">
        <v>282</v>
      </c>
      <c r="I229" s="25" t="s">
        <v>404</v>
      </c>
    </row>
    <row r="231" customFormat="false" ht="15" hidden="false" customHeight="true" outlineLevel="0" collapsed="false">
      <c r="A231" s="28" t="s">
        <v>436</v>
      </c>
      <c r="B231" s="28"/>
      <c r="C231" s="28"/>
      <c r="D231" s="28"/>
      <c r="E231" s="28"/>
      <c r="F231" s="28"/>
      <c r="G231" s="28"/>
      <c r="H231" s="28"/>
      <c r="I231" s="28"/>
    </row>
    <row r="232" customFormat="false" ht="15" hidden="false" customHeight="true" outlineLevel="0" collapsed="false">
      <c r="A232" s="34" t="s">
        <v>398</v>
      </c>
      <c r="B232" s="57" t="n">
        <v>20</v>
      </c>
      <c r="C232" s="35" t="n">
        <v>0.65</v>
      </c>
      <c r="D232" s="36"/>
      <c r="E232" s="35" t="n">
        <v>1.15384615384615</v>
      </c>
      <c r="F232" s="36"/>
      <c r="G232" s="35" t="n">
        <v>0.75</v>
      </c>
      <c r="H232" s="36"/>
      <c r="I232" s="58" t="s">
        <v>399</v>
      </c>
    </row>
    <row r="233" customFormat="false" ht="15" hidden="false" customHeight="true" outlineLevel="0" collapsed="false">
      <c r="A233" s="12" t="s">
        <v>400</v>
      </c>
      <c r="B233" s="12" t="s">
        <v>333</v>
      </c>
      <c r="C233" s="12" t="s">
        <v>388</v>
      </c>
      <c r="D233" s="12" t="s">
        <v>401</v>
      </c>
      <c r="E233" s="12" t="s">
        <v>392</v>
      </c>
      <c r="F233" s="12" t="s">
        <v>401</v>
      </c>
      <c r="G233" s="12" t="s">
        <v>402</v>
      </c>
      <c r="H233" s="12" t="s">
        <v>401</v>
      </c>
      <c r="I233" s="12" t="s">
        <v>142</v>
      </c>
    </row>
    <row r="234" customFormat="false" ht="15" hidden="false" customHeight="true" outlineLevel="0" collapsed="false">
      <c r="A234" s="22" t="s">
        <v>130</v>
      </c>
      <c r="B234" s="31" t="n">
        <v>2</v>
      </c>
      <c r="C234" s="59" t="n">
        <v>1</v>
      </c>
      <c r="D234" s="60" t="n">
        <v>0.35</v>
      </c>
      <c r="E234" s="61" t="n">
        <v>1</v>
      </c>
      <c r="F234" s="60" t="n">
        <v>-0.153846153846154</v>
      </c>
      <c r="G234" s="59" t="n">
        <v>1</v>
      </c>
      <c r="H234" s="60" t="n">
        <v>0.25</v>
      </c>
      <c r="I234" s="25" t="s">
        <v>404</v>
      </c>
    </row>
    <row r="235" customFormat="false" ht="15" hidden="false" customHeight="true" outlineLevel="0" collapsed="false">
      <c r="A235" s="22" t="s">
        <v>132</v>
      </c>
      <c r="B235" s="31" t="n">
        <v>7</v>
      </c>
      <c r="C235" s="31" t="s">
        <v>282</v>
      </c>
      <c r="D235" s="31" t="s">
        <v>282</v>
      </c>
      <c r="E235" s="31" t="s">
        <v>282</v>
      </c>
      <c r="F235" s="31" t="s">
        <v>282</v>
      </c>
      <c r="G235" s="31" t="s">
        <v>282</v>
      </c>
      <c r="H235" s="31" t="s">
        <v>282</v>
      </c>
      <c r="I235" s="25" t="s">
        <v>404</v>
      </c>
    </row>
    <row r="237" customFormat="false" ht="15" hidden="false" customHeight="true" outlineLevel="0" collapsed="false">
      <c r="A237" s="28" t="s">
        <v>437</v>
      </c>
      <c r="B237" s="28"/>
      <c r="C237" s="28"/>
      <c r="D237" s="28"/>
      <c r="E237" s="28"/>
      <c r="F237" s="28"/>
      <c r="G237" s="28"/>
      <c r="H237" s="28"/>
      <c r="I237" s="28"/>
    </row>
    <row r="238" customFormat="false" ht="15" hidden="false" customHeight="true" outlineLevel="0" collapsed="false">
      <c r="A238" s="34" t="s">
        <v>398</v>
      </c>
      <c r="B238" s="57" t="n">
        <v>771</v>
      </c>
      <c r="C238" s="35" t="n">
        <v>0.872892347600519</v>
      </c>
      <c r="D238" s="36"/>
      <c r="E238" s="35" t="n">
        <v>0.884101040118871</v>
      </c>
      <c r="F238" s="36"/>
      <c r="G238" s="35" t="n">
        <v>0.771725032425422</v>
      </c>
      <c r="H238" s="36"/>
      <c r="I238" s="36"/>
    </row>
    <row r="239" customFormat="false" ht="15" hidden="false" customHeight="true" outlineLevel="0" collapsed="false">
      <c r="A239" s="12" t="s">
        <v>400</v>
      </c>
      <c r="B239" s="12" t="s">
        <v>333</v>
      </c>
      <c r="C239" s="12" t="s">
        <v>388</v>
      </c>
      <c r="D239" s="12" t="s">
        <v>401</v>
      </c>
      <c r="E239" s="12" t="s">
        <v>392</v>
      </c>
      <c r="F239" s="12" t="s">
        <v>401</v>
      </c>
      <c r="G239" s="12" t="s">
        <v>402</v>
      </c>
      <c r="H239" s="12" t="s">
        <v>401</v>
      </c>
      <c r="I239" s="12" t="s">
        <v>142</v>
      </c>
    </row>
    <row r="240" customFormat="false" ht="15" hidden="false" customHeight="true" outlineLevel="0" collapsed="false">
      <c r="A240" s="22" t="s">
        <v>130</v>
      </c>
      <c r="B240" s="31" t="n">
        <v>68</v>
      </c>
      <c r="C240" s="59" t="n">
        <v>0.882352941176471</v>
      </c>
      <c r="D240" s="60" t="n">
        <v>0.00946059357595175</v>
      </c>
      <c r="E240" s="59" t="n">
        <v>1</v>
      </c>
      <c r="F240" s="60" t="n">
        <v>0.115898959881129</v>
      </c>
      <c r="G240" s="59" t="n">
        <v>0.882352941176471</v>
      </c>
      <c r="H240" s="60" t="n">
        <v>0.110627908751049</v>
      </c>
      <c r="I240" s="22" t="s">
        <v>156</v>
      </c>
    </row>
    <row r="241" customFormat="false" ht="15" hidden="false" customHeight="true" outlineLevel="0" collapsed="false">
      <c r="A241" s="22" t="s">
        <v>131</v>
      </c>
      <c r="B241" s="31" t="n">
        <v>2</v>
      </c>
      <c r="C241" s="59" t="n">
        <v>1</v>
      </c>
      <c r="D241" s="60" t="n">
        <v>0.127107652399481</v>
      </c>
      <c r="E241" s="31" t="s">
        <v>282</v>
      </c>
      <c r="F241" s="31" t="s">
        <v>282</v>
      </c>
      <c r="G241" s="31" t="s">
        <v>282</v>
      </c>
      <c r="H241" s="31" t="s">
        <v>282</v>
      </c>
      <c r="I241" s="25" t="s">
        <v>404</v>
      </c>
    </row>
    <row r="242" customFormat="false" ht="15" hidden="false" customHeight="true" outlineLevel="0" collapsed="false">
      <c r="A242" s="22" t="s">
        <v>132</v>
      </c>
      <c r="B242" s="31" t="n">
        <v>113</v>
      </c>
      <c r="C242" s="31" t="s">
        <v>282</v>
      </c>
      <c r="D242" s="31" t="s">
        <v>282</v>
      </c>
      <c r="E242" s="31" t="s">
        <v>282</v>
      </c>
      <c r="F242" s="31" t="s">
        <v>282</v>
      </c>
      <c r="G242" s="31" t="s">
        <v>282</v>
      </c>
      <c r="H242" s="31" t="s">
        <v>282</v>
      </c>
      <c r="I242" s="22" t="s">
        <v>156</v>
      </c>
    </row>
    <row r="244" customFormat="false" ht="15" hidden="false" customHeight="true" outlineLevel="0" collapsed="false">
      <c r="A244" s="28" t="s">
        <v>438</v>
      </c>
      <c r="B244" s="28"/>
      <c r="C244" s="28"/>
      <c r="D244" s="28"/>
      <c r="E244" s="28"/>
      <c r="F244" s="28"/>
      <c r="G244" s="28"/>
      <c r="H244" s="28"/>
      <c r="I244" s="28"/>
    </row>
    <row r="245" customFormat="false" ht="15" hidden="false" customHeight="true" outlineLevel="0" collapsed="false">
      <c r="A245" s="29" t="s">
        <v>396</v>
      </c>
      <c r="B245" s="29"/>
      <c r="C245" s="29"/>
      <c r="D245" s="29"/>
      <c r="E245" s="29"/>
      <c r="F245" s="29"/>
      <c r="G245" s="29"/>
      <c r="H245" s="29"/>
      <c r="I245" s="29"/>
    </row>
    <row r="247" customFormat="false" ht="15" hidden="false" customHeight="true" outlineLevel="0" collapsed="false">
      <c r="A247" s="28" t="s">
        <v>439</v>
      </c>
      <c r="B247" s="28"/>
      <c r="C247" s="28"/>
      <c r="D247" s="28"/>
      <c r="E247" s="28"/>
      <c r="F247" s="28"/>
      <c r="G247" s="28"/>
      <c r="H247" s="28"/>
      <c r="I247" s="28"/>
    </row>
    <row r="248" customFormat="false" ht="15" hidden="false" customHeight="true" outlineLevel="0" collapsed="false">
      <c r="A248" s="34" t="s">
        <v>398</v>
      </c>
      <c r="B248" s="57" t="n">
        <v>9</v>
      </c>
      <c r="C248" s="35" t="n">
        <v>0.444444444444444</v>
      </c>
      <c r="D248" s="36"/>
      <c r="E248" s="35" t="n">
        <v>1</v>
      </c>
      <c r="F248" s="36"/>
      <c r="G248" s="35" t="n">
        <v>0.444444444444444</v>
      </c>
      <c r="H248" s="36"/>
      <c r="I248" s="58" t="s">
        <v>399</v>
      </c>
    </row>
    <row r="249" customFormat="false" ht="15" hidden="false" customHeight="true" outlineLevel="0" collapsed="false">
      <c r="A249" s="12" t="s">
        <v>400</v>
      </c>
      <c r="B249" s="12" t="s">
        <v>333</v>
      </c>
      <c r="C249" s="12" t="s">
        <v>388</v>
      </c>
      <c r="D249" s="12" t="s">
        <v>401</v>
      </c>
      <c r="E249" s="12" t="s">
        <v>392</v>
      </c>
      <c r="F249" s="12" t="s">
        <v>401</v>
      </c>
      <c r="G249" s="12" t="s">
        <v>402</v>
      </c>
      <c r="H249" s="12" t="s">
        <v>401</v>
      </c>
      <c r="I249" s="12" t="s">
        <v>142</v>
      </c>
    </row>
    <row r="250" customFormat="false" ht="15" hidden="false" customHeight="true" outlineLevel="0" collapsed="false">
      <c r="A250" s="22" t="s">
        <v>130</v>
      </c>
      <c r="B250" s="31" t="n">
        <v>2</v>
      </c>
      <c r="C250" s="59" t="n">
        <v>1</v>
      </c>
      <c r="D250" s="60" t="n">
        <v>0.555555555555556</v>
      </c>
      <c r="E250" s="61" t="n">
        <v>0.5</v>
      </c>
      <c r="F250" s="60" t="n">
        <v>-0.5</v>
      </c>
      <c r="G250" s="59" t="n">
        <v>0.5</v>
      </c>
      <c r="H250" s="60" t="n">
        <v>0.0555555555555556</v>
      </c>
      <c r="I250" s="25" t="s">
        <v>404</v>
      </c>
    </row>
    <row r="251" customFormat="false" ht="15" hidden="false" customHeight="true" outlineLevel="0" collapsed="false">
      <c r="A251" s="22" t="s">
        <v>132</v>
      </c>
      <c r="B251" s="31" t="n">
        <v>1</v>
      </c>
      <c r="C251" s="31" t="s">
        <v>282</v>
      </c>
      <c r="D251" s="31" t="s">
        <v>282</v>
      </c>
      <c r="E251" s="31" t="s">
        <v>282</v>
      </c>
      <c r="F251" s="31" t="s">
        <v>282</v>
      </c>
      <c r="G251" s="31" t="s">
        <v>282</v>
      </c>
      <c r="H251" s="31" t="s">
        <v>282</v>
      </c>
      <c r="I251" s="25" t="s">
        <v>404</v>
      </c>
    </row>
    <row r="253" customFormat="false" ht="15" hidden="false" customHeight="true" outlineLevel="0" collapsed="false">
      <c r="A253" s="28" t="s">
        <v>440</v>
      </c>
      <c r="B253" s="28"/>
      <c r="C253" s="28"/>
      <c r="D253" s="28"/>
      <c r="E253" s="28"/>
      <c r="F253" s="28"/>
      <c r="G253" s="28"/>
      <c r="H253" s="28"/>
      <c r="I253" s="28"/>
    </row>
    <row r="254" customFormat="false" ht="15" hidden="false" customHeight="true" outlineLevel="0" collapsed="false">
      <c r="A254" s="34" t="s">
        <v>398</v>
      </c>
      <c r="B254" s="57" t="n">
        <v>9</v>
      </c>
      <c r="C254" s="35" t="n">
        <v>0.333333333333333</v>
      </c>
      <c r="D254" s="36"/>
      <c r="E254" s="35" t="n">
        <v>1</v>
      </c>
      <c r="F254" s="36"/>
      <c r="G254" s="35" t="n">
        <v>0.333333333333333</v>
      </c>
      <c r="H254" s="36"/>
      <c r="I254" s="58" t="s">
        <v>399</v>
      </c>
    </row>
    <row r="255" customFormat="false" ht="15" hidden="false" customHeight="true" outlineLevel="0" collapsed="false">
      <c r="A255" s="12" t="s">
        <v>400</v>
      </c>
      <c r="B255" s="12" t="s">
        <v>333</v>
      </c>
      <c r="C255" s="12" t="s">
        <v>388</v>
      </c>
      <c r="D255" s="12" t="s">
        <v>401</v>
      </c>
      <c r="E255" s="12" t="s">
        <v>392</v>
      </c>
      <c r="F255" s="12" t="s">
        <v>401</v>
      </c>
      <c r="G255" s="12" t="s">
        <v>402</v>
      </c>
      <c r="H255" s="12" t="s">
        <v>401</v>
      </c>
      <c r="I255" s="12" t="s">
        <v>142</v>
      </c>
    </row>
    <row r="256" customFormat="false" ht="15" hidden="false" customHeight="true" outlineLevel="0" collapsed="false">
      <c r="A256" s="22" t="s">
        <v>130</v>
      </c>
      <c r="B256" s="31" t="n">
        <v>1</v>
      </c>
      <c r="C256" s="59" t="n">
        <v>1</v>
      </c>
      <c r="D256" s="60" t="n">
        <v>0.666666666666667</v>
      </c>
      <c r="E256" s="59" t="n">
        <v>1</v>
      </c>
      <c r="F256" s="60" t="n">
        <v>0</v>
      </c>
      <c r="G256" s="59" t="n">
        <v>1</v>
      </c>
      <c r="H256" s="60" t="n">
        <v>0.666666666666667</v>
      </c>
      <c r="I256" s="25" t="s">
        <v>404</v>
      </c>
    </row>
    <row r="257" customFormat="false" ht="15" hidden="false" customHeight="true" outlineLevel="0" collapsed="false">
      <c r="A257" s="22" t="s">
        <v>131</v>
      </c>
      <c r="B257" s="31" t="n">
        <v>1</v>
      </c>
      <c r="C257" s="59" t="n">
        <v>1</v>
      </c>
      <c r="D257" s="60" t="n">
        <v>0.666666666666667</v>
      </c>
      <c r="E257" s="31" t="s">
        <v>282</v>
      </c>
      <c r="F257" s="31" t="s">
        <v>282</v>
      </c>
      <c r="G257" s="31" t="s">
        <v>282</v>
      </c>
      <c r="H257" s="31" t="s">
        <v>282</v>
      </c>
      <c r="I257" s="25" t="s">
        <v>404</v>
      </c>
    </row>
    <row r="259" customFormat="false" ht="15" hidden="false" customHeight="true" outlineLevel="0" collapsed="false">
      <c r="A259" s="28" t="s">
        <v>441</v>
      </c>
      <c r="B259" s="28"/>
      <c r="C259" s="28"/>
      <c r="D259" s="28"/>
      <c r="E259" s="28"/>
      <c r="F259" s="28"/>
      <c r="G259" s="28"/>
      <c r="H259" s="28"/>
      <c r="I259" s="28"/>
    </row>
    <row r="260" customFormat="false" ht="15" hidden="false" customHeight="true" outlineLevel="0" collapsed="false">
      <c r="A260" s="34" t="s">
        <v>398</v>
      </c>
      <c r="B260" s="57" t="n">
        <v>19</v>
      </c>
      <c r="C260" s="35" t="n">
        <v>0.842105263157895</v>
      </c>
      <c r="D260" s="36"/>
      <c r="E260" s="35" t="n">
        <v>0.4375</v>
      </c>
      <c r="F260" s="36"/>
      <c r="G260" s="35" t="n">
        <v>0.368421052631579</v>
      </c>
      <c r="H260" s="36"/>
      <c r="I260" s="58" t="s">
        <v>399</v>
      </c>
    </row>
    <row r="261" customFormat="false" ht="15" hidden="false" customHeight="true" outlineLevel="0" collapsed="false">
      <c r="A261" s="12" t="s">
        <v>400</v>
      </c>
      <c r="B261" s="12" t="s">
        <v>333</v>
      </c>
      <c r="C261" s="12" t="s">
        <v>388</v>
      </c>
      <c r="D261" s="12" t="s">
        <v>401</v>
      </c>
      <c r="E261" s="12" t="s">
        <v>392</v>
      </c>
      <c r="F261" s="12" t="s">
        <v>401</v>
      </c>
      <c r="G261" s="12" t="s">
        <v>402</v>
      </c>
      <c r="H261" s="12" t="s">
        <v>401</v>
      </c>
      <c r="I261" s="12" t="s">
        <v>142</v>
      </c>
    </row>
    <row r="262" customFormat="false" ht="15" hidden="false" customHeight="true" outlineLevel="0" collapsed="false">
      <c r="A262" s="22" t="s">
        <v>132</v>
      </c>
      <c r="B262" s="31" t="n">
        <v>1</v>
      </c>
      <c r="C262" s="31" t="s">
        <v>282</v>
      </c>
      <c r="D262" s="31" t="s">
        <v>282</v>
      </c>
      <c r="E262" s="31" t="s">
        <v>282</v>
      </c>
      <c r="F262" s="31" t="s">
        <v>282</v>
      </c>
      <c r="G262" s="31" t="s">
        <v>282</v>
      </c>
      <c r="H262" s="31" t="s">
        <v>282</v>
      </c>
      <c r="I262" s="25" t="s">
        <v>404</v>
      </c>
    </row>
    <row r="264" customFormat="false" ht="15" hidden="false" customHeight="true" outlineLevel="0" collapsed="false">
      <c r="A264" s="28" t="s">
        <v>442</v>
      </c>
      <c r="B264" s="28"/>
      <c r="C264" s="28"/>
      <c r="D264" s="28"/>
      <c r="E264" s="28"/>
      <c r="F264" s="28"/>
      <c r="G264" s="28"/>
      <c r="H264" s="28"/>
      <c r="I264" s="28"/>
    </row>
    <row r="265" customFormat="false" ht="15" hidden="false" customHeight="true" outlineLevel="0" collapsed="false">
      <c r="A265" s="34" t="s">
        <v>398</v>
      </c>
      <c r="B265" s="57" t="n">
        <v>2</v>
      </c>
      <c r="C265" s="35" t="n">
        <v>1</v>
      </c>
      <c r="D265" s="36"/>
      <c r="E265" s="35" t="n">
        <v>0.5</v>
      </c>
      <c r="F265" s="36"/>
      <c r="G265" s="35" t="n">
        <v>0.5</v>
      </c>
      <c r="H265" s="36"/>
      <c r="I265" s="58" t="s">
        <v>399</v>
      </c>
    </row>
    <row r="266" customFormat="false" ht="15" hidden="false" customHeight="true" outlineLevel="0" collapsed="false">
      <c r="A266" s="12" t="s">
        <v>400</v>
      </c>
      <c r="B266" s="12" t="s">
        <v>333</v>
      </c>
      <c r="C266" s="12" t="s">
        <v>388</v>
      </c>
      <c r="D266" s="12" t="s">
        <v>401</v>
      </c>
      <c r="E266" s="12" t="s">
        <v>392</v>
      </c>
      <c r="F266" s="12" t="s">
        <v>401</v>
      </c>
      <c r="G266" s="12" t="s">
        <v>402</v>
      </c>
      <c r="H266" s="12" t="s">
        <v>401</v>
      </c>
      <c r="I266" s="12" t="s">
        <v>142</v>
      </c>
    </row>
    <row r="267" customFormat="false" ht="15" hidden="false" customHeight="true" outlineLevel="0" collapsed="false">
      <c r="A267" s="22" t="s">
        <v>130</v>
      </c>
      <c r="B267" s="31" t="n">
        <v>1</v>
      </c>
      <c r="C267" s="59" t="n">
        <v>1</v>
      </c>
      <c r="D267" s="60" t="n">
        <v>0</v>
      </c>
      <c r="E267" s="61" t="n">
        <v>0</v>
      </c>
      <c r="F267" s="60" t="n">
        <v>-0.5</v>
      </c>
      <c r="G267" s="61" t="n">
        <v>0</v>
      </c>
      <c r="H267" s="60" t="n">
        <v>-0.5</v>
      </c>
      <c r="I267" s="25" t="s">
        <v>404</v>
      </c>
    </row>
  </sheetData>
  <mergeCells count="49">
    <mergeCell ref="A1:I1"/>
    <mergeCell ref="A2:I2"/>
    <mergeCell ref="A8:I8"/>
    <mergeCell ref="A18:I18"/>
    <mergeCell ref="A20:I20"/>
    <mergeCell ref="A22:I22"/>
    <mergeCell ref="A23:I23"/>
    <mergeCell ref="A25:I25"/>
    <mergeCell ref="A30:I30"/>
    <mergeCell ref="A36:I36"/>
    <mergeCell ref="A37:I37"/>
    <mergeCell ref="A39:I39"/>
    <mergeCell ref="A46:I46"/>
    <mergeCell ref="A52:I52"/>
    <mergeCell ref="A58:I58"/>
    <mergeCell ref="A65:I65"/>
    <mergeCell ref="A72:I72"/>
    <mergeCell ref="A79:I79"/>
    <mergeCell ref="A86:I86"/>
    <mergeCell ref="A93:I93"/>
    <mergeCell ref="A99:I99"/>
    <mergeCell ref="A105:I105"/>
    <mergeCell ref="A111:I111"/>
    <mergeCell ref="A117:I117"/>
    <mergeCell ref="A123:I123"/>
    <mergeCell ref="A129:I129"/>
    <mergeCell ref="A136:I136"/>
    <mergeCell ref="A143:I143"/>
    <mergeCell ref="A149:I149"/>
    <mergeCell ref="A155:I155"/>
    <mergeCell ref="A162:I162"/>
    <mergeCell ref="A168:I168"/>
    <mergeCell ref="A174:I174"/>
    <mergeCell ref="A181:I181"/>
    <mergeCell ref="A187:I187"/>
    <mergeCell ref="A193:I193"/>
    <mergeCell ref="A200:I200"/>
    <mergeCell ref="A206:I206"/>
    <mergeCell ref="A212:I212"/>
    <mergeCell ref="A218:I218"/>
    <mergeCell ref="A225:I225"/>
    <mergeCell ref="A231:I231"/>
    <mergeCell ref="A237:I237"/>
    <mergeCell ref="A244:I244"/>
    <mergeCell ref="A245:I245"/>
    <mergeCell ref="A247:I247"/>
    <mergeCell ref="A253:I253"/>
    <mergeCell ref="A259:I259"/>
    <mergeCell ref="A264:I26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6"/>
    <col collapsed="false" customWidth="true" hidden="false" outlineLevel="0" max="4" min="4" style="0" width="18"/>
    <col collapsed="false" customWidth="true" hidden="false" outlineLevel="0" max="5" min="5" style="0" width="16"/>
    <col collapsed="false" customWidth="true" hidden="false" outlineLevel="0" max="6" min="6" style="0" width="14"/>
  </cols>
  <sheetData>
    <row r="1" customFormat="false" ht="19.5" hidden="false" customHeight="true" outlineLevel="0" collapsed="false">
      <c r="A1" s="62" t="s">
        <v>443</v>
      </c>
      <c r="B1" s="62"/>
      <c r="C1" s="62"/>
      <c r="D1" s="62"/>
      <c r="E1" s="62"/>
      <c r="F1" s="62"/>
    </row>
    <row r="2" customFormat="false" ht="27.75" hidden="false" customHeight="true" outlineLevel="0" collapsed="false">
      <c r="A2" s="47" t="s">
        <v>444</v>
      </c>
      <c r="B2" s="47"/>
      <c r="C2" s="47"/>
      <c r="D2" s="47"/>
      <c r="E2" s="47"/>
      <c r="F2" s="47"/>
    </row>
    <row r="4" customFormat="false" ht="25.5" hidden="false" customHeight="true" outlineLevel="0" collapsed="false">
      <c r="A4" s="63" t="s">
        <v>445</v>
      </c>
      <c r="B4" s="63"/>
      <c r="C4" s="63"/>
      <c r="D4" s="63"/>
      <c r="E4" s="63"/>
      <c r="F4" s="63"/>
    </row>
    <row r="5" customFormat="false" ht="126" hidden="false" customHeight="true" outlineLevel="0" collapsed="false">
      <c r="A5" s="64" t="s">
        <v>446</v>
      </c>
      <c r="B5" s="64"/>
      <c r="C5" s="64"/>
      <c r="D5" s="64"/>
      <c r="E5" s="64"/>
      <c r="F5" s="64"/>
    </row>
    <row r="6" customFormat="false" ht="15" hidden="false" customHeight="true" outlineLevel="0" collapsed="false">
      <c r="A6" s="12" t="s">
        <v>275</v>
      </c>
      <c r="B6" s="12" t="s">
        <v>447</v>
      </c>
      <c r="C6" s="12" t="s">
        <v>448</v>
      </c>
      <c r="D6" s="12" t="s">
        <v>278</v>
      </c>
      <c r="E6" s="12" t="s">
        <v>449</v>
      </c>
      <c r="F6" s="12" t="s">
        <v>450</v>
      </c>
    </row>
    <row r="7" customFormat="false" ht="15" hidden="false" customHeight="true" outlineLevel="0" collapsed="false">
      <c r="A7" s="30" t="n">
        <v>1</v>
      </c>
      <c r="B7" s="31" t="n">
        <v>5841</v>
      </c>
      <c r="C7" s="32"/>
      <c r="D7" s="32"/>
      <c r="E7" s="33" t="n">
        <v>1</v>
      </c>
      <c r="F7" s="32" t="s">
        <v>282</v>
      </c>
    </row>
    <row r="8" customFormat="false" ht="15" hidden="false" customHeight="true" outlineLevel="0" collapsed="false">
      <c r="A8" s="30" t="n">
        <v>2</v>
      </c>
      <c r="B8" s="31" t="n">
        <v>4638</v>
      </c>
      <c r="C8" s="32" t="n">
        <v>-1203</v>
      </c>
      <c r="D8" s="33" t="n">
        <v>0.794042116076014</v>
      </c>
      <c r="E8" s="33" t="n">
        <v>0.794042116076014</v>
      </c>
      <c r="F8" s="32" t="s">
        <v>282</v>
      </c>
    </row>
    <row r="9" customFormat="false" ht="15" hidden="false" customHeight="true" outlineLevel="0" collapsed="false">
      <c r="A9" s="30" t="n">
        <v>3</v>
      </c>
      <c r="B9" s="31" t="n">
        <v>4092</v>
      </c>
      <c r="C9" s="32" t="n">
        <v>-546</v>
      </c>
      <c r="D9" s="33" t="n">
        <v>0.882276843467012</v>
      </c>
      <c r="E9" s="33" t="n">
        <v>0.700564971751412</v>
      </c>
      <c r="F9" s="32" t="s">
        <v>283</v>
      </c>
    </row>
    <row r="10" customFormat="false" ht="15" hidden="false" customHeight="true" outlineLevel="0" collapsed="false">
      <c r="A10" s="30" t="n">
        <v>4</v>
      </c>
      <c r="B10" s="31" t="n">
        <v>4022</v>
      </c>
      <c r="C10" s="32" t="n">
        <v>-70</v>
      </c>
      <c r="D10" s="33" t="n">
        <v>0.982893450635386</v>
      </c>
      <c r="E10" s="33" t="n">
        <v>0.688580722479028</v>
      </c>
      <c r="F10" s="32" t="s">
        <v>283</v>
      </c>
    </row>
    <row r="11" customFormat="false" ht="15" hidden="false" customHeight="true" outlineLevel="0" collapsed="false">
      <c r="A11" s="30" t="n">
        <v>5</v>
      </c>
      <c r="B11" s="31" t="n">
        <v>2755</v>
      </c>
      <c r="C11" s="32" t="n">
        <v>-1267</v>
      </c>
      <c r="D11" s="33" t="n">
        <v>0.684982595723521</v>
      </c>
      <c r="E11" s="33" t="n">
        <v>0.471665810648862</v>
      </c>
      <c r="F11" s="32" t="s">
        <v>283</v>
      </c>
    </row>
    <row r="12" customFormat="false" ht="15" hidden="false" customHeight="true" outlineLevel="0" collapsed="false">
      <c r="A12" s="30" t="n">
        <v>6</v>
      </c>
      <c r="B12" s="31" t="n">
        <v>1774</v>
      </c>
      <c r="C12" s="32" t="n">
        <v>-981</v>
      </c>
      <c r="D12" s="33" t="n">
        <v>0.643920145190563</v>
      </c>
      <c r="E12" s="33" t="n">
        <v>0.303715117274439</v>
      </c>
      <c r="F12" s="32" t="s">
        <v>283</v>
      </c>
    </row>
    <row r="13" customFormat="false" ht="15" hidden="false" customHeight="true" outlineLevel="0" collapsed="false">
      <c r="A13" s="30" t="n">
        <v>7</v>
      </c>
      <c r="B13" s="31" t="n">
        <v>1355</v>
      </c>
      <c r="C13" s="32" t="n">
        <v>-419</v>
      </c>
      <c r="D13" s="33" t="n">
        <v>0.76381059751973</v>
      </c>
      <c r="E13" s="33" t="n">
        <v>0.231980825201164</v>
      </c>
      <c r="F13" s="32" t="s">
        <v>283</v>
      </c>
    </row>
    <row r="14" customFormat="false" ht="15" hidden="false" customHeight="true" outlineLevel="0" collapsed="false">
      <c r="A14" s="30" t="n">
        <v>8</v>
      </c>
      <c r="B14" s="31" t="n">
        <v>822</v>
      </c>
      <c r="C14" s="32" t="n">
        <v>-533</v>
      </c>
      <c r="D14" s="33" t="n">
        <v>0.606642066420664</v>
      </c>
      <c r="E14" s="33" t="n">
        <v>0.140729327170005</v>
      </c>
      <c r="F14" s="32" t="s">
        <v>283</v>
      </c>
    </row>
    <row r="15" customFormat="false" ht="15" hidden="false" customHeight="true" outlineLevel="0" collapsed="false">
      <c r="A15" s="30" t="n">
        <v>9</v>
      </c>
      <c r="B15" s="31" t="n">
        <v>463</v>
      </c>
      <c r="C15" s="32" t="n">
        <v>-359</v>
      </c>
      <c r="D15" s="33" t="n">
        <v>0.563260340632603</v>
      </c>
      <c r="E15" s="33" t="n">
        <v>0.0792672487587742</v>
      </c>
      <c r="F15" s="32" t="s">
        <v>283</v>
      </c>
    </row>
    <row r="16" customFormat="false" ht="15" hidden="false" customHeight="true" outlineLevel="0" collapsed="false">
      <c r="A16" s="30" t="n">
        <v>10</v>
      </c>
      <c r="B16" s="31" t="n">
        <v>262</v>
      </c>
      <c r="C16" s="32" t="n">
        <v>-201</v>
      </c>
      <c r="D16" s="33" t="n">
        <v>0.565874730021598</v>
      </c>
      <c r="E16" s="33" t="n">
        <v>0.0448553329909262</v>
      </c>
      <c r="F16" s="32" t="s">
        <v>283</v>
      </c>
    </row>
    <row r="17" customFormat="false" ht="15" hidden="false" customHeight="true" outlineLevel="0" collapsed="false">
      <c r="A17" s="30" t="n">
        <v>11</v>
      </c>
      <c r="B17" s="31" t="n">
        <v>140</v>
      </c>
      <c r="C17" s="32" t="n">
        <v>-122</v>
      </c>
      <c r="D17" s="33" t="n">
        <v>0.534351145038168</v>
      </c>
      <c r="E17" s="33" t="n">
        <v>0.0239684985447697</v>
      </c>
      <c r="F17" s="32" t="s">
        <v>283</v>
      </c>
    </row>
    <row r="18" customFormat="false" ht="15" hidden="false" customHeight="true" outlineLevel="0" collapsed="false">
      <c r="A18" s="30" t="n">
        <v>12</v>
      </c>
      <c r="B18" s="31" t="n">
        <v>75</v>
      </c>
      <c r="C18" s="32" t="n">
        <v>-65</v>
      </c>
      <c r="D18" s="33" t="n">
        <v>0.535714285714286</v>
      </c>
      <c r="E18" s="33" t="n">
        <v>0.0128402670775552</v>
      </c>
      <c r="F18" s="32" t="s">
        <v>283</v>
      </c>
    </row>
    <row r="19" customFormat="false" ht="15" hidden="false" customHeight="true" outlineLevel="0" collapsed="false">
      <c r="A19" s="30" t="n">
        <v>13</v>
      </c>
      <c r="B19" s="31" t="n">
        <v>51</v>
      </c>
      <c r="C19" s="32" t="n">
        <v>-24</v>
      </c>
      <c r="D19" s="33" t="n">
        <v>0.68</v>
      </c>
      <c r="E19" s="33" t="n">
        <v>0.00873138161273755</v>
      </c>
      <c r="F19" s="32" t="s">
        <v>283</v>
      </c>
    </row>
    <row r="20" customFormat="false" ht="15" hidden="false" customHeight="true" outlineLevel="0" collapsed="false">
      <c r="A20" s="30" t="n">
        <v>14</v>
      </c>
      <c r="B20" s="31" t="n">
        <v>25</v>
      </c>
      <c r="C20" s="32" t="n">
        <v>-26</v>
      </c>
      <c r="D20" s="33" t="n">
        <v>0.490196078431373</v>
      </c>
      <c r="E20" s="33" t="n">
        <v>0.00428008902585174</v>
      </c>
      <c r="F20" s="32" t="s">
        <v>283</v>
      </c>
    </row>
    <row r="21" customFormat="false" ht="15" hidden="false" customHeight="true" outlineLevel="0" collapsed="false">
      <c r="A21" s="30" t="n">
        <v>15</v>
      </c>
      <c r="B21" s="31" t="n">
        <v>18</v>
      </c>
      <c r="C21" s="32" t="n">
        <v>-7</v>
      </c>
      <c r="D21" s="33" t="n">
        <v>0.72</v>
      </c>
      <c r="E21" s="33" t="n">
        <v>0.00308166409861325</v>
      </c>
      <c r="F21" s="32" t="s">
        <v>283</v>
      </c>
    </row>
    <row r="22" customFormat="false" ht="15" hidden="false" customHeight="true" outlineLevel="0" collapsed="false">
      <c r="A22" s="30" t="n">
        <v>16</v>
      </c>
      <c r="B22" s="31" t="n">
        <v>12</v>
      </c>
      <c r="C22" s="32" t="n">
        <v>-6</v>
      </c>
      <c r="D22" s="33" t="n">
        <v>0.666666666666667</v>
      </c>
      <c r="E22" s="33" t="n">
        <v>0.00205444273240883</v>
      </c>
      <c r="F22" s="32" t="s">
        <v>283</v>
      </c>
    </row>
    <row r="23" customFormat="false" ht="15" hidden="false" customHeight="true" outlineLevel="0" collapsed="false">
      <c r="A23" s="30" t="n">
        <v>17</v>
      </c>
      <c r="B23" s="31" t="n">
        <v>6</v>
      </c>
      <c r="C23" s="32" t="n">
        <v>-6</v>
      </c>
      <c r="D23" s="33" t="n">
        <v>0.5</v>
      </c>
      <c r="E23" s="33" t="n">
        <v>0.00102722136620442</v>
      </c>
      <c r="F23" s="32" t="s">
        <v>283</v>
      </c>
    </row>
    <row r="24" customFormat="false" ht="15" hidden="false" customHeight="true" outlineLevel="0" collapsed="false">
      <c r="A24" s="30" t="n">
        <v>18</v>
      </c>
      <c r="B24" s="31" t="n">
        <v>3</v>
      </c>
      <c r="C24" s="32" t="n">
        <v>-3</v>
      </c>
      <c r="D24" s="33" t="n">
        <v>0.5</v>
      </c>
      <c r="E24" s="33" t="n">
        <v>0.000513610683102209</v>
      </c>
      <c r="F24" s="32" t="s">
        <v>283</v>
      </c>
    </row>
    <row r="25" customFormat="false" ht="15" hidden="false" customHeight="true" outlineLevel="0" collapsed="false">
      <c r="A25" s="34" t="s">
        <v>451</v>
      </c>
      <c r="B25" s="36" t="s">
        <v>452</v>
      </c>
      <c r="C25" s="36" t="n">
        <v>-5838</v>
      </c>
      <c r="D25" s="36"/>
      <c r="E25" s="35" t="n">
        <v>0.000513610683102209</v>
      </c>
      <c r="F25" s="36"/>
    </row>
    <row r="27" customFormat="false" ht="25.5" hidden="false" customHeight="true" outlineLevel="0" collapsed="false">
      <c r="A27" s="65" t="s">
        <v>395</v>
      </c>
      <c r="B27" s="65"/>
      <c r="C27" s="65"/>
      <c r="D27" s="65"/>
      <c r="E27" s="65"/>
      <c r="F27" s="65"/>
    </row>
    <row r="28" customFormat="false" ht="15" hidden="false" customHeight="true" outlineLevel="0" collapsed="false">
      <c r="A28" s="29" t="s">
        <v>272</v>
      </c>
      <c r="B28" s="29"/>
      <c r="C28" s="29"/>
      <c r="D28" s="29"/>
      <c r="E28" s="29"/>
      <c r="F28" s="29"/>
    </row>
    <row r="30" customFormat="false" ht="25.5" hidden="false" customHeight="true" outlineLevel="0" collapsed="false">
      <c r="A30" s="65" t="s">
        <v>397</v>
      </c>
      <c r="B30" s="65"/>
      <c r="C30" s="65"/>
      <c r="D30" s="65"/>
      <c r="E30" s="65"/>
      <c r="F30" s="65"/>
    </row>
    <row r="31" customFormat="false" ht="15" hidden="false" customHeight="true" outlineLevel="0" collapsed="false">
      <c r="A31" s="29" t="s">
        <v>272</v>
      </c>
      <c r="B31" s="29"/>
      <c r="C31" s="29"/>
      <c r="D31" s="29"/>
      <c r="E31" s="29"/>
      <c r="F31" s="29"/>
    </row>
    <row r="33" customFormat="false" ht="25.5" hidden="false" customHeight="true" outlineLevel="0" collapsed="false">
      <c r="A33" s="65" t="s">
        <v>403</v>
      </c>
      <c r="B33" s="65"/>
      <c r="C33" s="65"/>
      <c r="D33" s="65"/>
      <c r="E33" s="65"/>
      <c r="F33" s="65"/>
    </row>
    <row r="34" customFormat="false" ht="15" hidden="false" customHeight="true" outlineLevel="0" collapsed="false">
      <c r="A34" s="12" t="s">
        <v>275</v>
      </c>
      <c r="B34" s="12" t="s">
        <v>447</v>
      </c>
      <c r="C34" s="12" t="s">
        <v>448</v>
      </c>
      <c r="D34" s="12" t="s">
        <v>278</v>
      </c>
      <c r="E34" s="12" t="s">
        <v>449</v>
      </c>
      <c r="F34" s="12" t="s">
        <v>450</v>
      </c>
    </row>
    <row r="35" customFormat="false" ht="15" hidden="false" customHeight="true" outlineLevel="0" collapsed="false">
      <c r="A35" s="30" t="n">
        <v>1</v>
      </c>
      <c r="B35" s="31" t="n">
        <v>112</v>
      </c>
      <c r="C35" s="32"/>
      <c r="D35" s="32"/>
      <c r="E35" s="33" t="n">
        <v>1</v>
      </c>
      <c r="F35" s="32" t="s">
        <v>282</v>
      </c>
    </row>
    <row r="36" customFormat="false" ht="15" hidden="false" customHeight="true" outlineLevel="0" collapsed="false">
      <c r="A36" s="30" t="n">
        <v>2</v>
      </c>
      <c r="B36" s="31" t="n">
        <v>112</v>
      </c>
      <c r="C36" s="32" t="n">
        <v>0</v>
      </c>
      <c r="D36" s="33" t="n">
        <v>1</v>
      </c>
      <c r="E36" s="33" t="n">
        <v>1</v>
      </c>
      <c r="F36" s="32" t="s">
        <v>282</v>
      </c>
    </row>
    <row r="37" customFormat="false" ht="15" hidden="false" customHeight="true" outlineLevel="0" collapsed="false">
      <c r="A37" s="30" t="n">
        <v>3</v>
      </c>
      <c r="B37" s="31" t="n">
        <v>109</v>
      </c>
      <c r="C37" s="32" t="n">
        <v>-3</v>
      </c>
      <c r="D37" s="33" t="n">
        <v>0.973214285714286</v>
      </c>
      <c r="E37" s="33" t="n">
        <v>0.973214285714286</v>
      </c>
      <c r="F37" s="32" t="s">
        <v>283</v>
      </c>
    </row>
    <row r="38" customFormat="false" ht="15" hidden="false" customHeight="true" outlineLevel="0" collapsed="false">
      <c r="A38" s="30" t="n">
        <v>4</v>
      </c>
      <c r="B38" s="31" t="n">
        <v>108</v>
      </c>
      <c r="C38" s="32" t="n">
        <v>-1</v>
      </c>
      <c r="D38" s="33" t="n">
        <v>0.990825688073395</v>
      </c>
      <c r="E38" s="33" t="n">
        <v>0.964285714285714</v>
      </c>
      <c r="F38" s="32" t="s">
        <v>283</v>
      </c>
    </row>
    <row r="39" customFormat="false" ht="15" hidden="false" customHeight="true" outlineLevel="0" collapsed="false">
      <c r="A39" s="30" t="n">
        <v>5</v>
      </c>
      <c r="B39" s="31" t="n">
        <v>80</v>
      </c>
      <c r="C39" s="32" t="n">
        <v>-28</v>
      </c>
      <c r="D39" s="33" t="n">
        <v>0.740740740740741</v>
      </c>
      <c r="E39" s="33" t="n">
        <v>0.714285714285714</v>
      </c>
      <c r="F39" s="32" t="s">
        <v>283</v>
      </c>
    </row>
    <row r="40" customFormat="false" ht="15" hidden="false" customHeight="true" outlineLevel="0" collapsed="false">
      <c r="A40" s="38" t="n">
        <v>6</v>
      </c>
      <c r="B40" s="66" t="n">
        <v>5</v>
      </c>
      <c r="C40" s="67" t="n">
        <v>-75</v>
      </c>
      <c r="D40" s="68" t="n">
        <v>0.0625</v>
      </c>
      <c r="E40" s="68" t="n">
        <v>0.0446428571428571</v>
      </c>
      <c r="F40" s="67" t="s">
        <v>284</v>
      </c>
    </row>
    <row r="41" customFormat="false" ht="15" hidden="false" customHeight="true" outlineLevel="0" collapsed="false">
      <c r="A41" s="30" t="n">
        <v>7</v>
      </c>
      <c r="B41" s="31" t="n">
        <v>2</v>
      </c>
      <c r="C41" s="32" t="n">
        <v>-3</v>
      </c>
      <c r="D41" s="33" t="n">
        <v>0.4</v>
      </c>
      <c r="E41" s="33" t="n">
        <v>0.0178571428571429</v>
      </c>
      <c r="F41" s="32" t="s">
        <v>284</v>
      </c>
    </row>
    <row r="42" customFormat="false" ht="15" hidden="false" customHeight="true" outlineLevel="0" collapsed="false">
      <c r="A42" s="30" t="n">
        <v>8</v>
      </c>
      <c r="B42" s="31" t="n">
        <v>0</v>
      </c>
      <c r="C42" s="32" t="n">
        <v>-2</v>
      </c>
      <c r="D42" s="33" t="n">
        <v>0</v>
      </c>
      <c r="E42" s="33" t="n">
        <v>0</v>
      </c>
      <c r="F42" s="32" t="s">
        <v>284</v>
      </c>
    </row>
    <row r="43" customFormat="false" ht="15" hidden="false" customHeight="true" outlineLevel="0" collapsed="false">
      <c r="A43" s="30" t="n">
        <v>9</v>
      </c>
      <c r="B43" s="31" t="n">
        <v>1</v>
      </c>
      <c r="C43" s="32" t="n">
        <v>1</v>
      </c>
      <c r="D43" s="32"/>
      <c r="E43" s="33" t="n">
        <v>0.00892857142857143</v>
      </c>
      <c r="F43" s="32" t="s">
        <v>284</v>
      </c>
    </row>
    <row r="44" customFormat="false" ht="15" hidden="false" customHeight="true" outlineLevel="0" collapsed="false">
      <c r="A44" s="30" t="n">
        <v>10</v>
      </c>
      <c r="B44" s="31" t="n">
        <v>1</v>
      </c>
      <c r="C44" s="32" t="n">
        <v>0</v>
      </c>
      <c r="D44" s="33" t="n">
        <v>1</v>
      </c>
      <c r="E44" s="33" t="n">
        <v>0.00892857142857143</v>
      </c>
      <c r="F44" s="32" t="s">
        <v>284</v>
      </c>
    </row>
    <row r="45" customFormat="false" ht="15" hidden="false" customHeight="true" outlineLevel="0" collapsed="false">
      <c r="A45" s="30" t="n">
        <v>11</v>
      </c>
      <c r="B45" s="31" t="n">
        <v>1</v>
      </c>
      <c r="C45" s="32" t="n">
        <v>0</v>
      </c>
      <c r="D45" s="33" t="n">
        <v>1</v>
      </c>
      <c r="E45" s="33" t="n">
        <v>0.00892857142857143</v>
      </c>
      <c r="F45" s="32" t="s">
        <v>284</v>
      </c>
    </row>
    <row r="46" customFormat="false" ht="15" hidden="false" customHeight="true" outlineLevel="0" collapsed="false">
      <c r="A46" s="34" t="s">
        <v>451</v>
      </c>
      <c r="B46" s="36" t="s">
        <v>453</v>
      </c>
      <c r="C46" s="36" t="n">
        <v>-111</v>
      </c>
      <c r="D46" s="36"/>
      <c r="E46" s="35" t="n">
        <v>0.00892857142857143</v>
      </c>
      <c r="F46" s="36"/>
    </row>
    <row r="48" customFormat="false" ht="25.5" hidden="false" customHeight="true" outlineLevel="0" collapsed="false">
      <c r="A48" s="65" t="s">
        <v>405</v>
      </c>
      <c r="B48" s="65"/>
      <c r="C48" s="65"/>
      <c r="D48" s="65"/>
      <c r="E48" s="65"/>
      <c r="F48" s="65"/>
    </row>
    <row r="49" customFormat="false" ht="15" hidden="false" customHeight="true" outlineLevel="0" collapsed="false">
      <c r="A49" s="29" t="s">
        <v>272</v>
      </c>
      <c r="B49" s="29"/>
      <c r="C49" s="29"/>
      <c r="D49" s="29"/>
      <c r="E49" s="29"/>
      <c r="F49" s="29"/>
    </row>
    <row r="51" customFormat="false" ht="25.5" hidden="false" customHeight="true" outlineLevel="0" collapsed="false">
      <c r="A51" s="65" t="s">
        <v>406</v>
      </c>
      <c r="B51" s="65"/>
      <c r="C51" s="65"/>
      <c r="D51" s="65"/>
      <c r="E51" s="65"/>
      <c r="F51" s="65"/>
    </row>
    <row r="52" customFormat="false" ht="15" hidden="false" customHeight="true" outlineLevel="0" collapsed="false">
      <c r="A52" s="12" t="s">
        <v>275</v>
      </c>
      <c r="B52" s="12" t="s">
        <v>447</v>
      </c>
      <c r="C52" s="12" t="s">
        <v>448</v>
      </c>
      <c r="D52" s="12" t="s">
        <v>278</v>
      </c>
      <c r="E52" s="12" t="s">
        <v>449</v>
      </c>
      <c r="F52" s="12" t="s">
        <v>450</v>
      </c>
    </row>
    <row r="53" customFormat="false" ht="15" hidden="false" customHeight="true" outlineLevel="0" collapsed="false">
      <c r="A53" s="30" t="n">
        <v>1</v>
      </c>
      <c r="B53" s="31" t="n">
        <v>272</v>
      </c>
      <c r="C53" s="32"/>
      <c r="D53" s="32"/>
      <c r="E53" s="33" t="n">
        <v>1</v>
      </c>
      <c r="F53" s="32" t="s">
        <v>282</v>
      </c>
    </row>
    <row r="54" customFormat="false" ht="15" hidden="false" customHeight="true" outlineLevel="0" collapsed="false">
      <c r="A54" s="30" t="n">
        <v>2</v>
      </c>
      <c r="B54" s="31" t="n">
        <v>215</v>
      </c>
      <c r="C54" s="32" t="n">
        <v>-57</v>
      </c>
      <c r="D54" s="33" t="n">
        <v>0.790441176470588</v>
      </c>
      <c r="E54" s="33" t="n">
        <v>0.790441176470588</v>
      </c>
      <c r="F54" s="32" t="s">
        <v>282</v>
      </c>
    </row>
    <row r="55" customFormat="false" ht="15" hidden="false" customHeight="true" outlineLevel="0" collapsed="false">
      <c r="A55" s="30" t="n">
        <v>3</v>
      </c>
      <c r="B55" s="31" t="n">
        <v>188</v>
      </c>
      <c r="C55" s="32" t="n">
        <v>-27</v>
      </c>
      <c r="D55" s="33" t="n">
        <v>0.874418604651163</v>
      </c>
      <c r="E55" s="33" t="n">
        <v>0.691176470588235</v>
      </c>
      <c r="F55" s="32" t="s">
        <v>283</v>
      </c>
    </row>
    <row r="56" customFormat="false" ht="15" hidden="false" customHeight="true" outlineLevel="0" collapsed="false">
      <c r="A56" s="30" t="n">
        <v>4</v>
      </c>
      <c r="B56" s="31" t="n">
        <v>160</v>
      </c>
      <c r="C56" s="32" t="n">
        <v>-28</v>
      </c>
      <c r="D56" s="33" t="n">
        <v>0.851063829787234</v>
      </c>
      <c r="E56" s="33" t="n">
        <v>0.588235294117647</v>
      </c>
      <c r="F56" s="32" t="s">
        <v>283</v>
      </c>
    </row>
    <row r="57" customFormat="false" ht="15" hidden="false" customHeight="true" outlineLevel="0" collapsed="false">
      <c r="A57" s="30" t="n">
        <v>5</v>
      </c>
      <c r="B57" s="31" t="n">
        <v>120</v>
      </c>
      <c r="C57" s="32" t="n">
        <v>-40</v>
      </c>
      <c r="D57" s="33" t="n">
        <v>0.75</v>
      </c>
      <c r="E57" s="33" t="n">
        <v>0.441176470588235</v>
      </c>
      <c r="F57" s="32" t="s">
        <v>283</v>
      </c>
    </row>
    <row r="58" customFormat="false" ht="15" hidden="false" customHeight="true" outlineLevel="0" collapsed="false">
      <c r="A58" s="30" t="n">
        <v>6</v>
      </c>
      <c r="B58" s="31" t="n">
        <v>95</v>
      </c>
      <c r="C58" s="32" t="n">
        <v>-25</v>
      </c>
      <c r="D58" s="33" t="n">
        <v>0.791666666666667</v>
      </c>
      <c r="E58" s="33" t="n">
        <v>0.349264705882353</v>
      </c>
      <c r="F58" s="32" t="s">
        <v>283</v>
      </c>
    </row>
    <row r="59" customFormat="false" ht="15" hidden="false" customHeight="true" outlineLevel="0" collapsed="false">
      <c r="A59" s="30" t="n">
        <v>7</v>
      </c>
      <c r="B59" s="31" t="n">
        <v>65</v>
      </c>
      <c r="C59" s="32" t="n">
        <v>-30</v>
      </c>
      <c r="D59" s="33" t="n">
        <v>0.68421052631579</v>
      </c>
      <c r="E59" s="33" t="n">
        <v>0.238970588235294</v>
      </c>
      <c r="F59" s="32" t="s">
        <v>283</v>
      </c>
    </row>
    <row r="60" customFormat="false" ht="15" hidden="false" customHeight="true" outlineLevel="0" collapsed="false">
      <c r="A60" s="30" t="n">
        <v>8</v>
      </c>
      <c r="B60" s="31" t="n">
        <v>46</v>
      </c>
      <c r="C60" s="32" t="n">
        <v>-19</v>
      </c>
      <c r="D60" s="33" t="n">
        <v>0.707692307692308</v>
      </c>
      <c r="E60" s="33" t="n">
        <v>0.169117647058824</v>
      </c>
      <c r="F60" s="32" t="s">
        <v>283</v>
      </c>
    </row>
    <row r="61" customFormat="false" ht="15" hidden="false" customHeight="true" outlineLevel="0" collapsed="false">
      <c r="A61" s="38" t="n">
        <v>9</v>
      </c>
      <c r="B61" s="66" t="n">
        <v>27</v>
      </c>
      <c r="C61" s="67" t="n">
        <v>-19</v>
      </c>
      <c r="D61" s="68" t="n">
        <v>0.586956521739131</v>
      </c>
      <c r="E61" s="68" t="n">
        <v>0.0992647058823529</v>
      </c>
      <c r="F61" s="67" t="s">
        <v>284</v>
      </c>
    </row>
    <row r="62" customFormat="false" ht="15" hidden="false" customHeight="true" outlineLevel="0" collapsed="false">
      <c r="A62" s="30" t="n">
        <v>10</v>
      </c>
      <c r="B62" s="31" t="n">
        <v>24</v>
      </c>
      <c r="C62" s="32" t="n">
        <v>-3</v>
      </c>
      <c r="D62" s="33" t="n">
        <v>0.888888888888889</v>
      </c>
      <c r="E62" s="33" t="n">
        <v>0.0882352941176471</v>
      </c>
      <c r="F62" s="32" t="s">
        <v>284</v>
      </c>
    </row>
    <row r="63" customFormat="false" ht="15" hidden="false" customHeight="true" outlineLevel="0" collapsed="false">
      <c r="A63" s="30" t="n">
        <v>11</v>
      </c>
      <c r="B63" s="31" t="n">
        <v>11</v>
      </c>
      <c r="C63" s="32" t="n">
        <v>-13</v>
      </c>
      <c r="D63" s="33" t="n">
        <v>0.458333333333333</v>
      </c>
      <c r="E63" s="33" t="n">
        <v>0.0404411764705882</v>
      </c>
      <c r="F63" s="32" t="s">
        <v>284</v>
      </c>
    </row>
    <row r="64" customFormat="false" ht="15" hidden="false" customHeight="true" outlineLevel="0" collapsed="false">
      <c r="A64" s="30" t="n">
        <v>12</v>
      </c>
      <c r="B64" s="31" t="n">
        <v>6</v>
      </c>
      <c r="C64" s="32" t="n">
        <v>-5</v>
      </c>
      <c r="D64" s="33" t="n">
        <v>0.545454545454545</v>
      </c>
      <c r="E64" s="33" t="n">
        <v>0.0220588235294118</v>
      </c>
      <c r="F64" s="32" t="s">
        <v>284</v>
      </c>
    </row>
    <row r="65" customFormat="false" ht="15" hidden="false" customHeight="true" outlineLevel="0" collapsed="false">
      <c r="A65" s="30" t="n">
        <v>13</v>
      </c>
      <c r="B65" s="31" t="n">
        <v>6</v>
      </c>
      <c r="C65" s="32" t="n">
        <v>0</v>
      </c>
      <c r="D65" s="33" t="n">
        <v>1</v>
      </c>
      <c r="E65" s="33" t="n">
        <v>0.0220588235294118</v>
      </c>
      <c r="F65" s="32" t="s">
        <v>284</v>
      </c>
    </row>
    <row r="66" customFormat="false" ht="15" hidden="false" customHeight="true" outlineLevel="0" collapsed="false">
      <c r="A66" s="30" t="n">
        <v>14</v>
      </c>
      <c r="B66" s="31" t="n">
        <v>2</v>
      </c>
      <c r="C66" s="32" t="n">
        <v>-4</v>
      </c>
      <c r="D66" s="33" t="n">
        <v>0.333333333333333</v>
      </c>
      <c r="E66" s="33" t="n">
        <v>0.00735294117647059</v>
      </c>
      <c r="F66" s="32" t="s">
        <v>284</v>
      </c>
    </row>
    <row r="67" customFormat="false" ht="15" hidden="false" customHeight="true" outlineLevel="0" collapsed="false">
      <c r="A67" s="30" t="n">
        <v>15</v>
      </c>
      <c r="B67" s="31" t="n">
        <v>0</v>
      </c>
      <c r="C67" s="32" t="n">
        <v>-2</v>
      </c>
      <c r="D67" s="33" t="n">
        <v>0</v>
      </c>
      <c r="E67" s="33" t="n">
        <v>0</v>
      </c>
      <c r="F67" s="32" t="s">
        <v>284</v>
      </c>
    </row>
    <row r="68" customFormat="false" ht="15" hidden="false" customHeight="true" outlineLevel="0" collapsed="false">
      <c r="A68" s="30" t="n">
        <v>16</v>
      </c>
      <c r="B68" s="31" t="n">
        <v>1</v>
      </c>
      <c r="C68" s="32" t="n">
        <v>1</v>
      </c>
      <c r="D68" s="32"/>
      <c r="E68" s="33" t="n">
        <v>0.00367647058823529</v>
      </c>
      <c r="F68" s="32" t="s">
        <v>284</v>
      </c>
    </row>
    <row r="69" customFormat="false" ht="15" hidden="false" customHeight="true" outlineLevel="0" collapsed="false">
      <c r="A69" s="34" t="s">
        <v>451</v>
      </c>
      <c r="B69" s="36" t="s">
        <v>454</v>
      </c>
      <c r="C69" s="36" t="n">
        <v>-271</v>
      </c>
      <c r="D69" s="36"/>
      <c r="E69" s="35" t="n">
        <v>0.00367647058823529</v>
      </c>
      <c r="F69" s="36"/>
    </row>
    <row r="71" customFormat="false" ht="25.5" hidden="false" customHeight="true" outlineLevel="0" collapsed="false">
      <c r="A71" s="65" t="s">
        <v>407</v>
      </c>
      <c r="B71" s="65"/>
      <c r="C71" s="65"/>
      <c r="D71" s="65"/>
      <c r="E71" s="65"/>
      <c r="F71" s="65"/>
    </row>
    <row r="72" customFormat="false" ht="15" hidden="false" customHeight="true" outlineLevel="0" collapsed="false">
      <c r="A72" s="12" t="s">
        <v>275</v>
      </c>
      <c r="B72" s="12" t="s">
        <v>447</v>
      </c>
      <c r="C72" s="12" t="s">
        <v>448</v>
      </c>
      <c r="D72" s="12" t="s">
        <v>278</v>
      </c>
      <c r="E72" s="12" t="s">
        <v>449</v>
      </c>
      <c r="F72" s="12" t="s">
        <v>450</v>
      </c>
    </row>
    <row r="73" customFormat="false" ht="15" hidden="false" customHeight="true" outlineLevel="0" collapsed="false">
      <c r="A73" s="30" t="n">
        <v>1</v>
      </c>
      <c r="B73" s="31" t="n">
        <v>146</v>
      </c>
      <c r="C73" s="32"/>
      <c r="D73" s="32"/>
      <c r="E73" s="33" t="n">
        <v>1</v>
      </c>
      <c r="F73" s="32" t="s">
        <v>282</v>
      </c>
    </row>
    <row r="74" customFormat="false" ht="15" hidden="false" customHeight="true" outlineLevel="0" collapsed="false">
      <c r="A74" s="30" t="n">
        <v>2</v>
      </c>
      <c r="B74" s="31" t="n">
        <v>118</v>
      </c>
      <c r="C74" s="32" t="n">
        <v>-28</v>
      </c>
      <c r="D74" s="33" t="n">
        <v>0.808219178082192</v>
      </c>
      <c r="E74" s="33" t="n">
        <v>0.808219178082192</v>
      </c>
      <c r="F74" s="32" t="s">
        <v>282</v>
      </c>
    </row>
    <row r="75" customFormat="false" ht="15" hidden="false" customHeight="true" outlineLevel="0" collapsed="false">
      <c r="A75" s="30" t="n">
        <v>3</v>
      </c>
      <c r="B75" s="31" t="n">
        <v>101</v>
      </c>
      <c r="C75" s="32" t="n">
        <v>-17</v>
      </c>
      <c r="D75" s="33" t="n">
        <v>0.855932203389831</v>
      </c>
      <c r="E75" s="33" t="n">
        <v>0.691780821917808</v>
      </c>
      <c r="F75" s="32" t="s">
        <v>283</v>
      </c>
    </row>
    <row r="76" customFormat="false" ht="15" hidden="false" customHeight="true" outlineLevel="0" collapsed="false">
      <c r="A76" s="30" t="n">
        <v>4</v>
      </c>
      <c r="B76" s="31" t="n">
        <v>97</v>
      </c>
      <c r="C76" s="32" t="n">
        <v>-4</v>
      </c>
      <c r="D76" s="33" t="n">
        <v>0.96039603960396</v>
      </c>
      <c r="E76" s="33" t="n">
        <v>0.664383561643836</v>
      </c>
      <c r="F76" s="32" t="s">
        <v>283</v>
      </c>
    </row>
    <row r="77" customFormat="false" ht="15" hidden="false" customHeight="true" outlineLevel="0" collapsed="false">
      <c r="A77" s="30" t="n">
        <v>5</v>
      </c>
      <c r="B77" s="31" t="n">
        <v>87</v>
      </c>
      <c r="C77" s="32" t="n">
        <v>-10</v>
      </c>
      <c r="D77" s="33" t="n">
        <v>0.896907216494845</v>
      </c>
      <c r="E77" s="33" t="n">
        <v>0.595890410958904</v>
      </c>
      <c r="F77" s="32" t="s">
        <v>283</v>
      </c>
    </row>
    <row r="78" customFormat="false" ht="15" hidden="false" customHeight="true" outlineLevel="0" collapsed="false">
      <c r="A78" s="38" t="n">
        <v>6</v>
      </c>
      <c r="B78" s="66" t="n">
        <v>9</v>
      </c>
      <c r="C78" s="67" t="n">
        <v>-78</v>
      </c>
      <c r="D78" s="68" t="n">
        <v>0.103448275862069</v>
      </c>
      <c r="E78" s="68" t="n">
        <v>0.0616438356164384</v>
      </c>
      <c r="F78" s="67" t="s">
        <v>284</v>
      </c>
    </row>
    <row r="79" customFormat="false" ht="15" hidden="false" customHeight="true" outlineLevel="0" collapsed="false">
      <c r="A79" s="30" t="n">
        <v>7</v>
      </c>
      <c r="B79" s="31" t="n">
        <v>7</v>
      </c>
      <c r="C79" s="32" t="n">
        <v>-2</v>
      </c>
      <c r="D79" s="33" t="n">
        <v>0.777777777777778</v>
      </c>
      <c r="E79" s="33" t="n">
        <v>0.0479452054794521</v>
      </c>
      <c r="F79" s="32" t="s">
        <v>284</v>
      </c>
    </row>
    <row r="80" customFormat="false" ht="15" hidden="false" customHeight="true" outlineLevel="0" collapsed="false">
      <c r="A80" s="30" t="n">
        <v>8</v>
      </c>
      <c r="B80" s="31" t="n">
        <v>2</v>
      </c>
      <c r="C80" s="32" t="n">
        <v>-5</v>
      </c>
      <c r="D80" s="33" t="n">
        <v>0.285714285714286</v>
      </c>
      <c r="E80" s="33" t="n">
        <v>0.0136986301369863</v>
      </c>
      <c r="F80" s="32" t="s">
        <v>284</v>
      </c>
    </row>
    <row r="81" customFormat="false" ht="15" hidden="false" customHeight="true" outlineLevel="0" collapsed="false">
      <c r="A81" s="30" t="n">
        <v>9</v>
      </c>
      <c r="B81" s="31" t="n">
        <v>4</v>
      </c>
      <c r="C81" s="32" t="n">
        <v>2</v>
      </c>
      <c r="D81" s="33" t="n">
        <v>2</v>
      </c>
      <c r="E81" s="33" t="n">
        <v>0.0273972602739726</v>
      </c>
      <c r="F81" s="32" t="s">
        <v>284</v>
      </c>
    </row>
    <row r="82" customFormat="false" ht="15" hidden="false" customHeight="true" outlineLevel="0" collapsed="false">
      <c r="A82" s="30" t="n">
        <v>10</v>
      </c>
      <c r="B82" s="31" t="n">
        <v>3</v>
      </c>
      <c r="C82" s="32" t="n">
        <v>-1</v>
      </c>
      <c r="D82" s="33" t="n">
        <v>0.75</v>
      </c>
      <c r="E82" s="33" t="n">
        <v>0.0205479452054795</v>
      </c>
      <c r="F82" s="32" t="s">
        <v>284</v>
      </c>
    </row>
    <row r="83" customFormat="false" ht="15" hidden="false" customHeight="true" outlineLevel="0" collapsed="false">
      <c r="A83" s="30" t="n">
        <v>11</v>
      </c>
      <c r="B83" s="31" t="n">
        <v>2</v>
      </c>
      <c r="C83" s="32" t="n">
        <v>-1</v>
      </c>
      <c r="D83" s="33" t="n">
        <v>0.666666666666667</v>
      </c>
      <c r="E83" s="33" t="n">
        <v>0.0136986301369863</v>
      </c>
      <c r="F83" s="32" t="s">
        <v>284</v>
      </c>
    </row>
    <row r="84" customFormat="false" ht="15" hidden="false" customHeight="true" outlineLevel="0" collapsed="false">
      <c r="A84" s="30" t="n">
        <v>12</v>
      </c>
      <c r="B84" s="31" t="n">
        <v>1</v>
      </c>
      <c r="C84" s="32" t="n">
        <v>-1</v>
      </c>
      <c r="D84" s="33" t="n">
        <v>0.5</v>
      </c>
      <c r="E84" s="33" t="n">
        <v>0.00684931506849315</v>
      </c>
      <c r="F84" s="32" t="s">
        <v>284</v>
      </c>
    </row>
    <row r="85" customFormat="false" ht="15" hidden="false" customHeight="true" outlineLevel="0" collapsed="false">
      <c r="A85" s="30" t="n">
        <v>13</v>
      </c>
      <c r="B85" s="31" t="n">
        <v>1</v>
      </c>
      <c r="C85" s="32" t="n">
        <v>0</v>
      </c>
      <c r="D85" s="33" t="n">
        <v>1</v>
      </c>
      <c r="E85" s="33" t="n">
        <v>0.00684931506849315</v>
      </c>
      <c r="F85" s="32" t="s">
        <v>284</v>
      </c>
    </row>
    <row r="86" customFormat="false" ht="15" hidden="false" customHeight="true" outlineLevel="0" collapsed="false">
      <c r="A86" s="34" t="s">
        <v>451</v>
      </c>
      <c r="B86" s="36" t="s">
        <v>455</v>
      </c>
      <c r="C86" s="36" t="n">
        <v>-145</v>
      </c>
      <c r="D86" s="36"/>
      <c r="E86" s="35" t="n">
        <v>0.00684931506849315</v>
      </c>
      <c r="F86" s="36"/>
    </row>
    <row r="88" customFormat="false" ht="25.5" hidden="false" customHeight="true" outlineLevel="0" collapsed="false">
      <c r="A88" s="65" t="s">
        <v>408</v>
      </c>
      <c r="B88" s="65"/>
      <c r="C88" s="65"/>
      <c r="D88" s="65"/>
      <c r="E88" s="65"/>
      <c r="F88" s="65"/>
    </row>
    <row r="89" customFormat="false" ht="15" hidden="false" customHeight="true" outlineLevel="0" collapsed="false">
      <c r="A89" s="12" t="s">
        <v>275</v>
      </c>
      <c r="B89" s="12" t="s">
        <v>447</v>
      </c>
      <c r="C89" s="12" t="s">
        <v>448</v>
      </c>
      <c r="D89" s="12" t="s">
        <v>278</v>
      </c>
      <c r="E89" s="12" t="s">
        <v>449</v>
      </c>
      <c r="F89" s="12" t="s">
        <v>450</v>
      </c>
    </row>
    <row r="90" customFormat="false" ht="15" hidden="false" customHeight="true" outlineLevel="0" collapsed="false">
      <c r="A90" s="30" t="n">
        <v>1</v>
      </c>
      <c r="B90" s="31" t="n">
        <v>80</v>
      </c>
      <c r="C90" s="32"/>
      <c r="D90" s="32"/>
      <c r="E90" s="33" t="n">
        <v>1</v>
      </c>
      <c r="F90" s="32" t="s">
        <v>282</v>
      </c>
    </row>
    <row r="91" customFormat="false" ht="15" hidden="false" customHeight="true" outlineLevel="0" collapsed="false">
      <c r="A91" s="30" t="n">
        <v>2</v>
      </c>
      <c r="B91" s="31" t="n">
        <v>68</v>
      </c>
      <c r="C91" s="32" t="n">
        <v>-12</v>
      </c>
      <c r="D91" s="33" t="n">
        <v>0.85</v>
      </c>
      <c r="E91" s="33" t="n">
        <v>0.85</v>
      </c>
      <c r="F91" s="32" t="s">
        <v>282</v>
      </c>
    </row>
    <row r="92" customFormat="false" ht="15" hidden="false" customHeight="true" outlineLevel="0" collapsed="false">
      <c r="A92" s="30" t="n">
        <v>3</v>
      </c>
      <c r="B92" s="31" t="n">
        <v>62</v>
      </c>
      <c r="C92" s="32" t="n">
        <v>-6</v>
      </c>
      <c r="D92" s="33" t="n">
        <v>0.911764705882353</v>
      </c>
      <c r="E92" s="33" t="n">
        <v>0.775</v>
      </c>
      <c r="F92" s="32" t="s">
        <v>283</v>
      </c>
    </row>
    <row r="93" customFormat="false" ht="15" hidden="false" customHeight="true" outlineLevel="0" collapsed="false">
      <c r="A93" s="30" t="n">
        <v>4</v>
      </c>
      <c r="B93" s="31" t="n">
        <v>61</v>
      </c>
      <c r="C93" s="32" t="n">
        <v>-1</v>
      </c>
      <c r="D93" s="33" t="n">
        <v>0.983870967741936</v>
      </c>
      <c r="E93" s="33" t="n">
        <v>0.7625</v>
      </c>
      <c r="F93" s="32" t="s">
        <v>283</v>
      </c>
    </row>
    <row r="94" customFormat="false" ht="15" hidden="false" customHeight="true" outlineLevel="0" collapsed="false">
      <c r="A94" s="38" t="n">
        <v>5</v>
      </c>
      <c r="B94" s="66" t="n">
        <v>12</v>
      </c>
      <c r="C94" s="67" t="n">
        <v>-49</v>
      </c>
      <c r="D94" s="68" t="n">
        <v>0.19672131147541</v>
      </c>
      <c r="E94" s="68" t="n">
        <v>0.15</v>
      </c>
      <c r="F94" s="67" t="s">
        <v>284</v>
      </c>
    </row>
    <row r="95" customFormat="false" ht="15" hidden="false" customHeight="true" outlineLevel="0" collapsed="false">
      <c r="A95" s="30" t="n">
        <v>6</v>
      </c>
      <c r="B95" s="31" t="n">
        <v>7</v>
      </c>
      <c r="C95" s="32" t="n">
        <v>-5</v>
      </c>
      <c r="D95" s="33" t="n">
        <v>0.583333333333333</v>
      </c>
      <c r="E95" s="33" t="n">
        <v>0.0875</v>
      </c>
      <c r="F95" s="32" t="s">
        <v>284</v>
      </c>
    </row>
    <row r="96" customFormat="false" ht="15" hidden="false" customHeight="true" outlineLevel="0" collapsed="false">
      <c r="A96" s="30" t="n">
        <v>7</v>
      </c>
      <c r="B96" s="31" t="n">
        <v>7</v>
      </c>
      <c r="C96" s="32" t="n">
        <v>0</v>
      </c>
      <c r="D96" s="33" t="n">
        <v>1</v>
      </c>
      <c r="E96" s="33" t="n">
        <v>0.0875</v>
      </c>
      <c r="F96" s="32" t="s">
        <v>284</v>
      </c>
    </row>
    <row r="97" customFormat="false" ht="15" hidden="false" customHeight="true" outlineLevel="0" collapsed="false">
      <c r="A97" s="30" t="n">
        <v>8</v>
      </c>
      <c r="B97" s="31" t="n">
        <v>0</v>
      </c>
      <c r="C97" s="32" t="n">
        <v>-7</v>
      </c>
      <c r="D97" s="33" t="n">
        <v>0</v>
      </c>
      <c r="E97" s="33" t="n">
        <v>0</v>
      </c>
      <c r="F97" s="32" t="s">
        <v>284</v>
      </c>
    </row>
    <row r="98" customFormat="false" ht="15" hidden="false" customHeight="true" outlineLevel="0" collapsed="false">
      <c r="A98" s="30" t="n">
        <v>9</v>
      </c>
      <c r="B98" s="31" t="n">
        <v>2</v>
      </c>
      <c r="C98" s="32" t="n">
        <v>2</v>
      </c>
      <c r="D98" s="32"/>
      <c r="E98" s="33" t="n">
        <v>0.025</v>
      </c>
      <c r="F98" s="32" t="s">
        <v>284</v>
      </c>
    </row>
    <row r="99" customFormat="false" ht="15" hidden="false" customHeight="true" outlineLevel="0" collapsed="false">
      <c r="A99" s="34" t="s">
        <v>451</v>
      </c>
      <c r="B99" s="36" t="s">
        <v>456</v>
      </c>
      <c r="C99" s="36" t="n">
        <v>-78</v>
      </c>
      <c r="D99" s="36"/>
      <c r="E99" s="35" t="n">
        <v>0.025</v>
      </c>
      <c r="F99" s="36"/>
    </row>
    <row r="101" customFormat="false" ht="25.5" hidden="false" customHeight="true" outlineLevel="0" collapsed="false">
      <c r="A101" s="65" t="s">
        <v>409</v>
      </c>
      <c r="B101" s="65"/>
      <c r="C101" s="65"/>
      <c r="D101" s="65"/>
      <c r="E101" s="65"/>
      <c r="F101" s="65"/>
    </row>
    <row r="102" customFormat="false" ht="15" hidden="false" customHeight="true" outlineLevel="0" collapsed="false">
      <c r="A102" s="12" t="s">
        <v>275</v>
      </c>
      <c r="B102" s="12" t="s">
        <v>447</v>
      </c>
      <c r="C102" s="12" t="s">
        <v>448</v>
      </c>
      <c r="D102" s="12" t="s">
        <v>278</v>
      </c>
      <c r="E102" s="12" t="s">
        <v>449</v>
      </c>
      <c r="F102" s="12" t="s">
        <v>450</v>
      </c>
    </row>
    <row r="103" customFormat="false" ht="15" hidden="false" customHeight="true" outlineLevel="0" collapsed="false">
      <c r="A103" s="30" t="n">
        <v>1</v>
      </c>
      <c r="B103" s="31" t="n">
        <v>248</v>
      </c>
      <c r="C103" s="32"/>
      <c r="D103" s="32"/>
      <c r="E103" s="33" t="n">
        <v>1</v>
      </c>
      <c r="F103" s="32" t="s">
        <v>282</v>
      </c>
    </row>
    <row r="104" customFormat="false" ht="15" hidden="false" customHeight="true" outlineLevel="0" collapsed="false">
      <c r="A104" s="30" t="n">
        <v>2</v>
      </c>
      <c r="B104" s="31" t="n">
        <v>167</v>
      </c>
      <c r="C104" s="32" t="n">
        <v>-81</v>
      </c>
      <c r="D104" s="33" t="n">
        <v>0.673387096774194</v>
      </c>
      <c r="E104" s="33" t="n">
        <v>0.673387096774194</v>
      </c>
      <c r="F104" s="32" t="s">
        <v>282</v>
      </c>
    </row>
    <row r="105" customFormat="false" ht="15" hidden="false" customHeight="true" outlineLevel="0" collapsed="false">
      <c r="A105" s="30" t="n">
        <v>3</v>
      </c>
      <c r="B105" s="31" t="n">
        <v>132</v>
      </c>
      <c r="C105" s="32" t="n">
        <v>-35</v>
      </c>
      <c r="D105" s="33" t="n">
        <v>0.790419161676647</v>
      </c>
      <c r="E105" s="33" t="n">
        <v>0.532258064516129</v>
      </c>
      <c r="F105" s="32" t="s">
        <v>283</v>
      </c>
    </row>
    <row r="106" customFormat="false" ht="15" hidden="false" customHeight="true" outlineLevel="0" collapsed="false">
      <c r="A106" s="30" t="n">
        <v>4</v>
      </c>
      <c r="B106" s="31" t="n">
        <v>154</v>
      </c>
      <c r="C106" s="32" t="n">
        <v>22</v>
      </c>
      <c r="D106" s="33" t="n">
        <v>1.16666666666667</v>
      </c>
      <c r="E106" s="33" t="n">
        <v>0.620967741935484</v>
      </c>
      <c r="F106" s="32" t="s">
        <v>283</v>
      </c>
    </row>
    <row r="107" customFormat="false" ht="15" hidden="false" customHeight="true" outlineLevel="0" collapsed="false">
      <c r="A107" s="30" t="n">
        <v>5</v>
      </c>
      <c r="B107" s="31" t="n">
        <v>133</v>
      </c>
      <c r="C107" s="32" t="n">
        <v>-21</v>
      </c>
      <c r="D107" s="33" t="n">
        <v>0.863636363636364</v>
      </c>
      <c r="E107" s="33" t="n">
        <v>0.536290322580645</v>
      </c>
      <c r="F107" s="32" t="s">
        <v>283</v>
      </c>
    </row>
    <row r="108" customFormat="false" ht="15" hidden="false" customHeight="true" outlineLevel="0" collapsed="false">
      <c r="A108" s="30" t="n">
        <v>6</v>
      </c>
      <c r="B108" s="31" t="n">
        <v>111</v>
      </c>
      <c r="C108" s="32" t="n">
        <v>-22</v>
      </c>
      <c r="D108" s="33" t="n">
        <v>0.834586466165414</v>
      </c>
      <c r="E108" s="33" t="n">
        <v>0.44758064516129</v>
      </c>
      <c r="F108" s="32" t="s">
        <v>283</v>
      </c>
    </row>
    <row r="109" customFormat="false" ht="15" hidden="false" customHeight="true" outlineLevel="0" collapsed="false">
      <c r="A109" s="30" t="n">
        <v>7</v>
      </c>
      <c r="B109" s="31" t="n">
        <v>74</v>
      </c>
      <c r="C109" s="32" t="n">
        <v>-37</v>
      </c>
      <c r="D109" s="33" t="n">
        <v>0.666666666666667</v>
      </c>
      <c r="E109" s="33" t="n">
        <v>0.298387096774194</v>
      </c>
      <c r="F109" s="32" t="s">
        <v>283</v>
      </c>
    </row>
    <row r="110" customFormat="false" ht="15" hidden="false" customHeight="true" outlineLevel="0" collapsed="false">
      <c r="A110" s="30" t="n">
        <v>8</v>
      </c>
      <c r="B110" s="31" t="n">
        <v>43</v>
      </c>
      <c r="C110" s="32" t="n">
        <v>-31</v>
      </c>
      <c r="D110" s="33" t="n">
        <v>0.581081081081081</v>
      </c>
      <c r="E110" s="33" t="n">
        <v>0.173387096774194</v>
      </c>
      <c r="F110" s="32" t="s">
        <v>283</v>
      </c>
    </row>
    <row r="111" customFormat="false" ht="15" hidden="false" customHeight="true" outlineLevel="0" collapsed="false">
      <c r="A111" s="38" t="n">
        <v>9</v>
      </c>
      <c r="B111" s="66" t="n">
        <v>24</v>
      </c>
      <c r="C111" s="67" t="n">
        <v>-19</v>
      </c>
      <c r="D111" s="68" t="n">
        <v>0.558139534883721</v>
      </c>
      <c r="E111" s="68" t="n">
        <v>0.0967741935483871</v>
      </c>
      <c r="F111" s="67" t="s">
        <v>284</v>
      </c>
    </row>
    <row r="112" customFormat="false" ht="15" hidden="false" customHeight="true" outlineLevel="0" collapsed="false">
      <c r="A112" s="30" t="n">
        <v>10</v>
      </c>
      <c r="B112" s="31" t="n">
        <v>11</v>
      </c>
      <c r="C112" s="32" t="n">
        <v>-13</v>
      </c>
      <c r="D112" s="33" t="n">
        <v>0.458333333333333</v>
      </c>
      <c r="E112" s="33" t="n">
        <v>0.0443548387096774</v>
      </c>
      <c r="F112" s="32" t="s">
        <v>284</v>
      </c>
    </row>
    <row r="113" customFormat="false" ht="15" hidden="false" customHeight="true" outlineLevel="0" collapsed="false">
      <c r="A113" s="30" t="n">
        <v>11</v>
      </c>
      <c r="B113" s="31" t="n">
        <v>5</v>
      </c>
      <c r="C113" s="32" t="n">
        <v>-6</v>
      </c>
      <c r="D113" s="33" t="n">
        <v>0.454545454545455</v>
      </c>
      <c r="E113" s="33" t="n">
        <v>0.0201612903225806</v>
      </c>
      <c r="F113" s="32" t="s">
        <v>284</v>
      </c>
    </row>
    <row r="114" customFormat="false" ht="15" hidden="false" customHeight="true" outlineLevel="0" collapsed="false">
      <c r="A114" s="30" t="n">
        <v>12</v>
      </c>
      <c r="B114" s="31" t="n">
        <v>7</v>
      </c>
      <c r="C114" s="32" t="n">
        <v>2</v>
      </c>
      <c r="D114" s="33" t="n">
        <v>1.4</v>
      </c>
      <c r="E114" s="33" t="n">
        <v>0.0282258064516129</v>
      </c>
      <c r="F114" s="32" t="s">
        <v>284</v>
      </c>
    </row>
    <row r="115" customFormat="false" ht="15" hidden="false" customHeight="true" outlineLevel="0" collapsed="false">
      <c r="A115" s="30" t="n">
        <v>13</v>
      </c>
      <c r="B115" s="31" t="n">
        <v>4</v>
      </c>
      <c r="C115" s="32" t="n">
        <v>-3</v>
      </c>
      <c r="D115" s="33" t="n">
        <v>0.571428571428571</v>
      </c>
      <c r="E115" s="33" t="n">
        <v>0.0161290322580645</v>
      </c>
      <c r="F115" s="32" t="s">
        <v>284</v>
      </c>
    </row>
    <row r="116" customFormat="false" ht="15" hidden="false" customHeight="true" outlineLevel="0" collapsed="false">
      <c r="A116" s="30" t="n">
        <v>14</v>
      </c>
      <c r="B116" s="31" t="n">
        <v>3</v>
      </c>
      <c r="C116" s="32" t="n">
        <v>-1</v>
      </c>
      <c r="D116" s="33" t="n">
        <v>0.75</v>
      </c>
      <c r="E116" s="33" t="n">
        <v>0.0120967741935484</v>
      </c>
      <c r="F116" s="32" t="s">
        <v>284</v>
      </c>
    </row>
    <row r="117" customFormat="false" ht="15" hidden="false" customHeight="true" outlineLevel="0" collapsed="false">
      <c r="A117" s="30" t="n">
        <v>15</v>
      </c>
      <c r="B117" s="31" t="n">
        <v>2</v>
      </c>
      <c r="C117" s="32" t="n">
        <v>-1</v>
      </c>
      <c r="D117" s="33" t="n">
        <v>0.666666666666667</v>
      </c>
      <c r="E117" s="33" t="n">
        <v>0.00806451612903226</v>
      </c>
      <c r="F117" s="32" t="s">
        <v>284</v>
      </c>
    </row>
    <row r="118" customFormat="false" ht="15" hidden="false" customHeight="true" outlineLevel="0" collapsed="false">
      <c r="A118" s="30" t="n">
        <v>16</v>
      </c>
      <c r="B118" s="31" t="n">
        <v>1</v>
      </c>
      <c r="C118" s="32" t="n">
        <v>-1</v>
      </c>
      <c r="D118" s="33" t="n">
        <v>0.5</v>
      </c>
      <c r="E118" s="33" t="n">
        <v>0.00403225806451613</v>
      </c>
      <c r="F118" s="32" t="s">
        <v>284</v>
      </c>
    </row>
    <row r="119" customFormat="false" ht="15" hidden="false" customHeight="true" outlineLevel="0" collapsed="false">
      <c r="A119" s="30" t="n">
        <v>17</v>
      </c>
      <c r="B119" s="31" t="n">
        <v>1</v>
      </c>
      <c r="C119" s="32" t="n">
        <v>0</v>
      </c>
      <c r="D119" s="33" t="n">
        <v>1</v>
      </c>
      <c r="E119" s="33" t="n">
        <v>0.00403225806451613</v>
      </c>
      <c r="F119" s="32" t="s">
        <v>284</v>
      </c>
    </row>
    <row r="120" customFormat="false" ht="15" hidden="false" customHeight="true" outlineLevel="0" collapsed="false">
      <c r="A120" s="34" t="s">
        <v>451</v>
      </c>
      <c r="B120" s="36" t="s">
        <v>457</v>
      </c>
      <c r="C120" s="36" t="n">
        <v>-247</v>
      </c>
      <c r="D120" s="36"/>
      <c r="E120" s="35" t="n">
        <v>0.00403225806451613</v>
      </c>
      <c r="F120" s="36"/>
    </row>
    <row r="122" customFormat="false" ht="25.5" hidden="false" customHeight="true" outlineLevel="0" collapsed="false">
      <c r="A122" s="65" t="s">
        <v>410</v>
      </c>
      <c r="B122" s="65"/>
      <c r="C122" s="65"/>
      <c r="D122" s="65"/>
      <c r="E122" s="65"/>
      <c r="F122" s="65"/>
    </row>
    <row r="123" customFormat="false" ht="15" hidden="false" customHeight="true" outlineLevel="0" collapsed="false">
      <c r="A123" s="12" t="s">
        <v>275</v>
      </c>
      <c r="B123" s="12" t="s">
        <v>447</v>
      </c>
      <c r="C123" s="12" t="s">
        <v>448</v>
      </c>
      <c r="D123" s="12" t="s">
        <v>278</v>
      </c>
      <c r="E123" s="12" t="s">
        <v>449</v>
      </c>
      <c r="F123" s="12" t="s">
        <v>450</v>
      </c>
    </row>
    <row r="124" customFormat="false" ht="15" hidden="false" customHeight="true" outlineLevel="0" collapsed="false">
      <c r="A124" s="30" t="n">
        <v>1</v>
      </c>
      <c r="B124" s="31" t="n">
        <v>474</v>
      </c>
      <c r="C124" s="32"/>
      <c r="D124" s="32"/>
      <c r="E124" s="33" t="n">
        <v>1</v>
      </c>
      <c r="F124" s="32" t="s">
        <v>282</v>
      </c>
    </row>
    <row r="125" customFormat="false" ht="15" hidden="false" customHeight="true" outlineLevel="0" collapsed="false">
      <c r="A125" s="30" t="n">
        <v>2</v>
      </c>
      <c r="B125" s="31" t="n">
        <v>366</v>
      </c>
      <c r="C125" s="32" t="n">
        <v>-108</v>
      </c>
      <c r="D125" s="33" t="n">
        <v>0.772151898734177</v>
      </c>
      <c r="E125" s="33" t="n">
        <v>0.772151898734177</v>
      </c>
      <c r="F125" s="32" t="s">
        <v>282</v>
      </c>
    </row>
    <row r="126" customFormat="false" ht="15" hidden="false" customHeight="true" outlineLevel="0" collapsed="false">
      <c r="A126" s="30" t="n">
        <v>3</v>
      </c>
      <c r="B126" s="31" t="n">
        <v>310</v>
      </c>
      <c r="C126" s="32" t="n">
        <v>-56</v>
      </c>
      <c r="D126" s="33" t="n">
        <v>0.846994535519126</v>
      </c>
      <c r="E126" s="33" t="n">
        <v>0.654008438818565</v>
      </c>
      <c r="F126" s="32" t="s">
        <v>283</v>
      </c>
    </row>
    <row r="127" customFormat="false" ht="15" hidden="false" customHeight="true" outlineLevel="0" collapsed="false">
      <c r="A127" s="30" t="n">
        <v>4</v>
      </c>
      <c r="B127" s="31" t="n">
        <v>311</v>
      </c>
      <c r="C127" s="32" t="n">
        <v>1</v>
      </c>
      <c r="D127" s="33" t="n">
        <v>1.00322580645161</v>
      </c>
      <c r="E127" s="33" t="n">
        <v>0.656118143459916</v>
      </c>
      <c r="F127" s="32" t="s">
        <v>283</v>
      </c>
    </row>
    <row r="128" customFormat="false" ht="15" hidden="false" customHeight="true" outlineLevel="0" collapsed="false">
      <c r="A128" s="30" t="n">
        <v>5</v>
      </c>
      <c r="B128" s="31" t="n">
        <v>276</v>
      </c>
      <c r="C128" s="32" t="n">
        <v>-35</v>
      </c>
      <c r="D128" s="33" t="n">
        <v>0.887459807073955</v>
      </c>
      <c r="E128" s="33" t="n">
        <v>0.582278481012658</v>
      </c>
      <c r="F128" s="32" t="s">
        <v>283</v>
      </c>
    </row>
    <row r="129" customFormat="false" ht="15" hidden="false" customHeight="true" outlineLevel="0" collapsed="false">
      <c r="A129" s="30" t="n">
        <v>6</v>
      </c>
      <c r="B129" s="31" t="n">
        <v>235</v>
      </c>
      <c r="C129" s="32" t="n">
        <v>-41</v>
      </c>
      <c r="D129" s="33" t="n">
        <v>0.851449275362319</v>
      </c>
      <c r="E129" s="33" t="n">
        <v>0.4957805907173</v>
      </c>
      <c r="F129" s="32" t="s">
        <v>283</v>
      </c>
    </row>
    <row r="130" customFormat="false" ht="15" hidden="false" customHeight="true" outlineLevel="0" collapsed="false">
      <c r="A130" s="30" t="n">
        <v>7</v>
      </c>
      <c r="B130" s="31" t="n">
        <v>105</v>
      </c>
      <c r="C130" s="32" t="n">
        <v>-130</v>
      </c>
      <c r="D130" s="33" t="n">
        <v>0.446808510638298</v>
      </c>
      <c r="E130" s="33" t="n">
        <v>0.221518987341772</v>
      </c>
      <c r="F130" s="32" t="s">
        <v>283</v>
      </c>
    </row>
    <row r="131" customFormat="false" ht="15" hidden="false" customHeight="true" outlineLevel="0" collapsed="false">
      <c r="A131" s="30" t="n">
        <v>8</v>
      </c>
      <c r="B131" s="31" t="n">
        <v>67</v>
      </c>
      <c r="C131" s="32" t="n">
        <v>-38</v>
      </c>
      <c r="D131" s="33" t="n">
        <v>0.638095238095238</v>
      </c>
      <c r="E131" s="33" t="n">
        <v>0.141350210970464</v>
      </c>
      <c r="F131" s="32" t="s">
        <v>283</v>
      </c>
    </row>
    <row r="132" customFormat="false" ht="15" hidden="false" customHeight="true" outlineLevel="0" collapsed="false">
      <c r="A132" s="38" t="n">
        <v>9</v>
      </c>
      <c r="B132" s="66" t="n">
        <v>32</v>
      </c>
      <c r="C132" s="67" t="n">
        <v>-35</v>
      </c>
      <c r="D132" s="68" t="n">
        <v>0.477611940298508</v>
      </c>
      <c r="E132" s="68" t="n">
        <v>0.0675105485232068</v>
      </c>
      <c r="F132" s="67" t="s">
        <v>284</v>
      </c>
    </row>
    <row r="133" customFormat="false" ht="15" hidden="false" customHeight="true" outlineLevel="0" collapsed="false">
      <c r="A133" s="30" t="n">
        <v>10</v>
      </c>
      <c r="B133" s="31" t="n">
        <v>21</v>
      </c>
      <c r="C133" s="32" t="n">
        <v>-11</v>
      </c>
      <c r="D133" s="33" t="n">
        <v>0.65625</v>
      </c>
      <c r="E133" s="33" t="n">
        <v>0.0443037974683544</v>
      </c>
      <c r="F133" s="32" t="s">
        <v>284</v>
      </c>
    </row>
    <row r="134" customFormat="false" ht="15" hidden="false" customHeight="true" outlineLevel="0" collapsed="false">
      <c r="A134" s="30" t="n">
        <v>11</v>
      </c>
      <c r="B134" s="31" t="n">
        <v>15</v>
      </c>
      <c r="C134" s="32" t="n">
        <v>-6</v>
      </c>
      <c r="D134" s="33" t="n">
        <v>0.714285714285714</v>
      </c>
      <c r="E134" s="33" t="n">
        <v>0.0316455696202532</v>
      </c>
      <c r="F134" s="32" t="s">
        <v>284</v>
      </c>
    </row>
    <row r="135" customFormat="false" ht="15" hidden="false" customHeight="true" outlineLevel="0" collapsed="false">
      <c r="A135" s="30" t="n">
        <v>12</v>
      </c>
      <c r="B135" s="31" t="n">
        <v>6</v>
      </c>
      <c r="C135" s="32" t="n">
        <v>-9</v>
      </c>
      <c r="D135" s="33" t="n">
        <v>0.4</v>
      </c>
      <c r="E135" s="33" t="n">
        <v>0.0126582278481013</v>
      </c>
      <c r="F135" s="32" t="s">
        <v>284</v>
      </c>
    </row>
    <row r="136" customFormat="false" ht="15" hidden="false" customHeight="true" outlineLevel="0" collapsed="false">
      <c r="A136" s="30" t="n">
        <v>13</v>
      </c>
      <c r="B136" s="31" t="n">
        <v>6</v>
      </c>
      <c r="C136" s="32" t="n">
        <v>0</v>
      </c>
      <c r="D136" s="33" t="n">
        <v>1</v>
      </c>
      <c r="E136" s="33" t="n">
        <v>0.0126582278481013</v>
      </c>
      <c r="F136" s="32" t="s">
        <v>284</v>
      </c>
    </row>
    <row r="137" customFormat="false" ht="15" hidden="false" customHeight="true" outlineLevel="0" collapsed="false">
      <c r="A137" s="30" t="n">
        <v>14</v>
      </c>
      <c r="B137" s="31" t="n">
        <v>2</v>
      </c>
      <c r="C137" s="32" t="n">
        <v>-4</v>
      </c>
      <c r="D137" s="33" t="n">
        <v>0.333333333333333</v>
      </c>
      <c r="E137" s="33" t="n">
        <v>0.00421940928270042</v>
      </c>
      <c r="F137" s="32" t="s">
        <v>284</v>
      </c>
    </row>
    <row r="138" customFormat="false" ht="15" hidden="false" customHeight="true" outlineLevel="0" collapsed="false">
      <c r="A138" s="30" t="n">
        <v>15</v>
      </c>
      <c r="B138" s="31" t="n">
        <v>1</v>
      </c>
      <c r="C138" s="32" t="n">
        <v>-1</v>
      </c>
      <c r="D138" s="33" t="n">
        <v>0.5</v>
      </c>
      <c r="E138" s="33" t="n">
        <v>0.00210970464135021</v>
      </c>
      <c r="F138" s="32" t="s">
        <v>284</v>
      </c>
    </row>
    <row r="139" customFormat="false" ht="15" hidden="false" customHeight="true" outlineLevel="0" collapsed="false">
      <c r="A139" s="34" t="s">
        <v>451</v>
      </c>
      <c r="B139" s="36" t="s">
        <v>458</v>
      </c>
      <c r="C139" s="36" t="n">
        <v>-473</v>
      </c>
      <c r="D139" s="36"/>
      <c r="E139" s="35" t="n">
        <v>0.00210970464135021</v>
      </c>
      <c r="F139" s="36"/>
    </row>
    <row r="141" customFormat="false" ht="25.5" hidden="false" customHeight="true" outlineLevel="0" collapsed="false">
      <c r="A141" s="65" t="s">
        <v>411</v>
      </c>
      <c r="B141" s="65"/>
      <c r="C141" s="65"/>
      <c r="D141" s="65"/>
      <c r="E141" s="65"/>
      <c r="F141" s="65"/>
    </row>
    <row r="142" customFormat="false" ht="15" hidden="false" customHeight="true" outlineLevel="0" collapsed="false">
      <c r="A142" s="12" t="s">
        <v>275</v>
      </c>
      <c r="B142" s="12" t="s">
        <v>447</v>
      </c>
      <c r="C142" s="12" t="s">
        <v>448</v>
      </c>
      <c r="D142" s="12" t="s">
        <v>278</v>
      </c>
      <c r="E142" s="12" t="s">
        <v>449</v>
      </c>
      <c r="F142" s="12" t="s">
        <v>450</v>
      </c>
    </row>
    <row r="143" customFormat="false" ht="15" hidden="false" customHeight="true" outlineLevel="0" collapsed="false">
      <c r="A143" s="30" t="n">
        <v>1</v>
      </c>
      <c r="B143" s="31" t="n">
        <v>505</v>
      </c>
      <c r="C143" s="32"/>
      <c r="D143" s="32"/>
      <c r="E143" s="33" t="n">
        <v>1</v>
      </c>
      <c r="F143" s="32" t="s">
        <v>282</v>
      </c>
    </row>
    <row r="144" customFormat="false" ht="15" hidden="false" customHeight="true" outlineLevel="0" collapsed="false">
      <c r="A144" s="30" t="n">
        <v>2</v>
      </c>
      <c r="B144" s="31" t="n">
        <v>346</v>
      </c>
      <c r="C144" s="32" t="n">
        <v>-159</v>
      </c>
      <c r="D144" s="33" t="n">
        <v>0.685148514851485</v>
      </c>
      <c r="E144" s="33" t="n">
        <v>0.685148514851485</v>
      </c>
      <c r="F144" s="32" t="s">
        <v>282</v>
      </c>
    </row>
    <row r="145" customFormat="false" ht="15" hidden="false" customHeight="true" outlineLevel="0" collapsed="false">
      <c r="A145" s="30" t="n">
        <v>3</v>
      </c>
      <c r="B145" s="31" t="n">
        <v>288</v>
      </c>
      <c r="C145" s="32" t="n">
        <v>-58</v>
      </c>
      <c r="D145" s="33" t="n">
        <v>0.832369942196532</v>
      </c>
      <c r="E145" s="33" t="n">
        <v>0.57029702970297</v>
      </c>
      <c r="F145" s="32" t="s">
        <v>283</v>
      </c>
    </row>
    <row r="146" customFormat="false" ht="15" hidden="false" customHeight="true" outlineLevel="0" collapsed="false">
      <c r="A146" s="30" t="n">
        <v>4</v>
      </c>
      <c r="B146" s="31" t="n">
        <v>277</v>
      </c>
      <c r="C146" s="32" t="n">
        <v>-11</v>
      </c>
      <c r="D146" s="33" t="n">
        <v>0.961805555555556</v>
      </c>
      <c r="E146" s="33" t="n">
        <v>0.548514851485149</v>
      </c>
      <c r="F146" s="32" t="s">
        <v>283</v>
      </c>
    </row>
    <row r="147" customFormat="false" ht="15" hidden="false" customHeight="true" outlineLevel="0" collapsed="false">
      <c r="A147" s="30" t="n">
        <v>5</v>
      </c>
      <c r="B147" s="31" t="n">
        <v>245</v>
      </c>
      <c r="C147" s="32" t="n">
        <v>-32</v>
      </c>
      <c r="D147" s="33" t="n">
        <v>0.884476534296029</v>
      </c>
      <c r="E147" s="33" t="n">
        <v>0.485148514851485</v>
      </c>
      <c r="F147" s="32" t="s">
        <v>283</v>
      </c>
    </row>
    <row r="148" customFormat="false" ht="15" hidden="false" customHeight="true" outlineLevel="0" collapsed="false">
      <c r="A148" s="30" t="n">
        <v>6</v>
      </c>
      <c r="B148" s="31" t="n">
        <v>171</v>
      </c>
      <c r="C148" s="32" t="n">
        <v>-74</v>
      </c>
      <c r="D148" s="33" t="n">
        <v>0.697959183673469</v>
      </c>
      <c r="E148" s="33" t="n">
        <v>0.338613861386139</v>
      </c>
      <c r="F148" s="32" t="s">
        <v>283</v>
      </c>
    </row>
    <row r="149" customFormat="false" ht="15" hidden="false" customHeight="true" outlineLevel="0" collapsed="false">
      <c r="A149" s="30" t="n">
        <v>7</v>
      </c>
      <c r="B149" s="31" t="n">
        <v>114</v>
      </c>
      <c r="C149" s="32" t="n">
        <v>-57</v>
      </c>
      <c r="D149" s="33" t="n">
        <v>0.666666666666667</v>
      </c>
      <c r="E149" s="33" t="n">
        <v>0.225742574257426</v>
      </c>
      <c r="F149" s="32" t="s">
        <v>283</v>
      </c>
    </row>
    <row r="150" customFormat="false" ht="15" hidden="false" customHeight="true" outlineLevel="0" collapsed="false">
      <c r="A150" s="30" t="n">
        <v>8</v>
      </c>
      <c r="B150" s="31" t="n">
        <v>64</v>
      </c>
      <c r="C150" s="32" t="n">
        <v>-50</v>
      </c>
      <c r="D150" s="33" t="n">
        <v>0.56140350877193</v>
      </c>
      <c r="E150" s="33" t="n">
        <v>0.126732673267327</v>
      </c>
      <c r="F150" s="32" t="s">
        <v>283</v>
      </c>
    </row>
    <row r="151" customFormat="false" ht="15" hidden="false" customHeight="true" outlineLevel="0" collapsed="false">
      <c r="A151" s="38" t="n">
        <v>9</v>
      </c>
      <c r="B151" s="66" t="n">
        <v>48</v>
      </c>
      <c r="C151" s="67" t="n">
        <v>-16</v>
      </c>
      <c r="D151" s="68" t="n">
        <v>0.75</v>
      </c>
      <c r="E151" s="68" t="n">
        <v>0.0950495049504951</v>
      </c>
      <c r="F151" s="67" t="s">
        <v>284</v>
      </c>
    </row>
    <row r="152" customFormat="false" ht="15" hidden="false" customHeight="true" outlineLevel="0" collapsed="false">
      <c r="A152" s="30" t="n">
        <v>10</v>
      </c>
      <c r="B152" s="31" t="n">
        <v>33</v>
      </c>
      <c r="C152" s="32" t="n">
        <v>-15</v>
      </c>
      <c r="D152" s="33" t="n">
        <v>0.6875</v>
      </c>
      <c r="E152" s="33" t="n">
        <v>0.0653465346534654</v>
      </c>
      <c r="F152" s="32" t="s">
        <v>284</v>
      </c>
    </row>
    <row r="153" customFormat="false" ht="15" hidden="false" customHeight="true" outlineLevel="0" collapsed="false">
      <c r="A153" s="30" t="n">
        <v>11</v>
      </c>
      <c r="B153" s="31" t="n">
        <v>18</v>
      </c>
      <c r="C153" s="32" t="n">
        <v>-15</v>
      </c>
      <c r="D153" s="33" t="n">
        <v>0.545454545454545</v>
      </c>
      <c r="E153" s="33" t="n">
        <v>0.0356435643564356</v>
      </c>
      <c r="F153" s="32" t="s">
        <v>284</v>
      </c>
    </row>
    <row r="154" customFormat="false" ht="15" hidden="false" customHeight="true" outlineLevel="0" collapsed="false">
      <c r="A154" s="30" t="n">
        <v>12</v>
      </c>
      <c r="B154" s="31" t="n">
        <v>11</v>
      </c>
      <c r="C154" s="32" t="n">
        <v>-7</v>
      </c>
      <c r="D154" s="33" t="n">
        <v>0.611111111111111</v>
      </c>
      <c r="E154" s="33" t="n">
        <v>0.0217821782178218</v>
      </c>
      <c r="F154" s="32" t="s">
        <v>284</v>
      </c>
    </row>
    <row r="155" customFormat="false" ht="15" hidden="false" customHeight="true" outlineLevel="0" collapsed="false">
      <c r="A155" s="30" t="n">
        <v>13</v>
      </c>
      <c r="B155" s="31" t="n">
        <v>8</v>
      </c>
      <c r="C155" s="32" t="n">
        <v>-3</v>
      </c>
      <c r="D155" s="33" t="n">
        <v>0.727272727272727</v>
      </c>
      <c r="E155" s="33" t="n">
        <v>0.0158415841584158</v>
      </c>
      <c r="F155" s="32" t="s">
        <v>284</v>
      </c>
    </row>
    <row r="156" customFormat="false" ht="15" hidden="false" customHeight="true" outlineLevel="0" collapsed="false">
      <c r="A156" s="30" t="n">
        <v>14</v>
      </c>
      <c r="B156" s="31" t="n">
        <v>5</v>
      </c>
      <c r="C156" s="32" t="n">
        <v>-3</v>
      </c>
      <c r="D156" s="33" t="n">
        <v>0.625</v>
      </c>
      <c r="E156" s="33" t="n">
        <v>0.0099009900990099</v>
      </c>
      <c r="F156" s="32" t="s">
        <v>284</v>
      </c>
    </row>
    <row r="157" customFormat="false" ht="15" hidden="false" customHeight="true" outlineLevel="0" collapsed="false">
      <c r="A157" s="30" t="n">
        <v>15</v>
      </c>
      <c r="B157" s="31" t="n">
        <v>6</v>
      </c>
      <c r="C157" s="32" t="n">
        <v>1</v>
      </c>
      <c r="D157" s="33" t="n">
        <v>1.2</v>
      </c>
      <c r="E157" s="33" t="n">
        <v>0.0118811881188119</v>
      </c>
      <c r="F157" s="32" t="s">
        <v>284</v>
      </c>
    </row>
    <row r="158" customFormat="false" ht="15" hidden="false" customHeight="true" outlineLevel="0" collapsed="false">
      <c r="A158" s="30" t="n">
        <v>16</v>
      </c>
      <c r="B158" s="31" t="n">
        <v>4</v>
      </c>
      <c r="C158" s="32" t="n">
        <v>-2</v>
      </c>
      <c r="D158" s="33" t="n">
        <v>0.666666666666667</v>
      </c>
      <c r="E158" s="33" t="n">
        <v>0.00792079207920792</v>
      </c>
      <c r="F158" s="32" t="s">
        <v>284</v>
      </c>
    </row>
    <row r="159" customFormat="false" ht="15" hidden="false" customHeight="true" outlineLevel="0" collapsed="false">
      <c r="A159" s="30" t="n">
        <v>17</v>
      </c>
      <c r="B159" s="31" t="n">
        <v>1</v>
      </c>
      <c r="C159" s="32" t="n">
        <v>-3</v>
      </c>
      <c r="D159" s="33" t="n">
        <v>0.25</v>
      </c>
      <c r="E159" s="33" t="n">
        <v>0.00198019801980198</v>
      </c>
      <c r="F159" s="32" t="s">
        <v>284</v>
      </c>
    </row>
    <row r="160" customFormat="false" ht="15" hidden="false" customHeight="true" outlineLevel="0" collapsed="false">
      <c r="A160" s="34" t="s">
        <v>451</v>
      </c>
      <c r="B160" s="36" t="s">
        <v>459</v>
      </c>
      <c r="C160" s="36" t="n">
        <v>-504</v>
      </c>
      <c r="D160" s="36"/>
      <c r="E160" s="35" t="n">
        <v>0.00198019801980198</v>
      </c>
      <c r="F160" s="36"/>
    </row>
    <row r="162" customFormat="false" ht="25.5" hidden="false" customHeight="true" outlineLevel="0" collapsed="false">
      <c r="A162" s="65" t="s">
        <v>412</v>
      </c>
      <c r="B162" s="65"/>
      <c r="C162" s="65"/>
      <c r="D162" s="65"/>
      <c r="E162" s="65"/>
      <c r="F162" s="65"/>
    </row>
    <row r="163" customFormat="false" ht="15" hidden="false" customHeight="true" outlineLevel="0" collapsed="false">
      <c r="A163" s="12" t="s">
        <v>275</v>
      </c>
      <c r="B163" s="12" t="s">
        <v>447</v>
      </c>
      <c r="C163" s="12" t="s">
        <v>448</v>
      </c>
      <c r="D163" s="12" t="s">
        <v>278</v>
      </c>
      <c r="E163" s="12" t="s">
        <v>449</v>
      </c>
      <c r="F163" s="12" t="s">
        <v>450</v>
      </c>
    </row>
    <row r="164" customFormat="false" ht="15" hidden="false" customHeight="true" outlineLevel="0" collapsed="false">
      <c r="A164" s="30" t="n">
        <v>1</v>
      </c>
      <c r="B164" s="31" t="n">
        <v>256</v>
      </c>
      <c r="C164" s="32"/>
      <c r="D164" s="32"/>
      <c r="E164" s="33" t="n">
        <v>1</v>
      </c>
      <c r="F164" s="32" t="s">
        <v>282</v>
      </c>
    </row>
    <row r="165" customFormat="false" ht="15" hidden="false" customHeight="true" outlineLevel="0" collapsed="false">
      <c r="A165" s="30" t="n">
        <v>2</v>
      </c>
      <c r="B165" s="31" t="n">
        <v>218</v>
      </c>
      <c r="C165" s="32" t="n">
        <v>-38</v>
      </c>
      <c r="D165" s="33" t="n">
        <v>0.8515625</v>
      </c>
      <c r="E165" s="33" t="n">
        <v>0.8515625</v>
      </c>
      <c r="F165" s="32" t="s">
        <v>282</v>
      </c>
    </row>
    <row r="166" customFormat="false" ht="15" hidden="false" customHeight="true" outlineLevel="0" collapsed="false">
      <c r="A166" s="30" t="n">
        <v>3</v>
      </c>
      <c r="B166" s="31" t="n">
        <v>208</v>
      </c>
      <c r="C166" s="32" t="n">
        <v>-10</v>
      </c>
      <c r="D166" s="33" t="n">
        <v>0.954128440366973</v>
      </c>
      <c r="E166" s="33" t="n">
        <v>0.8125</v>
      </c>
      <c r="F166" s="32" t="s">
        <v>283</v>
      </c>
    </row>
    <row r="167" customFormat="false" ht="15" hidden="false" customHeight="true" outlineLevel="0" collapsed="false">
      <c r="A167" s="30" t="n">
        <v>4</v>
      </c>
      <c r="B167" s="31" t="n">
        <v>207</v>
      </c>
      <c r="C167" s="32" t="n">
        <v>-1</v>
      </c>
      <c r="D167" s="33" t="n">
        <v>0.995192307692308</v>
      </c>
      <c r="E167" s="33" t="n">
        <v>0.80859375</v>
      </c>
      <c r="F167" s="32" t="s">
        <v>283</v>
      </c>
    </row>
    <row r="168" customFormat="false" ht="15" hidden="false" customHeight="true" outlineLevel="0" collapsed="false">
      <c r="A168" s="30" t="n">
        <v>5</v>
      </c>
      <c r="B168" s="31" t="n">
        <v>204</v>
      </c>
      <c r="C168" s="32" t="n">
        <v>-3</v>
      </c>
      <c r="D168" s="33" t="n">
        <v>0.985507246376812</v>
      </c>
      <c r="E168" s="33" t="n">
        <v>0.796875</v>
      </c>
      <c r="F168" s="32" t="s">
        <v>283</v>
      </c>
    </row>
    <row r="169" customFormat="false" ht="15" hidden="false" customHeight="true" outlineLevel="0" collapsed="false">
      <c r="A169" s="38" t="n">
        <v>6</v>
      </c>
      <c r="B169" s="66" t="n">
        <v>35</v>
      </c>
      <c r="C169" s="67" t="n">
        <v>-169</v>
      </c>
      <c r="D169" s="68" t="n">
        <v>0.17156862745098</v>
      </c>
      <c r="E169" s="68" t="n">
        <v>0.13671875</v>
      </c>
      <c r="F169" s="67" t="s">
        <v>284</v>
      </c>
    </row>
    <row r="170" customFormat="false" ht="15" hidden="false" customHeight="true" outlineLevel="0" collapsed="false">
      <c r="A170" s="30" t="n">
        <v>7</v>
      </c>
      <c r="B170" s="31" t="n">
        <v>16</v>
      </c>
      <c r="C170" s="32" t="n">
        <v>-19</v>
      </c>
      <c r="D170" s="33" t="n">
        <v>0.457142857142857</v>
      </c>
      <c r="E170" s="33" t="n">
        <v>0.0625</v>
      </c>
      <c r="F170" s="32" t="s">
        <v>284</v>
      </c>
    </row>
    <row r="171" customFormat="false" ht="15" hidden="false" customHeight="true" outlineLevel="0" collapsed="false">
      <c r="A171" s="30" t="n">
        <v>8</v>
      </c>
      <c r="B171" s="31" t="n">
        <v>16</v>
      </c>
      <c r="C171" s="32" t="n">
        <v>0</v>
      </c>
      <c r="D171" s="33" t="n">
        <v>1</v>
      </c>
      <c r="E171" s="33" t="n">
        <v>0.0625</v>
      </c>
      <c r="F171" s="32" t="s">
        <v>284</v>
      </c>
    </row>
    <row r="172" customFormat="false" ht="15" hidden="false" customHeight="true" outlineLevel="0" collapsed="false">
      <c r="A172" s="30" t="n">
        <v>9</v>
      </c>
      <c r="B172" s="31" t="n">
        <v>11</v>
      </c>
      <c r="C172" s="32" t="n">
        <v>-5</v>
      </c>
      <c r="D172" s="33" t="n">
        <v>0.6875</v>
      </c>
      <c r="E172" s="33" t="n">
        <v>0.04296875</v>
      </c>
      <c r="F172" s="32" t="s">
        <v>284</v>
      </c>
    </row>
    <row r="173" customFormat="false" ht="15" hidden="false" customHeight="true" outlineLevel="0" collapsed="false">
      <c r="A173" s="30" t="n">
        <v>10</v>
      </c>
      <c r="B173" s="31" t="n">
        <v>6</v>
      </c>
      <c r="C173" s="32" t="n">
        <v>-5</v>
      </c>
      <c r="D173" s="33" t="n">
        <v>0.545454545454545</v>
      </c>
      <c r="E173" s="33" t="n">
        <v>0.0234375</v>
      </c>
      <c r="F173" s="32" t="s">
        <v>284</v>
      </c>
    </row>
    <row r="174" customFormat="false" ht="15" hidden="false" customHeight="true" outlineLevel="0" collapsed="false">
      <c r="A174" s="30" t="n">
        <v>11</v>
      </c>
      <c r="B174" s="31" t="n">
        <v>3</v>
      </c>
      <c r="C174" s="32" t="n">
        <v>-3</v>
      </c>
      <c r="D174" s="33" t="n">
        <v>0.5</v>
      </c>
      <c r="E174" s="33" t="n">
        <v>0.01171875</v>
      </c>
      <c r="F174" s="32" t="s">
        <v>284</v>
      </c>
    </row>
    <row r="175" customFormat="false" ht="15" hidden="false" customHeight="true" outlineLevel="0" collapsed="false">
      <c r="A175" s="30" t="n">
        <v>12</v>
      </c>
      <c r="B175" s="31" t="n">
        <v>2</v>
      </c>
      <c r="C175" s="32" t="n">
        <v>-1</v>
      </c>
      <c r="D175" s="33" t="n">
        <v>0.666666666666667</v>
      </c>
      <c r="E175" s="33" t="n">
        <v>0.0078125</v>
      </c>
      <c r="F175" s="32" t="s">
        <v>284</v>
      </c>
    </row>
    <row r="176" customFormat="false" ht="15" hidden="false" customHeight="true" outlineLevel="0" collapsed="false">
      <c r="A176" s="30" t="n">
        <v>13</v>
      </c>
      <c r="B176" s="31" t="n">
        <v>3</v>
      </c>
      <c r="C176" s="32" t="n">
        <v>1</v>
      </c>
      <c r="D176" s="33" t="n">
        <v>1.5</v>
      </c>
      <c r="E176" s="33" t="n">
        <v>0.01171875</v>
      </c>
      <c r="F176" s="32" t="s">
        <v>284</v>
      </c>
    </row>
    <row r="177" customFormat="false" ht="15" hidden="false" customHeight="true" outlineLevel="0" collapsed="false">
      <c r="A177" s="30" t="n">
        <v>14</v>
      </c>
      <c r="B177" s="31" t="n">
        <v>3</v>
      </c>
      <c r="C177" s="32" t="n">
        <v>0</v>
      </c>
      <c r="D177" s="33" t="n">
        <v>1</v>
      </c>
      <c r="E177" s="33" t="n">
        <v>0.01171875</v>
      </c>
      <c r="F177" s="32" t="s">
        <v>284</v>
      </c>
    </row>
    <row r="178" customFormat="false" ht="15" hidden="false" customHeight="true" outlineLevel="0" collapsed="false">
      <c r="A178" s="30" t="n">
        <v>15</v>
      </c>
      <c r="B178" s="31" t="n">
        <v>1</v>
      </c>
      <c r="C178" s="32" t="n">
        <v>-2</v>
      </c>
      <c r="D178" s="33" t="n">
        <v>0.333333333333333</v>
      </c>
      <c r="E178" s="33" t="n">
        <v>0.00390625</v>
      </c>
      <c r="F178" s="32" t="s">
        <v>284</v>
      </c>
    </row>
    <row r="179" customFormat="false" ht="15" hidden="false" customHeight="true" outlineLevel="0" collapsed="false">
      <c r="A179" s="30" t="n">
        <v>16</v>
      </c>
      <c r="B179" s="31" t="n">
        <v>1</v>
      </c>
      <c r="C179" s="32" t="n">
        <v>0</v>
      </c>
      <c r="D179" s="33" t="n">
        <v>1</v>
      </c>
      <c r="E179" s="33" t="n">
        <v>0.00390625</v>
      </c>
      <c r="F179" s="32" t="s">
        <v>284</v>
      </c>
    </row>
    <row r="180" customFormat="false" ht="15" hidden="false" customHeight="true" outlineLevel="0" collapsed="false">
      <c r="A180" s="34" t="s">
        <v>451</v>
      </c>
      <c r="B180" s="36" t="s">
        <v>460</v>
      </c>
      <c r="C180" s="36" t="n">
        <v>-255</v>
      </c>
      <c r="D180" s="36"/>
      <c r="E180" s="35" t="n">
        <v>0.00390625</v>
      </c>
      <c r="F180" s="36"/>
    </row>
    <row r="182" customFormat="false" ht="25.5" hidden="false" customHeight="true" outlineLevel="0" collapsed="false">
      <c r="A182" s="65" t="s">
        <v>413</v>
      </c>
      <c r="B182" s="65"/>
      <c r="C182" s="65"/>
      <c r="D182" s="65"/>
      <c r="E182" s="65"/>
      <c r="F182" s="65"/>
    </row>
    <row r="183" customFormat="false" ht="15" hidden="false" customHeight="true" outlineLevel="0" collapsed="false">
      <c r="A183" s="12" t="s">
        <v>275</v>
      </c>
      <c r="B183" s="12" t="s">
        <v>447</v>
      </c>
      <c r="C183" s="12" t="s">
        <v>448</v>
      </c>
      <c r="D183" s="12" t="s">
        <v>278</v>
      </c>
      <c r="E183" s="12" t="s">
        <v>449</v>
      </c>
      <c r="F183" s="12" t="s">
        <v>450</v>
      </c>
    </row>
    <row r="184" customFormat="false" ht="15" hidden="false" customHeight="true" outlineLevel="0" collapsed="false">
      <c r="A184" s="30" t="n">
        <v>1</v>
      </c>
      <c r="B184" s="31" t="n">
        <v>240</v>
      </c>
      <c r="C184" s="32"/>
      <c r="D184" s="32"/>
      <c r="E184" s="33" t="n">
        <v>1</v>
      </c>
      <c r="F184" s="32" t="s">
        <v>282</v>
      </c>
    </row>
    <row r="185" customFormat="false" ht="15" hidden="false" customHeight="true" outlineLevel="0" collapsed="false">
      <c r="A185" s="30" t="n">
        <v>2</v>
      </c>
      <c r="B185" s="31" t="n">
        <v>201</v>
      </c>
      <c r="C185" s="32" t="n">
        <v>-39</v>
      </c>
      <c r="D185" s="33" t="n">
        <v>0.8375</v>
      </c>
      <c r="E185" s="33" t="n">
        <v>0.8375</v>
      </c>
      <c r="F185" s="32" t="s">
        <v>282</v>
      </c>
    </row>
    <row r="186" customFormat="false" ht="15" hidden="false" customHeight="true" outlineLevel="0" collapsed="false">
      <c r="A186" s="30" t="n">
        <v>3</v>
      </c>
      <c r="B186" s="31" t="n">
        <v>189</v>
      </c>
      <c r="C186" s="32" t="n">
        <v>-12</v>
      </c>
      <c r="D186" s="33" t="n">
        <v>0.940298507462687</v>
      </c>
      <c r="E186" s="33" t="n">
        <v>0.7875</v>
      </c>
      <c r="F186" s="32" t="s">
        <v>283</v>
      </c>
    </row>
    <row r="187" customFormat="false" ht="15" hidden="false" customHeight="true" outlineLevel="0" collapsed="false">
      <c r="A187" s="30" t="n">
        <v>4</v>
      </c>
      <c r="B187" s="31" t="n">
        <v>179</v>
      </c>
      <c r="C187" s="32" t="n">
        <v>-10</v>
      </c>
      <c r="D187" s="33" t="n">
        <v>0.947089947089947</v>
      </c>
      <c r="E187" s="33" t="n">
        <v>0.745833333333333</v>
      </c>
      <c r="F187" s="32" t="s">
        <v>283</v>
      </c>
    </row>
    <row r="188" customFormat="false" ht="15" hidden="false" customHeight="true" outlineLevel="0" collapsed="false">
      <c r="A188" s="30" t="n">
        <v>5</v>
      </c>
      <c r="B188" s="31" t="n">
        <v>175</v>
      </c>
      <c r="C188" s="32" t="n">
        <v>-4</v>
      </c>
      <c r="D188" s="33" t="n">
        <v>0.977653631284916</v>
      </c>
      <c r="E188" s="33" t="n">
        <v>0.729166666666667</v>
      </c>
      <c r="F188" s="32" t="s">
        <v>283</v>
      </c>
    </row>
    <row r="189" customFormat="false" ht="15" hidden="false" customHeight="true" outlineLevel="0" collapsed="false">
      <c r="A189" s="30" t="n">
        <v>6</v>
      </c>
      <c r="B189" s="31" t="n">
        <v>164</v>
      </c>
      <c r="C189" s="32" t="n">
        <v>-11</v>
      </c>
      <c r="D189" s="33" t="n">
        <v>0.937142857142857</v>
      </c>
      <c r="E189" s="33" t="n">
        <v>0.683333333333333</v>
      </c>
      <c r="F189" s="32" t="s">
        <v>283</v>
      </c>
    </row>
    <row r="190" customFormat="false" ht="15" hidden="false" customHeight="true" outlineLevel="0" collapsed="false">
      <c r="A190" s="30" t="n">
        <v>7</v>
      </c>
      <c r="B190" s="31" t="n">
        <v>158</v>
      </c>
      <c r="C190" s="32" t="n">
        <v>-6</v>
      </c>
      <c r="D190" s="33" t="n">
        <v>0.963414634146341</v>
      </c>
      <c r="E190" s="33" t="n">
        <v>0.658333333333333</v>
      </c>
      <c r="F190" s="32" t="s">
        <v>283</v>
      </c>
    </row>
    <row r="191" customFormat="false" ht="15" hidden="false" customHeight="true" outlineLevel="0" collapsed="false">
      <c r="A191" s="30" t="n">
        <v>8</v>
      </c>
      <c r="B191" s="31" t="n">
        <v>161</v>
      </c>
      <c r="C191" s="32" t="n">
        <v>3</v>
      </c>
      <c r="D191" s="33" t="n">
        <v>1.01898734177215</v>
      </c>
      <c r="E191" s="33" t="n">
        <v>0.670833333333333</v>
      </c>
      <c r="F191" s="32" t="s">
        <v>283</v>
      </c>
    </row>
    <row r="192" customFormat="false" ht="15" hidden="false" customHeight="true" outlineLevel="0" collapsed="false">
      <c r="A192" s="38" t="n">
        <v>9</v>
      </c>
      <c r="B192" s="66" t="n">
        <v>35</v>
      </c>
      <c r="C192" s="67" t="n">
        <v>-126</v>
      </c>
      <c r="D192" s="68" t="n">
        <v>0.217391304347826</v>
      </c>
      <c r="E192" s="68" t="n">
        <v>0.145833333333333</v>
      </c>
      <c r="F192" s="67" t="s">
        <v>284</v>
      </c>
    </row>
    <row r="193" customFormat="false" ht="15" hidden="false" customHeight="true" outlineLevel="0" collapsed="false">
      <c r="A193" s="30" t="n">
        <v>10</v>
      </c>
      <c r="B193" s="31" t="n">
        <v>19</v>
      </c>
      <c r="C193" s="32" t="n">
        <v>-16</v>
      </c>
      <c r="D193" s="33" t="n">
        <v>0.542857142857143</v>
      </c>
      <c r="E193" s="33" t="n">
        <v>0.0791666666666667</v>
      </c>
      <c r="F193" s="32" t="s">
        <v>284</v>
      </c>
    </row>
    <row r="194" customFormat="false" ht="15" hidden="false" customHeight="true" outlineLevel="0" collapsed="false">
      <c r="A194" s="30" t="n">
        <v>11</v>
      </c>
      <c r="B194" s="31" t="n">
        <v>7</v>
      </c>
      <c r="C194" s="32" t="n">
        <v>-12</v>
      </c>
      <c r="D194" s="33" t="n">
        <v>0.368421052631579</v>
      </c>
      <c r="E194" s="33" t="n">
        <v>0.0291666666666667</v>
      </c>
      <c r="F194" s="32" t="s">
        <v>284</v>
      </c>
    </row>
    <row r="195" customFormat="false" ht="15" hidden="false" customHeight="true" outlineLevel="0" collapsed="false">
      <c r="A195" s="30" t="n">
        <v>12</v>
      </c>
      <c r="B195" s="31" t="n">
        <v>1</v>
      </c>
      <c r="C195" s="32" t="n">
        <v>-6</v>
      </c>
      <c r="D195" s="33" t="n">
        <v>0.142857142857143</v>
      </c>
      <c r="E195" s="33" t="n">
        <v>0.00416666666666667</v>
      </c>
      <c r="F195" s="32" t="s">
        <v>284</v>
      </c>
    </row>
    <row r="196" customFormat="false" ht="15" hidden="false" customHeight="true" outlineLevel="0" collapsed="false">
      <c r="A196" s="34" t="s">
        <v>451</v>
      </c>
      <c r="B196" s="36" t="s">
        <v>461</v>
      </c>
      <c r="C196" s="36" t="n">
        <v>-239</v>
      </c>
      <c r="D196" s="36"/>
      <c r="E196" s="35" t="n">
        <v>0.00416666666666667</v>
      </c>
      <c r="F196" s="36"/>
    </row>
    <row r="198" customFormat="false" ht="25.5" hidden="false" customHeight="true" outlineLevel="0" collapsed="false">
      <c r="A198" s="65" t="s">
        <v>414</v>
      </c>
      <c r="B198" s="65"/>
      <c r="C198" s="65"/>
      <c r="D198" s="65"/>
      <c r="E198" s="65"/>
      <c r="F198" s="65"/>
    </row>
    <row r="199" customFormat="false" ht="15" hidden="false" customHeight="true" outlineLevel="0" collapsed="false">
      <c r="A199" s="12" t="s">
        <v>275</v>
      </c>
      <c r="B199" s="12" t="s">
        <v>447</v>
      </c>
      <c r="C199" s="12" t="s">
        <v>448</v>
      </c>
      <c r="D199" s="12" t="s">
        <v>278</v>
      </c>
      <c r="E199" s="12" t="s">
        <v>449</v>
      </c>
      <c r="F199" s="12" t="s">
        <v>450</v>
      </c>
    </row>
    <row r="200" customFormat="false" ht="15" hidden="false" customHeight="true" outlineLevel="0" collapsed="false">
      <c r="A200" s="30" t="n">
        <v>1</v>
      </c>
      <c r="B200" s="31" t="n">
        <v>115</v>
      </c>
      <c r="C200" s="32"/>
      <c r="D200" s="32"/>
      <c r="E200" s="33" t="n">
        <v>1</v>
      </c>
      <c r="F200" s="32" t="s">
        <v>282</v>
      </c>
    </row>
    <row r="201" customFormat="false" ht="15" hidden="false" customHeight="true" outlineLevel="0" collapsed="false">
      <c r="A201" s="30" t="n">
        <v>2</v>
      </c>
      <c r="B201" s="31" t="n">
        <v>102</v>
      </c>
      <c r="C201" s="32" t="n">
        <v>-13</v>
      </c>
      <c r="D201" s="33" t="n">
        <v>0.88695652173913</v>
      </c>
      <c r="E201" s="33" t="n">
        <v>0.88695652173913</v>
      </c>
      <c r="F201" s="32" t="s">
        <v>282</v>
      </c>
    </row>
    <row r="202" customFormat="false" ht="15" hidden="false" customHeight="true" outlineLevel="0" collapsed="false">
      <c r="A202" s="30" t="n">
        <v>3</v>
      </c>
      <c r="B202" s="31" t="n">
        <v>100</v>
      </c>
      <c r="C202" s="32" t="n">
        <v>-2</v>
      </c>
      <c r="D202" s="33" t="n">
        <v>0.980392156862745</v>
      </c>
      <c r="E202" s="33" t="n">
        <v>0.869565217391304</v>
      </c>
      <c r="F202" s="32" t="s">
        <v>283</v>
      </c>
    </row>
    <row r="203" customFormat="false" ht="15" hidden="false" customHeight="true" outlineLevel="0" collapsed="false">
      <c r="A203" s="30" t="n">
        <v>4</v>
      </c>
      <c r="B203" s="31" t="n">
        <v>95</v>
      </c>
      <c r="C203" s="32" t="n">
        <v>-5</v>
      </c>
      <c r="D203" s="33" t="n">
        <v>0.95</v>
      </c>
      <c r="E203" s="33" t="n">
        <v>0.826086956521739</v>
      </c>
      <c r="F203" s="32" t="s">
        <v>283</v>
      </c>
    </row>
    <row r="204" customFormat="false" ht="15" hidden="false" customHeight="true" outlineLevel="0" collapsed="false">
      <c r="A204" s="30" t="n">
        <v>5</v>
      </c>
      <c r="B204" s="31" t="n">
        <v>33</v>
      </c>
      <c r="C204" s="32" t="n">
        <v>-62</v>
      </c>
      <c r="D204" s="33" t="n">
        <v>0.347368421052632</v>
      </c>
      <c r="E204" s="33" t="n">
        <v>0.28695652173913</v>
      </c>
      <c r="F204" s="32" t="s">
        <v>283</v>
      </c>
    </row>
    <row r="205" customFormat="false" ht="15" hidden="false" customHeight="true" outlineLevel="0" collapsed="false">
      <c r="A205" s="30" t="n">
        <v>6</v>
      </c>
      <c r="B205" s="31" t="n">
        <v>22</v>
      </c>
      <c r="C205" s="32" t="n">
        <v>-11</v>
      </c>
      <c r="D205" s="33" t="n">
        <v>0.666666666666667</v>
      </c>
      <c r="E205" s="33" t="n">
        <v>0.191304347826087</v>
      </c>
      <c r="F205" s="32" t="s">
        <v>283</v>
      </c>
    </row>
    <row r="206" customFormat="false" ht="15" hidden="false" customHeight="true" outlineLevel="0" collapsed="false">
      <c r="A206" s="38" t="n">
        <v>7</v>
      </c>
      <c r="B206" s="66" t="n">
        <v>17</v>
      </c>
      <c r="C206" s="67" t="n">
        <v>-5</v>
      </c>
      <c r="D206" s="68" t="n">
        <v>0.772727272727273</v>
      </c>
      <c r="E206" s="68" t="n">
        <v>0.147826086956522</v>
      </c>
      <c r="F206" s="67" t="s">
        <v>284</v>
      </c>
    </row>
    <row r="207" customFormat="false" ht="15" hidden="false" customHeight="true" outlineLevel="0" collapsed="false">
      <c r="A207" s="30" t="n">
        <v>8</v>
      </c>
      <c r="B207" s="31" t="n">
        <v>2</v>
      </c>
      <c r="C207" s="32" t="n">
        <v>-15</v>
      </c>
      <c r="D207" s="33" t="n">
        <v>0.117647058823529</v>
      </c>
      <c r="E207" s="33" t="n">
        <v>0.0173913043478261</v>
      </c>
      <c r="F207" s="32" t="s">
        <v>284</v>
      </c>
    </row>
    <row r="208" customFormat="false" ht="15" hidden="false" customHeight="true" outlineLevel="0" collapsed="false">
      <c r="A208" s="30" t="n">
        <v>9</v>
      </c>
      <c r="B208" s="31" t="n">
        <v>2</v>
      </c>
      <c r="C208" s="32" t="n">
        <v>0</v>
      </c>
      <c r="D208" s="33" t="n">
        <v>1</v>
      </c>
      <c r="E208" s="33" t="n">
        <v>0.0173913043478261</v>
      </c>
      <c r="F208" s="32" t="s">
        <v>284</v>
      </c>
    </row>
    <row r="209" customFormat="false" ht="15" hidden="false" customHeight="true" outlineLevel="0" collapsed="false">
      <c r="A209" s="30" t="n">
        <v>10</v>
      </c>
      <c r="B209" s="31" t="n">
        <v>1</v>
      </c>
      <c r="C209" s="32" t="n">
        <v>-1</v>
      </c>
      <c r="D209" s="33" t="n">
        <v>0.5</v>
      </c>
      <c r="E209" s="33" t="n">
        <v>0.00869565217391304</v>
      </c>
      <c r="F209" s="32" t="s">
        <v>284</v>
      </c>
    </row>
    <row r="210" customFormat="false" ht="15" hidden="false" customHeight="true" outlineLevel="0" collapsed="false">
      <c r="A210" s="30" t="n">
        <v>11</v>
      </c>
      <c r="B210" s="31" t="n">
        <v>0</v>
      </c>
      <c r="C210" s="32" t="n">
        <v>-1</v>
      </c>
      <c r="D210" s="33" t="n">
        <v>0</v>
      </c>
      <c r="E210" s="33" t="n">
        <v>0</v>
      </c>
      <c r="F210" s="32" t="s">
        <v>284</v>
      </c>
    </row>
    <row r="211" customFormat="false" ht="15" hidden="false" customHeight="true" outlineLevel="0" collapsed="false">
      <c r="A211" s="30" t="n">
        <v>12</v>
      </c>
      <c r="B211" s="31" t="n">
        <v>1</v>
      </c>
      <c r="C211" s="32" t="n">
        <v>1</v>
      </c>
      <c r="D211" s="32"/>
      <c r="E211" s="33" t="n">
        <v>0.00869565217391304</v>
      </c>
      <c r="F211" s="32" t="s">
        <v>284</v>
      </c>
    </row>
    <row r="212" customFormat="false" ht="15" hidden="false" customHeight="true" outlineLevel="0" collapsed="false">
      <c r="A212" s="30" t="n">
        <v>13</v>
      </c>
      <c r="B212" s="31" t="n">
        <v>2</v>
      </c>
      <c r="C212" s="32" t="n">
        <v>1</v>
      </c>
      <c r="D212" s="33" t="n">
        <v>2</v>
      </c>
      <c r="E212" s="33" t="n">
        <v>0.0173913043478261</v>
      </c>
      <c r="F212" s="32" t="s">
        <v>284</v>
      </c>
    </row>
    <row r="213" customFormat="false" ht="15" hidden="false" customHeight="true" outlineLevel="0" collapsed="false">
      <c r="A213" s="30" t="n">
        <v>14</v>
      </c>
      <c r="B213" s="31" t="n">
        <v>1</v>
      </c>
      <c r="C213" s="32" t="n">
        <v>-1</v>
      </c>
      <c r="D213" s="33" t="n">
        <v>0.5</v>
      </c>
      <c r="E213" s="33" t="n">
        <v>0.00869565217391304</v>
      </c>
      <c r="F213" s="32" t="s">
        <v>284</v>
      </c>
    </row>
    <row r="214" customFormat="false" ht="15" hidden="false" customHeight="true" outlineLevel="0" collapsed="false">
      <c r="A214" s="30" t="n">
        <v>15</v>
      </c>
      <c r="B214" s="31" t="n">
        <v>1</v>
      </c>
      <c r="C214" s="32" t="n">
        <v>0</v>
      </c>
      <c r="D214" s="33" t="n">
        <v>1</v>
      </c>
      <c r="E214" s="33" t="n">
        <v>0.00869565217391304</v>
      </c>
      <c r="F214" s="32" t="s">
        <v>284</v>
      </c>
    </row>
    <row r="215" customFormat="false" ht="15" hidden="false" customHeight="true" outlineLevel="0" collapsed="false">
      <c r="A215" s="34" t="s">
        <v>451</v>
      </c>
      <c r="B215" s="36" t="s">
        <v>462</v>
      </c>
      <c r="C215" s="36" t="n">
        <v>-114</v>
      </c>
      <c r="D215" s="36"/>
      <c r="E215" s="35" t="n">
        <v>0.00869565217391304</v>
      </c>
      <c r="F215" s="36"/>
    </row>
    <row r="217" customFormat="false" ht="25.5" hidden="false" customHeight="true" outlineLevel="0" collapsed="false">
      <c r="A217" s="65" t="s">
        <v>415</v>
      </c>
      <c r="B217" s="65"/>
      <c r="C217" s="65"/>
      <c r="D217" s="65"/>
      <c r="E217" s="65"/>
      <c r="F217" s="65"/>
    </row>
    <row r="218" customFormat="false" ht="15" hidden="false" customHeight="true" outlineLevel="0" collapsed="false">
      <c r="A218" s="29" t="s">
        <v>272</v>
      </c>
      <c r="B218" s="29"/>
      <c r="C218" s="29"/>
      <c r="D218" s="29"/>
      <c r="E218" s="29"/>
      <c r="F218" s="29"/>
    </row>
    <row r="220" customFormat="false" ht="25.5" hidden="false" customHeight="true" outlineLevel="0" collapsed="false">
      <c r="A220" s="65" t="s">
        <v>416</v>
      </c>
      <c r="B220" s="65"/>
      <c r="C220" s="65"/>
      <c r="D220" s="65"/>
      <c r="E220" s="65"/>
      <c r="F220" s="65"/>
    </row>
    <row r="221" customFormat="false" ht="15" hidden="false" customHeight="true" outlineLevel="0" collapsed="false">
      <c r="A221" s="29" t="s">
        <v>272</v>
      </c>
      <c r="B221" s="29"/>
      <c r="C221" s="29"/>
      <c r="D221" s="29"/>
      <c r="E221" s="29"/>
      <c r="F221" s="29"/>
    </row>
    <row r="223" customFormat="false" ht="25.5" hidden="false" customHeight="true" outlineLevel="0" collapsed="false">
      <c r="A223" s="65" t="s">
        <v>417</v>
      </c>
      <c r="B223" s="65"/>
      <c r="C223" s="65"/>
      <c r="D223" s="65"/>
      <c r="E223" s="65"/>
      <c r="F223" s="65"/>
    </row>
    <row r="224" customFormat="false" ht="15" hidden="false" customHeight="true" outlineLevel="0" collapsed="false">
      <c r="A224" s="12" t="s">
        <v>275</v>
      </c>
      <c r="B224" s="12" t="s">
        <v>447</v>
      </c>
      <c r="C224" s="12" t="s">
        <v>448</v>
      </c>
      <c r="D224" s="12" t="s">
        <v>278</v>
      </c>
      <c r="E224" s="12" t="s">
        <v>449</v>
      </c>
      <c r="F224" s="12" t="s">
        <v>450</v>
      </c>
    </row>
    <row r="225" customFormat="false" ht="15" hidden="false" customHeight="true" outlineLevel="0" collapsed="false">
      <c r="A225" s="30" t="n">
        <v>1</v>
      </c>
      <c r="B225" s="31" t="n">
        <v>254</v>
      </c>
      <c r="C225" s="32"/>
      <c r="D225" s="32"/>
      <c r="E225" s="33" t="n">
        <v>1</v>
      </c>
      <c r="F225" s="32" t="s">
        <v>282</v>
      </c>
    </row>
    <row r="226" customFormat="false" ht="15" hidden="false" customHeight="true" outlineLevel="0" collapsed="false">
      <c r="A226" s="30" t="n">
        <v>2</v>
      </c>
      <c r="B226" s="31" t="n">
        <v>201</v>
      </c>
      <c r="C226" s="32" t="n">
        <v>-53</v>
      </c>
      <c r="D226" s="33" t="n">
        <v>0.791338582677165</v>
      </c>
      <c r="E226" s="33" t="n">
        <v>0.791338582677165</v>
      </c>
      <c r="F226" s="32" t="s">
        <v>282</v>
      </c>
    </row>
    <row r="227" customFormat="false" ht="15" hidden="false" customHeight="true" outlineLevel="0" collapsed="false">
      <c r="A227" s="30" t="n">
        <v>3</v>
      </c>
      <c r="B227" s="31" t="n">
        <v>184</v>
      </c>
      <c r="C227" s="32" t="n">
        <v>-17</v>
      </c>
      <c r="D227" s="33" t="n">
        <v>0.915422885572139</v>
      </c>
      <c r="E227" s="33" t="n">
        <v>0.724409448818898</v>
      </c>
      <c r="F227" s="32" t="s">
        <v>283</v>
      </c>
    </row>
    <row r="228" customFormat="false" ht="15" hidden="false" customHeight="true" outlineLevel="0" collapsed="false">
      <c r="A228" s="30" t="n">
        <v>4</v>
      </c>
      <c r="B228" s="31" t="n">
        <v>181</v>
      </c>
      <c r="C228" s="32" t="n">
        <v>-3</v>
      </c>
      <c r="D228" s="33" t="n">
        <v>0.983695652173913</v>
      </c>
      <c r="E228" s="33" t="n">
        <v>0.71259842519685</v>
      </c>
      <c r="F228" s="32" t="s">
        <v>283</v>
      </c>
    </row>
    <row r="229" customFormat="false" ht="15" hidden="false" customHeight="true" outlineLevel="0" collapsed="false">
      <c r="A229" s="30" t="n">
        <v>5</v>
      </c>
      <c r="B229" s="31" t="n">
        <v>183</v>
      </c>
      <c r="C229" s="32" t="n">
        <v>2</v>
      </c>
      <c r="D229" s="33" t="n">
        <v>1.01104972375691</v>
      </c>
      <c r="E229" s="33" t="n">
        <v>0.720472440944882</v>
      </c>
      <c r="F229" s="32" t="s">
        <v>283</v>
      </c>
    </row>
    <row r="230" customFormat="false" ht="15" hidden="false" customHeight="true" outlineLevel="0" collapsed="false">
      <c r="A230" s="30" t="n">
        <v>6</v>
      </c>
      <c r="B230" s="31" t="n">
        <v>48</v>
      </c>
      <c r="C230" s="32" t="n">
        <v>-135</v>
      </c>
      <c r="D230" s="33" t="n">
        <v>0.262295081967213</v>
      </c>
      <c r="E230" s="33" t="n">
        <v>0.188976377952756</v>
      </c>
      <c r="F230" s="32" t="s">
        <v>283</v>
      </c>
    </row>
    <row r="231" customFormat="false" ht="15" hidden="false" customHeight="true" outlineLevel="0" collapsed="false">
      <c r="A231" s="30" t="n">
        <v>7</v>
      </c>
      <c r="B231" s="31" t="n">
        <v>41</v>
      </c>
      <c r="C231" s="32" t="n">
        <v>-7</v>
      </c>
      <c r="D231" s="33" t="n">
        <v>0.854166666666667</v>
      </c>
      <c r="E231" s="33" t="n">
        <v>0.161417322834646</v>
      </c>
      <c r="F231" s="32" t="s">
        <v>283</v>
      </c>
    </row>
    <row r="232" customFormat="false" ht="15" hidden="false" customHeight="true" outlineLevel="0" collapsed="false">
      <c r="A232" s="38" t="n">
        <v>8</v>
      </c>
      <c r="B232" s="66" t="n">
        <v>31</v>
      </c>
      <c r="C232" s="67" t="n">
        <v>-10</v>
      </c>
      <c r="D232" s="68" t="n">
        <v>0.75609756097561</v>
      </c>
      <c r="E232" s="68" t="n">
        <v>0.122047244094488</v>
      </c>
      <c r="F232" s="67" t="s">
        <v>284</v>
      </c>
    </row>
    <row r="233" customFormat="false" ht="15" hidden="false" customHeight="true" outlineLevel="0" collapsed="false">
      <c r="A233" s="30" t="n">
        <v>9</v>
      </c>
      <c r="B233" s="31" t="n">
        <v>12</v>
      </c>
      <c r="C233" s="32" t="n">
        <v>-19</v>
      </c>
      <c r="D233" s="33" t="n">
        <v>0.387096774193548</v>
      </c>
      <c r="E233" s="33" t="n">
        <v>0.047244094488189</v>
      </c>
      <c r="F233" s="32" t="s">
        <v>284</v>
      </c>
    </row>
    <row r="234" customFormat="false" ht="15" hidden="false" customHeight="true" outlineLevel="0" collapsed="false">
      <c r="A234" s="30" t="n">
        <v>10</v>
      </c>
      <c r="B234" s="31" t="n">
        <v>11</v>
      </c>
      <c r="C234" s="32" t="n">
        <v>-1</v>
      </c>
      <c r="D234" s="33" t="n">
        <v>0.916666666666667</v>
      </c>
      <c r="E234" s="33" t="n">
        <v>0.0433070866141732</v>
      </c>
      <c r="F234" s="32" t="s">
        <v>284</v>
      </c>
    </row>
    <row r="235" customFormat="false" ht="15" hidden="false" customHeight="true" outlineLevel="0" collapsed="false">
      <c r="A235" s="30" t="n">
        <v>11</v>
      </c>
      <c r="B235" s="31" t="n">
        <v>9</v>
      </c>
      <c r="C235" s="32" t="n">
        <v>-2</v>
      </c>
      <c r="D235" s="33" t="n">
        <v>0.818181818181818</v>
      </c>
      <c r="E235" s="33" t="n">
        <v>0.0354330708661417</v>
      </c>
      <c r="F235" s="32" t="s">
        <v>284</v>
      </c>
    </row>
    <row r="236" customFormat="false" ht="15" hidden="false" customHeight="true" outlineLevel="0" collapsed="false">
      <c r="A236" s="30" t="n">
        <v>12</v>
      </c>
      <c r="B236" s="31" t="n">
        <v>2</v>
      </c>
      <c r="C236" s="32" t="n">
        <v>-7</v>
      </c>
      <c r="D236" s="33" t="n">
        <v>0.222222222222222</v>
      </c>
      <c r="E236" s="33" t="n">
        <v>0.0078740157480315</v>
      </c>
      <c r="F236" s="32" t="s">
        <v>284</v>
      </c>
    </row>
    <row r="237" customFormat="false" ht="15" hidden="false" customHeight="true" outlineLevel="0" collapsed="false">
      <c r="A237" s="30" t="n">
        <v>13</v>
      </c>
      <c r="B237" s="31" t="n">
        <v>1</v>
      </c>
      <c r="C237" s="32" t="n">
        <v>-1</v>
      </c>
      <c r="D237" s="33" t="n">
        <v>0.5</v>
      </c>
      <c r="E237" s="33" t="n">
        <v>0.00393700787401575</v>
      </c>
      <c r="F237" s="32" t="s">
        <v>284</v>
      </c>
    </row>
    <row r="238" customFormat="false" ht="15" hidden="false" customHeight="true" outlineLevel="0" collapsed="false">
      <c r="A238" s="30" t="n">
        <v>14</v>
      </c>
      <c r="B238" s="31" t="n">
        <v>1</v>
      </c>
      <c r="C238" s="32" t="n">
        <v>0</v>
      </c>
      <c r="D238" s="33" t="n">
        <v>1</v>
      </c>
      <c r="E238" s="33" t="n">
        <v>0.00393700787401575</v>
      </c>
      <c r="F238" s="32" t="s">
        <v>284</v>
      </c>
    </row>
    <row r="239" customFormat="false" ht="15" hidden="false" customHeight="true" outlineLevel="0" collapsed="false">
      <c r="A239" s="30" t="n">
        <v>15</v>
      </c>
      <c r="B239" s="31" t="n">
        <v>0</v>
      </c>
      <c r="C239" s="32" t="n">
        <v>-1</v>
      </c>
      <c r="D239" s="33" t="n">
        <v>0</v>
      </c>
      <c r="E239" s="33" t="n">
        <v>0</v>
      </c>
      <c r="F239" s="32" t="s">
        <v>284</v>
      </c>
    </row>
    <row r="240" customFormat="false" ht="15" hidden="false" customHeight="true" outlineLevel="0" collapsed="false">
      <c r="A240" s="30" t="n">
        <v>16</v>
      </c>
      <c r="B240" s="31" t="n">
        <v>1</v>
      </c>
      <c r="C240" s="32" t="n">
        <v>1</v>
      </c>
      <c r="D240" s="32"/>
      <c r="E240" s="33" t="n">
        <v>0.00393700787401575</v>
      </c>
      <c r="F240" s="32" t="s">
        <v>284</v>
      </c>
    </row>
    <row r="241" customFormat="false" ht="15" hidden="false" customHeight="true" outlineLevel="0" collapsed="false">
      <c r="A241" s="34" t="s">
        <v>451</v>
      </c>
      <c r="B241" s="36" t="s">
        <v>463</v>
      </c>
      <c r="C241" s="36" t="n">
        <v>-253</v>
      </c>
      <c r="D241" s="36"/>
      <c r="E241" s="35" t="n">
        <v>0.00393700787401575</v>
      </c>
      <c r="F241" s="36"/>
    </row>
    <row r="243" customFormat="false" ht="25.5" hidden="false" customHeight="true" outlineLevel="0" collapsed="false">
      <c r="A243" s="65" t="s">
        <v>418</v>
      </c>
      <c r="B243" s="65"/>
      <c r="C243" s="65"/>
      <c r="D243" s="65"/>
      <c r="E243" s="65"/>
      <c r="F243" s="65"/>
    </row>
    <row r="244" customFormat="false" ht="15" hidden="false" customHeight="true" outlineLevel="0" collapsed="false">
      <c r="A244" s="12" t="s">
        <v>275</v>
      </c>
      <c r="B244" s="12" t="s">
        <v>447</v>
      </c>
      <c r="C244" s="12" t="s">
        <v>448</v>
      </c>
      <c r="D244" s="12" t="s">
        <v>278</v>
      </c>
      <c r="E244" s="12" t="s">
        <v>449</v>
      </c>
      <c r="F244" s="12" t="s">
        <v>450</v>
      </c>
    </row>
    <row r="245" customFormat="false" ht="15" hidden="false" customHeight="true" outlineLevel="0" collapsed="false">
      <c r="A245" s="30" t="n">
        <v>1</v>
      </c>
      <c r="B245" s="31" t="n">
        <v>82</v>
      </c>
      <c r="C245" s="32"/>
      <c r="D245" s="32"/>
      <c r="E245" s="33" t="n">
        <v>1</v>
      </c>
      <c r="F245" s="32" t="s">
        <v>282</v>
      </c>
    </row>
    <row r="246" customFormat="false" ht="15" hidden="false" customHeight="true" outlineLevel="0" collapsed="false">
      <c r="A246" s="30" t="n">
        <v>2</v>
      </c>
      <c r="B246" s="31" t="n">
        <v>63</v>
      </c>
      <c r="C246" s="32" t="n">
        <v>-19</v>
      </c>
      <c r="D246" s="33" t="n">
        <v>0.768292682926829</v>
      </c>
      <c r="E246" s="33" t="n">
        <v>0.768292682926829</v>
      </c>
      <c r="F246" s="32" t="s">
        <v>282</v>
      </c>
    </row>
    <row r="247" customFormat="false" ht="15" hidden="false" customHeight="true" outlineLevel="0" collapsed="false">
      <c r="A247" s="30" t="n">
        <v>3</v>
      </c>
      <c r="B247" s="31" t="n">
        <v>58</v>
      </c>
      <c r="C247" s="32" t="n">
        <v>-5</v>
      </c>
      <c r="D247" s="33" t="n">
        <v>0.920634920634921</v>
      </c>
      <c r="E247" s="33" t="n">
        <v>0.707317073170732</v>
      </c>
      <c r="F247" s="32" t="s">
        <v>283</v>
      </c>
    </row>
    <row r="248" customFormat="false" ht="15" hidden="false" customHeight="true" outlineLevel="0" collapsed="false">
      <c r="A248" s="30" t="n">
        <v>4</v>
      </c>
      <c r="B248" s="31" t="n">
        <v>56</v>
      </c>
      <c r="C248" s="32" t="n">
        <v>-2</v>
      </c>
      <c r="D248" s="33" t="n">
        <v>0.96551724137931</v>
      </c>
      <c r="E248" s="33" t="n">
        <v>0.682926829268293</v>
      </c>
      <c r="F248" s="32" t="s">
        <v>283</v>
      </c>
    </row>
    <row r="249" customFormat="false" ht="15" hidden="false" customHeight="true" outlineLevel="0" collapsed="false">
      <c r="A249" s="38" t="n">
        <v>5</v>
      </c>
      <c r="B249" s="66" t="n">
        <v>4</v>
      </c>
      <c r="C249" s="67" t="n">
        <v>-52</v>
      </c>
      <c r="D249" s="68" t="n">
        <v>0.0714285714285714</v>
      </c>
      <c r="E249" s="68" t="n">
        <v>0.0487804878048781</v>
      </c>
      <c r="F249" s="67" t="s">
        <v>284</v>
      </c>
    </row>
    <row r="250" customFormat="false" ht="15" hidden="false" customHeight="true" outlineLevel="0" collapsed="false">
      <c r="A250" s="30" t="n">
        <v>6</v>
      </c>
      <c r="B250" s="31" t="n">
        <v>6</v>
      </c>
      <c r="C250" s="32" t="n">
        <v>2</v>
      </c>
      <c r="D250" s="33" t="n">
        <v>1.5</v>
      </c>
      <c r="E250" s="33" t="n">
        <v>0.0731707317073171</v>
      </c>
      <c r="F250" s="32" t="s">
        <v>284</v>
      </c>
    </row>
    <row r="251" customFormat="false" ht="15" hidden="false" customHeight="true" outlineLevel="0" collapsed="false">
      <c r="A251" s="30" t="n">
        <v>7</v>
      </c>
      <c r="B251" s="31" t="n">
        <v>6</v>
      </c>
      <c r="C251" s="32" t="n">
        <v>0</v>
      </c>
      <c r="D251" s="33" t="n">
        <v>1</v>
      </c>
      <c r="E251" s="33" t="n">
        <v>0.0731707317073171</v>
      </c>
      <c r="F251" s="32" t="s">
        <v>284</v>
      </c>
    </row>
    <row r="252" customFormat="false" ht="15" hidden="false" customHeight="true" outlineLevel="0" collapsed="false">
      <c r="A252" s="30" t="n">
        <v>8</v>
      </c>
      <c r="B252" s="31" t="n">
        <v>3</v>
      </c>
      <c r="C252" s="32" t="n">
        <v>-3</v>
      </c>
      <c r="D252" s="33" t="n">
        <v>0.5</v>
      </c>
      <c r="E252" s="33" t="n">
        <v>0.0365853658536585</v>
      </c>
      <c r="F252" s="32" t="s">
        <v>284</v>
      </c>
    </row>
    <row r="253" customFormat="false" ht="15" hidden="false" customHeight="true" outlineLevel="0" collapsed="false">
      <c r="A253" s="30" t="n">
        <v>9</v>
      </c>
      <c r="B253" s="31" t="n">
        <v>3</v>
      </c>
      <c r="C253" s="32" t="n">
        <v>0</v>
      </c>
      <c r="D253" s="33" t="n">
        <v>1</v>
      </c>
      <c r="E253" s="33" t="n">
        <v>0.0365853658536585</v>
      </c>
      <c r="F253" s="32" t="s">
        <v>284</v>
      </c>
    </row>
    <row r="254" customFormat="false" ht="15" hidden="false" customHeight="true" outlineLevel="0" collapsed="false">
      <c r="A254" s="30" t="n">
        <v>10</v>
      </c>
      <c r="B254" s="31" t="n">
        <v>1</v>
      </c>
      <c r="C254" s="32" t="n">
        <v>-2</v>
      </c>
      <c r="D254" s="33" t="n">
        <v>0.333333333333333</v>
      </c>
      <c r="E254" s="33" t="n">
        <v>0.0121951219512195</v>
      </c>
      <c r="F254" s="32" t="s">
        <v>284</v>
      </c>
    </row>
    <row r="255" customFormat="false" ht="15" hidden="false" customHeight="true" outlineLevel="0" collapsed="false">
      <c r="A255" s="30" t="n">
        <v>11</v>
      </c>
      <c r="B255" s="31" t="n">
        <v>2</v>
      </c>
      <c r="C255" s="32" t="n">
        <v>1</v>
      </c>
      <c r="D255" s="33" t="n">
        <v>2</v>
      </c>
      <c r="E255" s="33" t="n">
        <v>0.024390243902439</v>
      </c>
      <c r="F255" s="32" t="s">
        <v>284</v>
      </c>
    </row>
    <row r="256" customFormat="false" ht="15" hidden="false" customHeight="true" outlineLevel="0" collapsed="false">
      <c r="A256" s="30" t="n">
        <v>12</v>
      </c>
      <c r="B256" s="31" t="n">
        <v>1</v>
      </c>
      <c r="C256" s="32" t="n">
        <v>-1</v>
      </c>
      <c r="D256" s="33" t="n">
        <v>0.5</v>
      </c>
      <c r="E256" s="33" t="n">
        <v>0.0121951219512195</v>
      </c>
      <c r="F256" s="32" t="s">
        <v>284</v>
      </c>
    </row>
    <row r="257" customFormat="false" ht="15" hidden="false" customHeight="true" outlineLevel="0" collapsed="false">
      <c r="A257" s="30" t="n">
        <v>13</v>
      </c>
      <c r="B257" s="31" t="n">
        <v>1</v>
      </c>
      <c r="C257" s="32" t="n">
        <v>0</v>
      </c>
      <c r="D257" s="33" t="n">
        <v>1</v>
      </c>
      <c r="E257" s="33" t="n">
        <v>0.0121951219512195</v>
      </c>
      <c r="F257" s="32" t="s">
        <v>284</v>
      </c>
    </row>
    <row r="258" customFormat="false" ht="15" hidden="false" customHeight="true" outlineLevel="0" collapsed="false">
      <c r="A258" s="34" t="s">
        <v>451</v>
      </c>
      <c r="B258" s="36" t="s">
        <v>464</v>
      </c>
      <c r="C258" s="36" t="n">
        <v>-81</v>
      </c>
      <c r="D258" s="36"/>
      <c r="E258" s="35" t="n">
        <v>0.0121951219512195</v>
      </c>
      <c r="F258" s="36"/>
    </row>
    <row r="260" customFormat="false" ht="25.5" hidden="false" customHeight="true" outlineLevel="0" collapsed="false">
      <c r="A260" s="65" t="s">
        <v>419</v>
      </c>
      <c r="B260" s="65"/>
      <c r="C260" s="65"/>
      <c r="D260" s="65"/>
      <c r="E260" s="65"/>
      <c r="F260" s="65"/>
    </row>
    <row r="261" customFormat="false" ht="15" hidden="false" customHeight="true" outlineLevel="0" collapsed="false">
      <c r="A261" s="29" t="s">
        <v>272</v>
      </c>
      <c r="B261" s="29"/>
      <c r="C261" s="29"/>
      <c r="D261" s="29"/>
      <c r="E261" s="29"/>
      <c r="F261" s="29"/>
    </row>
    <row r="263" customFormat="false" ht="25.5" hidden="false" customHeight="true" outlineLevel="0" collapsed="false">
      <c r="A263" s="65" t="s">
        <v>420</v>
      </c>
      <c r="B263" s="65"/>
      <c r="C263" s="65"/>
      <c r="D263" s="65"/>
      <c r="E263" s="65"/>
      <c r="F263" s="65"/>
    </row>
    <row r="264" customFormat="false" ht="15" hidden="false" customHeight="true" outlineLevel="0" collapsed="false">
      <c r="A264" s="12" t="s">
        <v>275</v>
      </c>
      <c r="B264" s="12" t="s">
        <v>447</v>
      </c>
      <c r="C264" s="12" t="s">
        <v>448</v>
      </c>
      <c r="D264" s="12" t="s">
        <v>278</v>
      </c>
      <c r="E264" s="12" t="s">
        <v>449</v>
      </c>
      <c r="F264" s="12" t="s">
        <v>450</v>
      </c>
    </row>
    <row r="265" customFormat="false" ht="15" hidden="false" customHeight="true" outlineLevel="0" collapsed="false">
      <c r="A265" s="30" t="n">
        <v>1</v>
      </c>
      <c r="B265" s="31" t="n">
        <v>428</v>
      </c>
      <c r="C265" s="32"/>
      <c r="D265" s="32"/>
      <c r="E265" s="33" t="n">
        <v>1</v>
      </c>
      <c r="F265" s="32" t="s">
        <v>282</v>
      </c>
    </row>
    <row r="266" customFormat="false" ht="15" hidden="false" customHeight="true" outlineLevel="0" collapsed="false">
      <c r="A266" s="30" t="n">
        <v>2</v>
      </c>
      <c r="B266" s="31" t="n">
        <v>351</v>
      </c>
      <c r="C266" s="32" t="n">
        <v>-77</v>
      </c>
      <c r="D266" s="33" t="n">
        <v>0.820093457943925</v>
      </c>
      <c r="E266" s="33" t="n">
        <v>0.820093457943925</v>
      </c>
      <c r="F266" s="32" t="s">
        <v>282</v>
      </c>
    </row>
    <row r="267" customFormat="false" ht="15" hidden="false" customHeight="true" outlineLevel="0" collapsed="false">
      <c r="A267" s="30" t="n">
        <v>3</v>
      </c>
      <c r="B267" s="31" t="n">
        <v>314</v>
      </c>
      <c r="C267" s="32" t="n">
        <v>-37</v>
      </c>
      <c r="D267" s="33" t="n">
        <v>0.894586894586895</v>
      </c>
      <c r="E267" s="33" t="n">
        <v>0.733644859813084</v>
      </c>
      <c r="F267" s="32" t="s">
        <v>283</v>
      </c>
    </row>
    <row r="268" customFormat="false" ht="15" hidden="false" customHeight="true" outlineLevel="0" collapsed="false">
      <c r="A268" s="30" t="n">
        <v>4</v>
      </c>
      <c r="B268" s="31" t="n">
        <v>319</v>
      </c>
      <c r="C268" s="32" t="n">
        <v>5</v>
      </c>
      <c r="D268" s="33" t="n">
        <v>1.01592356687898</v>
      </c>
      <c r="E268" s="33" t="n">
        <v>0.745327102803738</v>
      </c>
      <c r="F268" s="32" t="s">
        <v>283</v>
      </c>
    </row>
    <row r="269" customFormat="false" ht="15" hidden="false" customHeight="true" outlineLevel="0" collapsed="false">
      <c r="A269" s="30" t="n">
        <v>5</v>
      </c>
      <c r="B269" s="31" t="n">
        <v>74</v>
      </c>
      <c r="C269" s="32" t="n">
        <v>-245</v>
      </c>
      <c r="D269" s="33" t="n">
        <v>0.231974921630094</v>
      </c>
      <c r="E269" s="33" t="n">
        <v>0.172897196261682</v>
      </c>
      <c r="F269" s="32" t="s">
        <v>283</v>
      </c>
    </row>
    <row r="270" customFormat="false" ht="15" hidden="false" customHeight="true" outlineLevel="0" collapsed="false">
      <c r="A270" s="38" t="n">
        <v>6</v>
      </c>
      <c r="B270" s="66" t="n">
        <v>32</v>
      </c>
      <c r="C270" s="67" t="n">
        <v>-42</v>
      </c>
      <c r="D270" s="68" t="n">
        <v>0.432432432432433</v>
      </c>
      <c r="E270" s="68" t="n">
        <v>0.0747663551401869</v>
      </c>
      <c r="F270" s="67" t="s">
        <v>284</v>
      </c>
    </row>
    <row r="271" customFormat="false" ht="15" hidden="false" customHeight="true" outlineLevel="0" collapsed="false">
      <c r="A271" s="30" t="n">
        <v>7</v>
      </c>
      <c r="B271" s="31" t="n">
        <v>21</v>
      </c>
      <c r="C271" s="32" t="n">
        <v>-11</v>
      </c>
      <c r="D271" s="33" t="n">
        <v>0.65625</v>
      </c>
      <c r="E271" s="33" t="n">
        <v>0.0490654205607477</v>
      </c>
      <c r="F271" s="32" t="s">
        <v>284</v>
      </c>
    </row>
    <row r="272" customFormat="false" ht="15" hidden="false" customHeight="true" outlineLevel="0" collapsed="false">
      <c r="A272" s="30" t="n">
        <v>8</v>
      </c>
      <c r="B272" s="31" t="n">
        <v>16</v>
      </c>
      <c r="C272" s="32" t="n">
        <v>-5</v>
      </c>
      <c r="D272" s="33" t="n">
        <v>0.761904761904762</v>
      </c>
      <c r="E272" s="33" t="n">
        <v>0.0373831775700935</v>
      </c>
      <c r="F272" s="32" t="s">
        <v>284</v>
      </c>
    </row>
    <row r="273" customFormat="false" ht="15" hidden="false" customHeight="true" outlineLevel="0" collapsed="false">
      <c r="A273" s="30" t="n">
        <v>9</v>
      </c>
      <c r="B273" s="31" t="n">
        <v>7</v>
      </c>
      <c r="C273" s="32" t="n">
        <v>-9</v>
      </c>
      <c r="D273" s="33" t="n">
        <v>0.4375</v>
      </c>
      <c r="E273" s="33" t="n">
        <v>0.0163551401869159</v>
      </c>
      <c r="F273" s="32" t="s">
        <v>284</v>
      </c>
    </row>
    <row r="274" customFormat="false" ht="15" hidden="false" customHeight="true" outlineLevel="0" collapsed="false">
      <c r="A274" s="30" t="n">
        <v>10</v>
      </c>
      <c r="B274" s="31" t="n">
        <v>6</v>
      </c>
      <c r="C274" s="32" t="n">
        <v>-1</v>
      </c>
      <c r="D274" s="33" t="n">
        <v>0.857142857142857</v>
      </c>
      <c r="E274" s="33" t="n">
        <v>0.0140186915887851</v>
      </c>
      <c r="F274" s="32" t="s">
        <v>284</v>
      </c>
    </row>
    <row r="275" customFormat="false" ht="15" hidden="false" customHeight="true" outlineLevel="0" collapsed="false">
      <c r="A275" s="30" t="n">
        <v>11</v>
      </c>
      <c r="B275" s="31" t="n">
        <v>2</v>
      </c>
      <c r="C275" s="32" t="n">
        <v>-4</v>
      </c>
      <c r="D275" s="33" t="n">
        <v>0.333333333333333</v>
      </c>
      <c r="E275" s="33" t="n">
        <v>0.00467289719626168</v>
      </c>
      <c r="F275" s="32" t="s">
        <v>284</v>
      </c>
    </row>
    <row r="276" customFormat="false" ht="15" hidden="false" customHeight="true" outlineLevel="0" collapsed="false">
      <c r="A276" s="30" t="n">
        <v>12</v>
      </c>
      <c r="B276" s="31" t="n">
        <v>1</v>
      </c>
      <c r="C276" s="32" t="n">
        <v>-1</v>
      </c>
      <c r="D276" s="33" t="n">
        <v>0.5</v>
      </c>
      <c r="E276" s="33" t="n">
        <v>0.00233644859813084</v>
      </c>
      <c r="F276" s="32" t="s">
        <v>284</v>
      </c>
    </row>
    <row r="277" customFormat="false" ht="15" hidden="false" customHeight="true" outlineLevel="0" collapsed="false">
      <c r="A277" s="30" t="n">
        <v>13</v>
      </c>
      <c r="B277" s="31" t="n">
        <v>1</v>
      </c>
      <c r="C277" s="32" t="n">
        <v>0</v>
      </c>
      <c r="D277" s="33" t="n">
        <v>1</v>
      </c>
      <c r="E277" s="33" t="n">
        <v>0.00233644859813084</v>
      </c>
      <c r="F277" s="32" t="s">
        <v>284</v>
      </c>
    </row>
    <row r="278" customFormat="false" ht="15" hidden="false" customHeight="true" outlineLevel="0" collapsed="false">
      <c r="A278" s="34" t="s">
        <v>451</v>
      </c>
      <c r="B278" s="36" t="s">
        <v>465</v>
      </c>
      <c r="C278" s="36" t="n">
        <v>-427</v>
      </c>
      <c r="D278" s="36"/>
      <c r="E278" s="35" t="n">
        <v>0.00233644859813084</v>
      </c>
      <c r="F278" s="36"/>
    </row>
    <row r="280" customFormat="false" ht="25.5" hidden="false" customHeight="true" outlineLevel="0" collapsed="false">
      <c r="A280" s="65" t="s">
        <v>421</v>
      </c>
      <c r="B280" s="65"/>
      <c r="C280" s="65"/>
      <c r="D280" s="65"/>
      <c r="E280" s="65"/>
      <c r="F280" s="65"/>
    </row>
    <row r="281" customFormat="false" ht="15" hidden="false" customHeight="true" outlineLevel="0" collapsed="false">
      <c r="A281" s="12" t="s">
        <v>275</v>
      </c>
      <c r="B281" s="12" t="s">
        <v>447</v>
      </c>
      <c r="C281" s="12" t="s">
        <v>448</v>
      </c>
      <c r="D281" s="12" t="s">
        <v>278</v>
      </c>
      <c r="E281" s="12" t="s">
        <v>449</v>
      </c>
      <c r="F281" s="12" t="s">
        <v>450</v>
      </c>
    </row>
    <row r="282" customFormat="false" ht="15" hidden="false" customHeight="true" outlineLevel="0" collapsed="false">
      <c r="A282" s="30" t="n">
        <v>1</v>
      </c>
      <c r="B282" s="31" t="n">
        <v>566</v>
      </c>
      <c r="C282" s="32"/>
      <c r="D282" s="32"/>
      <c r="E282" s="33" t="n">
        <v>1</v>
      </c>
      <c r="F282" s="32" t="s">
        <v>282</v>
      </c>
    </row>
    <row r="283" customFormat="false" ht="15" hidden="false" customHeight="true" outlineLevel="0" collapsed="false">
      <c r="A283" s="30" t="n">
        <v>2</v>
      </c>
      <c r="B283" s="31" t="n">
        <v>448</v>
      </c>
      <c r="C283" s="32" t="n">
        <v>-118</v>
      </c>
      <c r="D283" s="33" t="n">
        <v>0.791519434628975</v>
      </c>
      <c r="E283" s="33" t="n">
        <v>0.791519434628975</v>
      </c>
      <c r="F283" s="32" t="s">
        <v>282</v>
      </c>
    </row>
    <row r="284" customFormat="false" ht="15" hidden="false" customHeight="true" outlineLevel="0" collapsed="false">
      <c r="A284" s="30" t="n">
        <v>3</v>
      </c>
      <c r="B284" s="31" t="n">
        <v>384</v>
      </c>
      <c r="C284" s="32" t="n">
        <v>-64</v>
      </c>
      <c r="D284" s="33" t="n">
        <v>0.857142857142857</v>
      </c>
      <c r="E284" s="33" t="n">
        <v>0.678445229681979</v>
      </c>
      <c r="F284" s="32" t="s">
        <v>283</v>
      </c>
    </row>
    <row r="285" customFormat="false" ht="15" hidden="false" customHeight="true" outlineLevel="0" collapsed="false">
      <c r="A285" s="30" t="n">
        <v>4</v>
      </c>
      <c r="B285" s="31" t="n">
        <v>387</v>
      </c>
      <c r="C285" s="32" t="n">
        <v>3</v>
      </c>
      <c r="D285" s="33" t="n">
        <v>1.0078125</v>
      </c>
      <c r="E285" s="33" t="n">
        <v>0.683745583038869</v>
      </c>
      <c r="F285" s="32" t="s">
        <v>283</v>
      </c>
    </row>
    <row r="286" customFormat="false" ht="15" hidden="false" customHeight="true" outlineLevel="0" collapsed="false">
      <c r="A286" s="30" t="n">
        <v>5</v>
      </c>
      <c r="B286" s="31" t="n">
        <v>89</v>
      </c>
      <c r="C286" s="32" t="n">
        <v>-298</v>
      </c>
      <c r="D286" s="33" t="n">
        <v>0.229974160206718</v>
      </c>
      <c r="E286" s="33" t="n">
        <v>0.157243816254417</v>
      </c>
      <c r="F286" s="32" t="s">
        <v>283</v>
      </c>
    </row>
    <row r="287" customFormat="false" ht="15" hidden="false" customHeight="true" outlineLevel="0" collapsed="false">
      <c r="A287" s="38" t="n">
        <v>6</v>
      </c>
      <c r="B287" s="66" t="n">
        <v>44</v>
      </c>
      <c r="C287" s="67" t="n">
        <v>-45</v>
      </c>
      <c r="D287" s="68" t="n">
        <v>0.49438202247191</v>
      </c>
      <c r="E287" s="68" t="n">
        <v>0.0777385159010601</v>
      </c>
      <c r="F287" s="67" t="s">
        <v>284</v>
      </c>
    </row>
    <row r="288" customFormat="false" ht="15" hidden="false" customHeight="true" outlineLevel="0" collapsed="false">
      <c r="A288" s="30" t="n">
        <v>7</v>
      </c>
      <c r="B288" s="31" t="n">
        <v>35</v>
      </c>
      <c r="C288" s="32" t="n">
        <v>-9</v>
      </c>
      <c r="D288" s="33" t="n">
        <v>0.795454545454545</v>
      </c>
      <c r="E288" s="33" t="n">
        <v>0.0618374558303887</v>
      </c>
      <c r="F288" s="32" t="s">
        <v>284</v>
      </c>
    </row>
    <row r="289" customFormat="false" ht="15" hidden="false" customHeight="true" outlineLevel="0" collapsed="false">
      <c r="A289" s="30" t="n">
        <v>8</v>
      </c>
      <c r="B289" s="31" t="n">
        <v>16</v>
      </c>
      <c r="C289" s="32" t="n">
        <v>-19</v>
      </c>
      <c r="D289" s="33" t="n">
        <v>0.457142857142857</v>
      </c>
      <c r="E289" s="33" t="n">
        <v>0.0282685512367491</v>
      </c>
      <c r="F289" s="32" t="s">
        <v>284</v>
      </c>
    </row>
    <row r="290" customFormat="false" ht="15" hidden="false" customHeight="true" outlineLevel="0" collapsed="false">
      <c r="A290" s="30" t="n">
        <v>9</v>
      </c>
      <c r="B290" s="31" t="n">
        <v>7</v>
      </c>
      <c r="C290" s="32" t="n">
        <v>-9</v>
      </c>
      <c r="D290" s="33" t="n">
        <v>0.4375</v>
      </c>
      <c r="E290" s="33" t="n">
        <v>0.0123674911660777</v>
      </c>
      <c r="F290" s="32" t="s">
        <v>284</v>
      </c>
    </row>
    <row r="291" customFormat="false" ht="15" hidden="false" customHeight="true" outlineLevel="0" collapsed="false">
      <c r="A291" s="30" t="n">
        <v>10</v>
      </c>
      <c r="B291" s="31" t="n">
        <v>7</v>
      </c>
      <c r="C291" s="32" t="n">
        <v>0</v>
      </c>
      <c r="D291" s="33" t="n">
        <v>1</v>
      </c>
      <c r="E291" s="33" t="n">
        <v>0.0123674911660777</v>
      </c>
      <c r="F291" s="32" t="s">
        <v>284</v>
      </c>
    </row>
    <row r="292" customFormat="false" ht="15" hidden="false" customHeight="true" outlineLevel="0" collapsed="false">
      <c r="A292" s="30" t="n">
        <v>11</v>
      </c>
      <c r="B292" s="31" t="n">
        <v>6</v>
      </c>
      <c r="C292" s="32" t="n">
        <v>-1</v>
      </c>
      <c r="D292" s="33" t="n">
        <v>0.857142857142857</v>
      </c>
      <c r="E292" s="33" t="n">
        <v>0.0106007067137809</v>
      </c>
      <c r="F292" s="32" t="s">
        <v>284</v>
      </c>
    </row>
    <row r="293" customFormat="false" ht="15" hidden="false" customHeight="true" outlineLevel="0" collapsed="false">
      <c r="A293" s="30" t="n">
        <v>12</v>
      </c>
      <c r="B293" s="31" t="n">
        <v>3</v>
      </c>
      <c r="C293" s="32" t="n">
        <v>-3</v>
      </c>
      <c r="D293" s="33" t="n">
        <v>0.5</v>
      </c>
      <c r="E293" s="33" t="n">
        <v>0.00530035335689046</v>
      </c>
      <c r="F293" s="32" t="s">
        <v>284</v>
      </c>
    </row>
    <row r="294" customFormat="false" ht="15" hidden="false" customHeight="true" outlineLevel="0" collapsed="false">
      <c r="A294" s="30" t="n">
        <v>13</v>
      </c>
      <c r="B294" s="31" t="n">
        <v>2</v>
      </c>
      <c r="C294" s="32" t="n">
        <v>-1</v>
      </c>
      <c r="D294" s="33" t="n">
        <v>0.666666666666667</v>
      </c>
      <c r="E294" s="33" t="n">
        <v>0.00353356890459364</v>
      </c>
      <c r="F294" s="32" t="s">
        <v>284</v>
      </c>
    </row>
    <row r="295" customFormat="false" ht="15" hidden="false" customHeight="true" outlineLevel="0" collapsed="false">
      <c r="A295" s="30" t="n">
        <v>14</v>
      </c>
      <c r="B295" s="31" t="n">
        <v>2</v>
      </c>
      <c r="C295" s="32" t="n">
        <v>0</v>
      </c>
      <c r="D295" s="33" t="n">
        <v>1</v>
      </c>
      <c r="E295" s="33" t="n">
        <v>0.00353356890459364</v>
      </c>
      <c r="F295" s="32" t="s">
        <v>284</v>
      </c>
    </row>
    <row r="296" customFormat="false" ht="15" hidden="false" customHeight="true" outlineLevel="0" collapsed="false">
      <c r="A296" s="30" t="n">
        <v>15</v>
      </c>
      <c r="B296" s="31" t="n">
        <v>1</v>
      </c>
      <c r="C296" s="32" t="n">
        <v>-1</v>
      </c>
      <c r="D296" s="33" t="n">
        <v>0.5</v>
      </c>
      <c r="E296" s="33" t="n">
        <v>0.00176678445229682</v>
      </c>
      <c r="F296" s="32" t="s">
        <v>284</v>
      </c>
    </row>
    <row r="297" customFormat="false" ht="15" hidden="false" customHeight="true" outlineLevel="0" collapsed="false">
      <c r="A297" s="30" t="n">
        <v>16</v>
      </c>
      <c r="B297" s="31" t="n">
        <v>1</v>
      </c>
      <c r="C297" s="32" t="n">
        <v>0</v>
      </c>
      <c r="D297" s="33" t="n">
        <v>1</v>
      </c>
      <c r="E297" s="33" t="n">
        <v>0.00176678445229682</v>
      </c>
      <c r="F297" s="32" t="s">
        <v>284</v>
      </c>
    </row>
    <row r="298" customFormat="false" ht="15" hidden="false" customHeight="true" outlineLevel="0" collapsed="false">
      <c r="A298" s="30" t="n">
        <v>17</v>
      </c>
      <c r="B298" s="31" t="n">
        <v>2</v>
      </c>
      <c r="C298" s="32" t="n">
        <v>1</v>
      </c>
      <c r="D298" s="33" t="n">
        <v>2</v>
      </c>
      <c r="E298" s="33" t="n">
        <v>0.00353356890459364</v>
      </c>
      <c r="F298" s="32" t="s">
        <v>284</v>
      </c>
    </row>
    <row r="299" customFormat="false" ht="15" hidden="false" customHeight="true" outlineLevel="0" collapsed="false">
      <c r="A299" s="30" t="n">
        <v>18</v>
      </c>
      <c r="B299" s="31" t="n">
        <v>1</v>
      </c>
      <c r="C299" s="32" t="n">
        <v>-1</v>
      </c>
      <c r="D299" s="33" t="n">
        <v>0.5</v>
      </c>
      <c r="E299" s="33" t="n">
        <v>0.00176678445229682</v>
      </c>
      <c r="F299" s="32" t="s">
        <v>284</v>
      </c>
    </row>
    <row r="300" customFormat="false" ht="15" hidden="false" customHeight="true" outlineLevel="0" collapsed="false">
      <c r="A300" s="34" t="s">
        <v>451</v>
      </c>
      <c r="B300" s="36" t="s">
        <v>466</v>
      </c>
      <c r="C300" s="36" t="n">
        <v>-565</v>
      </c>
      <c r="D300" s="36"/>
      <c r="E300" s="35" t="n">
        <v>0.00176678445229682</v>
      </c>
      <c r="F300" s="36"/>
    </row>
    <row r="302" customFormat="false" ht="25.5" hidden="false" customHeight="true" outlineLevel="0" collapsed="false">
      <c r="A302" s="65" t="s">
        <v>422</v>
      </c>
      <c r="B302" s="65"/>
      <c r="C302" s="65"/>
      <c r="D302" s="65"/>
      <c r="E302" s="65"/>
      <c r="F302" s="65"/>
    </row>
    <row r="303" customFormat="false" ht="15" hidden="false" customHeight="true" outlineLevel="0" collapsed="false">
      <c r="A303" s="12" t="s">
        <v>275</v>
      </c>
      <c r="B303" s="12" t="s">
        <v>447</v>
      </c>
      <c r="C303" s="12" t="s">
        <v>448</v>
      </c>
      <c r="D303" s="12" t="s">
        <v>278</v>
      </c>
      <c r="E303" s="12" t="s">
        <v>449</v>
      </c>
      <c r="F303" s="12" t="s">
        <v>450</v>
      </c>
    </row>
    <row r="304" customFormat="false" ht="15" hidden="false" customHeight="true" outlineLevel="0" collapsed="false">
      <c r="A304" s="30" t="n">
        <v>1</v>
      </c>
      <c r="B304" s="31" t="n">
        <v>68</v>
      </c>
      <c r="C304" s="32"/>
      <c r="D304" s="32"/>
      <c r="E304" s="33" t="n">
        <v>1</v>
      </c>
      <c r="F304" s="32" t="s">
        <v>282</v>
      </c>
    </row>
    <row r="305" customFormat="false" ht="15" hidden="false" customHeight="true" outlineLevel="0" collapsed="false">
      <c r="A305" s="30" t="n">
        <v>2</v>
      </c>
      <c r="B305" s="31" t="n">
        <v>52</v>
      </c>
      <c r="C305" s="32" t="n">
        <v>-16</v>
      </c>
      <c r="D305" s="33" t="n">
        <v>0.764705882352941</v>
      </c>
      <c r="E305" s="33" t="n">
        <v>0.764705882352941</v>
      </c>
      <c r="F305" s="32" t="s">
        <v>282</v>
      </c>
    </row>
    <row r="306" customFormat="false" ht="15" hidden="false" customHeight="true" outlineLevel="0" collapsed="false">
      <c r="A306" s="30" t="n">
        <v>3</v>
      </c>
      <c r="B306" s="31" t="n">
        <v>48</v>
      </c>
      <c r="C306" s="32" t="n">
        <v>-4</v>
      </c>
      <c r="D306" s="33" t="n">
        <v>0.923076923076923</v>
      </c>
      <c r="E306" s="33" t="n">
        <v>0.705882352941177</v>
      </c>
      <c r="F306" s="32" t="s">
        <v>283</v>
      </c>
    </row>
    <row r="307" customFormat="false" ht="15" hidden="false" customHeight="true" outlineLevel="0" collapsed="false">
      <c r="A307" s="30" t="n">
        <v>4</v>
      </c>
      <c r="B307" s="31" t="n">
        <v>48</v>
      </c>
      <c r="C307" s="32" t="n">
        <v>0</v>
      </c>
      <c r="D307" s="33" t="n">
        <v>1</v>
      </c>
      <c r="E307" s="33" t="n">
        <v>0.705882352941177</v>
      </c>
      <c r="F307" s="32" t="s">
        <v>283</v>
      </c>
    </row>
    <row r="308" customFormat="false" ht="15" hidden="false" customHeight="true" outlineLevel="0" collapsed="false">
      <c r="A308" s="30" t="n">
        <v>5</v>
      </c>
      <c r="B308" s="31" t="n">
        <v>11</v>
      </c>
      <c r="C308" s="32" t="n">
        <v>-37</v>
      </c>
      <c r="D308" s="33" t="n">
        <v>0.229166666666667</v>
      </c>
      <c r="E308" s="33" t="n">
        <v>0.161764705882353</v>
      </c>
      <c r="F308" s="32" t="s">
        <v>283</v>
      </c>
    </row>
    <row r="309" customFormat="false" ht="15" hidden="false" customHeight="true" outlineLevel="0" collapsed="false">
      <c r="A309" s="38" t="n">
        <v>6</v>
      </c>
      <c r="B309" s="66" t="n">
        <v>5</v>
      </c>
      <c r="C309" s="67" t="n">
        <v>-6</v>
      </c>
      <c r="D309" s="68" t="n">
        <v>0.454545454545455</v>
      </c>
      <c r="E309" s="68" t="n">
        <v>0.0735294117647059</v>
      </c>
      <c r="F309" s="67" t="s">
        <v>284</v>
      </c>
    </row>
    <row r="310" customFormat="false" ht="15" hidden="false" customHeight="true" outlineLevel="0" collapsed="false">
      <c r="A310" s="30" t="n">
        <v>7</v>
      </c>
      <c r="B310" s="31" t="n">
        <v>5</v>
      </c>
      <c r="C310" s="32" t="n">
        <v>0</v>
      </c>
      <c r="D310" s="33" t="n">
        <v>1</v>
      </c>
      <c r="E310" s="33" t="n">
        <v>0.0735294117647059</v>
      </c>
      <c r="F310" s="32" t="s">
        <v>284</v>
      </c>
    </row>
    <row r="311" customFormat="false" ht="15" hidden="false" customHeight="true" outlineLevel="0" collapsed="false">
      <c r="A311" s="30" t="n">
        <v>8</v>
      </c>
      <c r="B311" s="31" t="n">
        <v>2</v>
      </c>
      <c r="C311" s="32" t="n">
        <v>-3</v>
      </c>
      <c r="D311" s="33" t="n">
        <v>0.4</v>
      </c>
      <c r="E311" s="33" t="n">
        <v>0.0294117647058824</v>
      </c>
      <c r="F311" s="32" t="s">
        <v>284</v>
      </c>
    </row>
    <row r="312" customFormat="false" ht="15" hidden="false" customHeight="true" outlineLevel="0" collapsed="false">
      <c r="A312" s="30" t="n">
        <v>9</v>
      </c>
      <c r="B312" s="31" t="n">
        <v>1</v>
      </c>
      <c r="C312" s="32" t="n">
        <v>-1</v>
      </c>
      <c r="D312" s="33" t="n">
        <v>0.5</v>
      </c>
      <c r="E312" s="33" t="n">
        <v>0.0147058823529412</v>
      </c>
      <c r="F312" s="32" t="s">
        <v>284</v>
      </c>
    </row>
    <row r="313" customFormat="false" ht="15" hidden="false" customHeight="true" outlineLevel="0" collapsed="false">
      <c r="A313" s="30" t="n">
        <v>10</v>
      </c>
      <c r="B313" s="31" t="n">
        <v>1</v>
      </c>
      <c r="C313" s="32" t="n">
        <v>0</v>
      </c>
      <c r="D313" s="33" t="n">
        <v>1</v>
      </c>
      <c r="E313" s="33" t="n">
        <v>0.0147058823529412</v>
      </c>
      <c r="F313" s="32" t="s">
        <v>284</v>
      </c>
    </row>
    <row r="314" customFormat="false" ht="15" hidden="false" customHeight="true" outlineLevel="0" collapsed="false">
      <c r="A314" s="34" t="s">
        <v>451</v>
      </c>
      <c r="B314" s="36" t="s">
        <v>467</v>
      </c>
      <c r="C314" s="36" t="n">
        <v>-67</v>
      </c>
      <c r="D314" s="36"/>
      <c r="E314" s="35" t="n">
        <v>0.0147058823529412</v>
      </c>
      <c r="F314" s="36"/>
    </row>
    <row r="316" customFormat="false" ht="25.5" hidden="false" customHeight="true" outlineLevel="0" collapsed="false">
      <c r="A316" s="65" t="s">
        <v>423</v>
      </c>
      <c r="B316" s="65"/>
      <c r="C316" s="65"/>
      <c r="D316" s="65"/>
      <c r="E316" s="65"/>
      <c r="F316" s="65"/>
    </row>
    <row r="317" customFormat="false" ht="15" hidden="false" customHeight="true" outlineLevel="0" collapsed="false">
      <c r="A317" s="29" t="s">
        <v>272</v>
      </c>
      <c r="B317" s="29"/>
      <c r="C317" s="29"/>
      <c r="D317" s="29"/>
      <c r="E317" s="29"/>
      <c r="F317" s="29"/>
    </row>
    <row r="319" customFormat="false" ht="25.5" hidden="false" customHeight="true" outlineLevel="0" collapsed="false">
      <c r="A319" s="65" t="s">
        <v>424</v>
      </c>
      <c r="B319" s="65"/>
      <c r="C319" s="65"/>
      <c r="D319" s="65"/>
      <c r="E319" s="65"/>
      <c r="F319" s="65"/>
    </row>
    <row r="320" customFormat="false" ht="15" hidden="false" customHeight="true" outlineLevel="0" collapsed="false">
      <c r="A320" s="12" t="s">
        <v>275</v>
      </c>
      <c r="B320" s="12" t="s">
        <v>447</v>
      </c>
      <c r="C320" s="12" t="s">
        <v>448</v>
      </c>
      <c r="D320" s="12" t="s">
        <v>278</v>
      </c>
      <c r="E320" s="12" t="s">
        <v>449</v>
      </c>
      <c r="F320" s="12" t="s">
        <v>450</v>
      </c>
    </row>
    <row r="321" customFormat="false" ht="15" hidden="false" customHeight="true" outlineLevel="0" collapsed="false">
      <c r="A321" s="30" t="n">
        <v>1</v>
      </c>
      <c r="B321" s="31" t="n">
        <v>49</v>
      </c>
      <c r="C321" s="32"/>
      <c r="D321" s="32"/>
      <c r="E321" s="33" t="n">
        <v>1</v>
      </c>
      <c r="F321" s="32" t="s">
        <v>282</v>
      </c>
    </row>
    <row r="322" customFormat="false" ht="15" hidden="false" customHeight="true" outlineLevel="0" collapsed="false">
      <c r="A322" s="30" t="n">
        <v>2</v>
      </c>
      <c r="B322" s="31" t="n">
        <v>27</v>
      </c>
      <c r="C322" s="32" t="n">
        <v>-22</v>
      </c>
      <c r="D322" s="33" t="n">
        <v>0.551020408163265</v>
      </c>
      <c r="E322" s="33" t="n">
        <v>0.551020408163265</v>
      </c>
      <c r="F322" s="32" t="s">
        <v>282</v>
      </c>
    </row>
    <row r="323" customFormat="false" ht="15" hidden="false" customHeight="true" outlineLevel="0" collapsed="false">
      <c r="A323" s="30" t="n">
        <v>3</v>
      </c>
      <c r="B323" s="31" t="n">
        <v>21</v>
      </c>
      <c r="C323" s="32" t="n">
        <v>-6</v>
      </c>
      <c r="D323" s="33" t="n">
        <v>0.777777777777778</v>
      </c>
      <c r="E323" s="33" t="n">
        <v>0.428571428571429</v>
      </c>
      <c r="F323" s="32" t="s">
        <v>283</v>
      </c>
    </row>
    <row r="324" customFormat="false" ht="15" hidden="false" customHeight="true" outlineLevel="0" collapsed="false">
      <c r="A324" s="30" t="n">
        <v>4</v>
      </c>
      <c r="B324" s="31" t="n">
        <v>21</v>
      </c>
      <c r="C324" s="32" t="n">
        <v>0</v>
      </c>
      <c r="D324" s="33" t="n">
        <v>1</v>
      </c>
      <c r="E324" s="33" t="n">
        <v>0.428571428571429</v>
      </c>
      <c r="F324" s="32" t="s">
        <v>283</v>
      </c>
    </row>
    <row r="325" customFormat="false" ht="15" hidden="false" customHeight="true" outlineLevel="0" collapsed="false">
      <c r="A325" s="30" t="n">
        <v>5</v>
      </c>
      <c r="B325" s="31" t="n">
        <v>19</v>
      </c>
      <c r="C325" s="32" t="n">
        <v>-2</v>
      </c>
      <c r="D325" s="33" t="n">
        <v>0.904761904761905</v>
      </c>
      <c r="E325" s="33" t="n">
        <v>0.387755102040816</v>
      </c>
      <c r="F325" s="32" t="s">
        <v>283</v>
      </c>
    </row>
    <row r="326" customFormat="false" ht="15" hidden="false" customHeight="true" outlineLevel="0" collapsed="false">
      <c r="A326" s="30" t="n">
        <v>6</v>
      </c>
      <c r="B326" s="31" t="n">
        <v>6</v>
      </c>
      <c r="C326" s="32" t="n">
        <v>-13</v>
      </c>
      <c r="D326" s="33" t="n">
        <v>0.315789473684211</v>
      </c>
      <c r="E326" s="33" t="n">
        <v>0.122448979591837</v>
      </c>
      <c r="F326" s="32" t="s">
        <v>283</v>
      </c>
    </row>
    <row r="327" customFormat="false" ht="15" hidden="false" customHeight="true" outlineLevel="0" collapsed="false">
      <c r="A327" s="30" t="n">
        <v>7</v>
      </c>
      <c r="B327" s="31" t="n">
        <v>6</v>
      </c>
      <c r="C327" s="32" t="n">
        <v>0</v>
      </c>
      <c r="D327" s="33" t="n">
        <v>1</v>
      </c>
      <c r="E327" s="33" t="n">
        <v>0.122448979591837</v>
      </c>
      <c r="F327" s="32" t="s">
        <v>283</v>
      </c>
    </row>
    <row r="328" customFormat="false" ht="15" hidden="false" customHeight="true" outlineLevel="0" collapsed="false">
      <c r="A328" s="38" t="n">
        <v>8</v>
      </c>
      <c r="B328" s="66" t="n">
        <v>2</v>
      </c>
      <c r="C328" s="67" t="n">
        <v>-4</v>
      </c>
      <c r="D328" s="68" t="n">
        <v>0.333333333333333</v>
      </c>
      <c r="E328" s="68" t="n">
        <v>0.0408163265306122</v>
      </c>
      <c r="F328" s="67" t="s">
        <v>284</v>
      </c>
    </row>
    <row r="329" customFormat="false" ht="15" hidden="false" customHeight="true" outlineLevel="0" collapsed="false">
      <c r="A329" s="30" t="n">
        <v>9</v>
      </c>
      <c r="B329" s="31" t="n">
        <v>2</v>
      </c>
      <c r="C329" s="32" t="n">
        <v>0</v>
      </c>
      <c r="D329" s="33" t="n">
        <v>1</v>
      </c>
      <c r="E329" s="33" t="n">
        <v>0.0408163265306122</v>
      </c>
      <c r="F329" s="32" t="s">
        <v>284</v>
      </c>
    </row>
    <row r="330" customFormat="false" ht="15" hidden="false" customHeight="true" outlineLevel="0" collapsed="false">
      <c r="A330" s="34" t="s">
        <v>451</v>
      </c>
      <c r="B330" s="36" t="s">
        <v>468</v>
      </c>
      <c r="C330" s="36" t="n">
        <v>-47</v>
      </c>
      <c r="D330" s="36"/>
      <c r="E330" s="35" t="n">
        <v>0.0408163265306122</v>
      </c>
      <c r="F330" s="36"/>
    </row>
    <row r="332" customFormat="false" ht="25.5" hidden="false" customHeight="true" outlineLevel="0" collapsed="false">
      <c r="A332" s="65" t="s">
        <v>425</v>
      </c>
      <c r="B332" s="65"/>
      <c r="C332" s="65"/>
      <c r="D332" s="65"/>
      <c r="E332" s="65"/>
      <c r="F332" s="65"/>
    </row>
    <row r="333" customFormat="false" ht="15" hidden="false" customHeight="true" outlineLevel="0" collapsed="false">
      <c r="A333" s="12" t="s">
        <v>275</v>
      </c>
      <c r="B333" s="12" t="s">
        <v>447</v>
      </c>
      <c r="C333" s="12" t="s">
        <v>448</v>
      </c>
      <c r="D333" s="12" t="s">
        <v>278</v>
      </c>
      <c r="E333" s="12" t="s">
        <v>449</v>
      </c>
      <c r="F333" s="12" t="s">
        <v>450</v>
      </c>
    </row>
    <row r="334" customFormat="false" ht="15" hidden="false" customHeight="true" outlineLevel="0" collapsed="false">
      <c r="A334" s="30" t="n">
        <v>1</v>
      </c>
      <c r="B334" s="31" t="n">
        <v>77</v>
      </c>
      <c r="C334" s="32"/>
      <c r="D334" s="32"/>
      <c r="E334" s="33" t="n">
        <v>1</v>
      </c>
      <c r="F334" s="32" t="s">
        <v>282</v>
      </c>
    </row>
    <row r="335" customFormat="false" ht="15" hidden="false" customHeight="true" outlineLevel="0" collapsed="false">
      <c r="A335" s="30" t="n">
        <v>2</v>
      </c>
      <c r="B335" s="31" t="n">
        <v>57</v>
      </c>
      <c r="C335" s="32" t="n">
        <v>-20</v>
      </c>
      <c r="D335" s="33" t="n">
        <v>0.74025974025974</v>
      </c>
      <c r="E335" s="33" t="n">
        <v>0.74025974025974</v>
      </c>
      <c r="F335" s="32" t="s">
        <v>282</v>
      </c>
    </row>
    <row r="336" customFormat="false" ht="15" hidden="false" customHeight="true" outlineLevel="0" collapsed="false">
      <c r="A336" s="30" t="n">
        <v>3</v>
      </c>
      <c r="B336" s="31" t="n">
        <v>47</v>
      </c>
      <c r="C336" s="32" t="n">
        <v>-10</v>
      </c>
      <c r="D336" s="33" t="n">
        <v>0.824561403508772</v>
      </c>
      <c r="E336" s="33" t="n">
        <v>0.61038961038961</v>
      </c>
      <c r="F336" s="32" t="s">
        <v>283</v>
      </c>
    </row>
    <row r="337" customFormat="false" ht="15" hidden="false" customHeight="true" outlineLevel="0" collapsed="false">
      <c r="A337" s="30" t="n">
        <v>4</v>
      </c>
      <c r="B337" s="31" t="n">
        <v>49</v>
      </c>
      <c r="C337" s="32" t="n">
        <v>2</v>
      </c>
      <c r="D337" s="33" t="n">
        <v>1.04255319148936</v>
      </c>
      <c r="E337" s="33" t="n">
        <v>0.636363636363636</v>
      </c>
      <c r="F337" s="32" t="s">
        <v>283</v>
      </c>
    </row>
    <row r="338" customFormat="false" ht="15" hidden="false" customHeight="true" outlineLevel="0" collapsed="false">
      <c r="A338" s="30" t="n">
        <v>5</v>
      </c>
      <c r="B338" s="31" t="n">
        <v>13</v>
      </c>
      <c r="C338" s="32" t="n">
        <v>-36</v>
      </c>
      <c r="D338" s="33" t="n">
        <v>0.26530612244898</v>
      </c>
      <c r="E338" s="33" t="n">
        <v>0.168831168831169</v>
      </c>
      <c r="F338" s="32" t="s">
        <v>283</v>
      </c>
    </row>
    <row r="339" customFormat="false" ht="15" hidden="false" customHeight="true" outlineLevel="0" collapsed="false">
      <c r="A339" s="38" t="n">
        <v>6</v>
      </c>
      <c r="B339" s="66" t="n">
        <v>6</v>
      </c>
      <c r="C339" s="67" t="n">
        <v>-7</v>
      </c>
      <c r="D339" s="68" t="n">
        <v>0.461538461538462</v>
      </c>
      <c r="E339" s="68" t="n">
        <v>0.0779220779220779</v>
      </c>
      <c r="F339" s="67" t="s">
        <v>284</v>
      </c>
    </row>
    <row r="340" customFormat="false" ht="15" hidden="false" customHeight="true" outlineLevel="0" collapsed="false">
      <c r="A340" s="30" t="n">
        <v>7</v>
      </c>
      <c r="B340" s="31" t="n">
        <v>5</v>
      </c>
      <c r="C340" s="32" t="n">
        <v>-1</v>
      </c>
      <c r="D340" s="33" t="n">
        <v>0.833333333333333</v>
      </c>
      <c r="E340" s="33" t="n">
        <v>0.0649350649350649</v>
      </c>
      <c r="F340" s="32" t="s">
        <v>284</v>
      </c>
    </row>
    <row r="341" customFormat="false" ht="15" hidden="false" customHeight="true" outlineLevel="0" collapsed="false">
      <c r="A341" s="30" t="n">
        <v>8</v>
      </c>
      <c r="B341" s="31" t="n">
        <v>5</v>
      </c>
      <c r="C341" s="32" t="n">
        <v>0</v>
      </c>
      <c r="D341" s="33" t="n">
        <v>1</v>
      </c>
      <c r="E341" s="33" t="n">
        <v>0.0649350649350649</v>
      </c>
      <c r="F341" s="32" t="s">
        <v>284</v>
      </c>
    </row>
    <row r="342" customFormat="false" ht="15" hidden="false" customHeight="true" outlineLevel="0" collapsed="false">
      <c r="A342" s="30" t="n">
        <v>9</v>
      </c>
      <c r="B342" s="31" t="n">
        <v>4</v>
      </c>
      <c r="C342" s="32" t="n">
        <v>-1</v>
      </c>
      <c r="D342" s="33" t="n">
        <v>0.8</v>
      </c>
      <c r="E342" s="33" t="n">
        <v>0.051948051948052</v>
      </c>
      <c r="F342" s="32" t="s">
        <v>284</v>
      </c>
    </row>
    <row r="343" customFormat="false" ht="15" hidden="false" customHeight="true" outlineLevel="0" collapsed="false">
      <c r="A343" s="30" t="n">
        <v>10</v>
      </c>
      <c r="B343" s="31" t="n">
        <v>1</v>
      </c>
      <c r="C343" s="32" t="n">
        <v>-3</v>
      </c>
      <c r="D343" s="33" t="n">
        <v>0.25</v>
      </c>
      <c r="E343" s="33" t="n">
        <v>0.012987012987013</v>
      </c>
      <c r="F343" s="32" t="s">
        <v>284</v>
      </c>
    </row>
    <row r="344" customFormat="false" ht="15" hidden="false" customHeight="true" outlineLevel="0" collapsed="false">
      <c r="A344" s="34" t="s">
        <v>451</v>
      </c>
      <c r="B344" s="36" t="s">
        <v>469</v>
      </c>
      <c r="C344" s="36" t="n">
        <v>-76</v>
      </c>
      <c r="D344" s="36"/>
      <c r="E344" s="35" t="n">
        <v>0.012987012987013</v>
      </c>
      <c r="F344" s="36"/>
    </row>
    <row r="346" customFormat="false" ht="25.5" hidden="false" customHeight="true" outlineLevel="0" collapsed="false">
      <c r="A346" s="65" t="s">
        <v>426</v>
      </c>
      <c r="B346" s="65"/>
      <c r="C346" s="65"/>
      <c r="D346" s="65"/>
      <c r="E346" s="65"/>
      <c r="F346" s="65"/>
    </row>
    <row r="347" customFormat="false" ht="15" hidden="false" customHeight="true" outlineLevel="0" collapsed="false">
      <c r="A347" s="12" t="s">
        <v>275</v>
      </c>
      <c r="B347" s="12" t="s">
        <v>447</v>
      </c>
      <c r="C347" s="12" t="s">
        <v>448</v>
      </c>
      <c r="D347" s="12" t="s">
        <v>278</v>
      </c>
      <c r="E347" s="12" t="s">
        <v>449</v>
      </c>
      <c r="F347" s="12" t="s">
        <v>450</v>
      </c>
    </row>
    <row r="348" customFormat="false" ht="15" hidden="false" customHeight="true" outlineLevel="0" collapsed="false">
      <c r="A348" s="30" t="n">
        <v>1</v>
      </c>
      <c r="B348" s="31" t="n">
        <v>145</v>
      </c>
      <c r="C348" s="32"/>
      <c r="D348" s="32"/>
      <c r="E348" s="33" t="n">
        <v>1</v>
      </c>
      <c r="F348" s="32" t="s">
        <v>282</v>
      </c>
    </row>
    <row r="349" customFormat="false" ht="15" hidden="false" customHeight="true" outlineLevel="0" collapsed="false">
      <c r="A349" s="30" t="n">
        <v>2</v>
      </c>
      <c r="B349" s="31" t="n">
        <v>121</v>
      </c>
      <c r="C349" s="32" t="n">
        <v>-24</v>
      </c>
      <c r="D349" s="33" t="n">
        <v>0.83448275862069</v>
      </c>
      <c r="E349" s="33" t="n">
        <v>0.83448275862069</v>
      </c>
      <c r="F349" s="32" t="s">
        <v>282</v>
      </c>
    </row>
    <row r="350" customFormat="false" ht="15" hidden="false" customHeight="true" outlineLevel="0" collapsed="false">
      <c r="A350" s="30" t="n">
        <v>3</v>
      </c>
      <c r="B350" s="31" t="n">
        <v>121</v>
      </c>
      <c r="C350" s="32" t="n">
        <v>0</v>
      </c>
      <c r="D350" s="33" t="n">
        <v>1</v>
      </c>
      <c r="E350" s="33" t="n">
        <v>0.83448275862069</v>
      </c>
      <c r="F350" s="32" t="s">
        <v>283</v>
      </c>
    </row>
    <row r="351" customFormat="false" ht="15" hidden="false" customHeight="true" outlineLevel="0" collapsed="false">
      <c r="A351" s="30" t="n">
        <v>4</v>
      </c>
      <c r="B351" s="31" t="n">
        <v>111</v>
      </c>
      <c r="C351" s="32" t="n">
        <v>-10</v>
      </c>
      <c r="D351" s="33" t="n">
        <v>0.917355371900827</v>
      </c>
      <c r="E351" s="33" t="n">
        <v>0.76551724137931</v>
      </c>
      <c r="F351" s="32" t="s">
        <v>283</v>
      </c>
    </row>
    <row r="352" customFormat="false" ht="15" hidden="false" customHeight="true" outlineLevel="0" collapsed="false">
      <c r="A352" s="30" t="n">
        <v>5</v>
      </c>
      <c r="B352" s="31" t="n">
        <v>80</v>
      </c>
      <c r="C352" s="32" t="n">
        <v>-31</v>
      </c>
      <c r="D352" s="33" t="n">
        <v>0.720720720720721</v>
      </c>
      <c r="E352" s="33" t="n">
        <v>0.551724137931035</v>
      </c>
      <c r="F352" s="32" t="s">
        <v>283</v>
      </c>
    </row>
    <row r="353" customFormat="false" ht="15" hidden="false" customHeight="true" outlineLevel="0" collapsed="false">
      <c r="A353" s="30" t="n">
        <v>6</v>
      </c>
      <c r="B353" s="31" t="n">
        <v>43</v>
      </c>
      <c r="C353" s="32" t="n">
        <v>-37</v>
      </c>
      <c r="D353" s="33" t="n">
        <v>0.5375</v>
      </c>
      <c r="E353" s="33" t="n">
        <v>0.296551724137931</v>
      </c>
      <c r="F353" s="32" t="s">
        <v>283</v>
      </c>
    </row>
    <row r="354" customFormat="false" ht="15" hidden="false" customHeight="true" outlineLevel="0" collapsed="false">
      <c r="A354" s="38" t="n">
        <v>7</v>
      </c>
      <c r="B354" s="66" t="n">
        <v>18</v>
      </c>
      <c r="C354" s="67" t="n">
        <v>-25</v>
      </c>
      <c r="D354" s="68" t="n">
        <v>0.418604651162791</v>
      </c>
      <c r="E354" s="68" t="n">
        <v>0.124137931034483</v>
      </c>
      <c r="F354" s="67" t="s">
        <v>284</v>
      </c>
    </row>
    <row r="355" customFormat="false" ht="15" hidden="false" customHeight="true" outlineLevel="0" collapsed="false">
      <c r="A355" s="30" t="n">
        <v>8</v>
      </c>
      <c r="B355" s="31" t="n">
        <v>17</v>
      </c>
      <c r="C355" s="32" t="n">
        <v>-1</v>
      </c>
      <c r="D355" s="33" t="n">
        <v>0.944444444444444</v>
      </c>
      <c r="E355" s="33" t="n">
        <v>0.117241379310345</v>
      </c>
      <c r="F355" s="32" t="s">
        <v>284</v>
      </c>
    </row>
    <row r="356" customFormat="false" ht="15" hidden="false" customHeight="true" outlineLevel="0" collapsed="false">
      <c r="A356" s="30" t="n">
        <v>9</v>
      </c>
      <c r="B356" s="31" t="n">
        <v>8</v>
      </c>
      <c r="C356" s="32" t="n">
        <v>-9</v>
      </c>
      <c r="D356" s="33" t="n">
        <v>0.470588235294118</v>
      </c>
      <c r="E356" s="33" t="n">
        <v>0.0551724137931035</v>
      </c>
      <c r="F356" s="32" t="s">
        <v>284</v>
      </c>
    </row>
    <row r="357" customFormat="false" ht="15" hidden="false" customHeight="true" outlineLevel="0" collapsed="false">
      <c r="A357" s="30" t="n">
        <v>10</v>
      </c>
      <c r="B357" s="31" t="n">
        <v>5</v>
      </c>
      <c r="C357" s="32" t="n">
        <v>-3</v>
      </c>
      <c r="D357" s="33" t="n">
        <v>0.625</v>
      </c>
      <c r="E357" s="33" t="n">
        <v>0.0344827586206897</v>
      </c>
      <c r="F357" s="32" t="s">
        <v>284</v>
      </c>
    </row>
    <row r="358" customFormat="false" ht="15" hidden="false" customHeight="true" outlineLevel="0" collapsed="false">
      <c r="A358" s="30" t="n">
        <v>11</v>
      </c>
      <c r="B358" s="31" t="n">
        <v>4</v>
      </c>
      <c r="C358" s="32" t="n">
        <v>-1</v>
      </c>
      <c r="D358" s="33" t="n">
        <v>0.8</v>
      </c>
      <c r="E358" s="33" t="n">
        <v>0.0275862068965517</v>
      </c>
      <c r="F358" s="32" t="s">
        <v>284</v>
      </c>
    </row>
    <row r="359" customFormat="false" ht="15" hidden="false" customHeight="true" outlineLevel="0" collapsed="false">
      <c r="A359" s="30" t="n">
        <v>12</v>
      </c>
      <c r="B359" s="31" t="n">
        <v>2</v>
      </c>
      <c r="C359" s="32" t="n">
        <v>-2</v>
      </c>
      <c r="D359" s="33" t="n">
        <v>0.5</v>
      </c>
      <c r="E359" s="33" t="n">
        <v>0.0137931034482759</v>
      </c>
      <c r="F359" s="32" t="s">
        <v>284</v>
      </c>
    </row>
    <row r="360" customFormat="false" ht="15" hidden="false" customHeight="true" outlineLevel="0" collapsed="false">
      <c r="A360" s="30" t="n">
        <v>13</v>
      </c>
      <c r="B360" s="31" t="n">
        <v>1</v>
      </c>
      <c r="C360" s="32" t="n">
        <v>-1</v>
      </c>
      <c r="D360" s="33" t="n">
        <v>0.5</v>
      </c>
      <c r="E360" s="33" t="n">
        <v>0.00689655172413793</v>
      </c>
      <c r="F360" s="32" t="s">
        <v>284</v>
      </c>
    </row>
    <row r="361" customFormat="false" ht="15" hidden="false" customHeight="true" outlineLevel="0" collapsed="false">
      <c r="A361" s="30" t="n">
        <v>14</v>
      </c>
      <c r="B361" s="31" t="n">
        <v>0</v>
      </c>
      <c r="C361" s="32" t="n">
        <v>-1</v>
      </c>
      <c r="D361" s="33" t="n">
        <v>0</v>
      </c>
      <c r="E361" s="33" t="n">
        <v>0</v>
      </c>
      <c r="F361" s="32" t="s">
        <v>284</v>
      </c>
    </row>
    <row r="362" customFormat="false" ht="15" hidden="false" customHeight="true" outlineLevel="0" collapsed="false">
      <c r="A362" s="30" t="n">
        <v>15</v>
      </c>
      <c r="B362" s="31" t="n">
        <v>1</v>
      </c>
      <c r="C362" s="32" t="n">
        <v>1</v>
      </c>
      <c r="D362" s="32"/>
      <c r="E362" s="33" t="n">
        <v>0.00689655172413793</v>
      </c>
      <c r="F362" s="32" t="s">
        <v>284</v>
      </c>
    </row>
    <row r="363" customFormat="false" ht="15" hidden="false" customHeight="true" outlineLevel="0" collapsed="false">
      <c r="A363" s="30" t="n">
        <v>16</v>
      </c>
      <c r="B363" s="31" t="n">
        <v>1</v>
      </c>
      <c r="C363" s="32" t="n">
        <v>0</v>
      </c>
      <c r="D363" s="33" t="n">
        <v>1</v>
      </c>
      <c r="E363" s="33" t="n">
        <v>0.00689655172413793</v>
      </c>
      <c r="F363" s="32" t="s">
        <v>284</v>
      </c>
    </row>
    <row r="364" customFormat="false" ht="15" hidden="false" customHeight="true" outlineLevel="0" collapsed="false">
      <c r="A364" s="34" t="s">
        <v>451</v>
      </c>
      <c r="B364" s="36" t="s">
        <v>470</v>
      </c>
      <c r="C364" s="36" t="n">
        <v>-144</v>
      </c>
      <c r="D364" s="36"/>
      <c r="E364" s="35" t="n">
        <v>0.00689655172413793</v>
      </c>
      <c r="F364" s="36"/>
    </row>
    <row r="366" customFormat="false" ht="25.5" hidden="false" customHeight="true" outlineLevel="0" collapsed="false">
      <c r="A366" s="65" t="s">
        <v>427</v>
      </c>
      <c r="B366" s="65"/>
      <c r="C366" s="65"/>
      <c r="D366" s="65"/>
      <c r="E366" s="65"/>
      <c r="F366" s="65"/>
    </row>
    <row r="367" customFormat="false" ht="15" hidden="false" customHeight="true" outlineLevel="0" collapsed="false">
      <c r="A367" s="12" t="s">
        <v>275</v>
      </c>
      <c r="B367" s="12" t="s">
        <v>447</v>
      </c>
      <c r="C367" s="12" t="s">
        <v>448</v>
      </c>
      <c r="D367" s="12" t="s">
        <v>278</v>
      </c>
      <c r="E367" s="12" t="s">
        <v>449</v>
      </c>
      <c r="F367" s="12" t="s">
        <v>450</v>
      </c>
    </row>
    <row r="368" customFormat="false" ht="15" hidden="false" customHeight="true" outlineLevel="0" collapsed="false">
      <c r="A368" s="30" t="n">
        <v>1</v>
      </c>
      <c r="B368" s="31" t="n">
        <v>218</v>
      </c>
      <c r="C368" s="32"/>
      <c r="D368" s="32"/>
      <c r="E368" s="33" t="n">
        <v>1</v>
      </c>
      <c r="F368" s="32" t="s">
        <v>282</v>
      </c>
    </row>
    <row r="369" customFormat="false" ht="15" hidden="false" customHeight="true" outlineLevel="0" collapsed="false">
      <c r="A369" s="30" t="n">
        <v>2</v>
      </c>
      <c r="B369" s="31" t="n">
        <v>153</v>
      </c>
      <c r="C369" s="32" t="n">
        <v>-65</v>
      </c>
      <c r="D369" s="33" t="n">
        <v>0.701834862385321</v>
      </c>
      <c r="E369" s="33" t="n">
        <v>0.701834862385321</v>
      </c>
      <c r="F369" s="32" t="s">
        <v>282</v>
      </c>
    </row>
    <row r="370" customFormat="false" ht="15" hidden="false" customHeight="true" outlineLevel="0" collapsed="false">
      <c r="A370" s="30" t="n">
        <v>3</v>
      </c>
      <c r="B370" s="31" t="n">
        <v>121</v>
      </c>
      <c r="C370" s="32" t="n">
        <v>-32</v>
      </c>
      <c r="D370" s="33" t="n">
        <v>0.790849673202614</v>
      </c>
      <c r="E370" s="33" t="n">
        <v>0.555045871559633</v>
      </c>
      <c r="F370" s="32" t="s">
        <v>283</v>
      </c>
    </row>
    <row r="371" customFormat="false" ht="15" hidden="false" customHeight="true" outlineLevel="0" collapsed="false">
      <c r="A371" s="30" t="n">
        <v>4</v>
      </c>
      <c r="B371" s="31" t="n">
        <v>116</v>
      </c>
      <c r="C371" s="32" t="n">
        <v>-5</v>
      </c>
      <c r="D371" s="33" t="n">
        <v>0.958677685950413</v>
      </c>
      <c r="E371" s="33" t="n">
        <v>0.532110091743119</v>
      </c>
      <c r="F371" s="32" t="s">
        <v>283</v>
      </c>
    </row>
    <row r="372" customFormat="false" ht="15" hidden="false" customHeight="true" outlineLevel="0" collapsed="false">
      <c r="A372" s="30" t="n">
        <v>5</v>
      </c>
      <c r="B372" s="31" t="n">
        <v>104</v>
      </c>
      <c r="C372" s="32" t="n">
        <v>-12</v>
      </c>
      <c r="D372" s="33" t="n">
        <v>0.896551724137931</v>
      </c>
      <c r="E372" s="33" t="n">
        <v>0.477064220183486</v>
      </c>
      <c r="F372" s="32" t="s">
        <v>283</v>
      </c>
    </row>
    <row r="373" customFormat="false" ht="15" hidden="false" customHeight="true" outlineLevel="0" collapsed="false">
      <c r="A373" s="30" t="n">
        <v>6</v>
      </c>
      <c r="B373" s="31" t="n">
        <v>69</v>
      </c>
      <c r="C373" s="32" t="n">
        <v>-35</v>
      </c>
      <c r="D373" s="33" t="n">
        <v>0.663461538461538</v>
      </c>
      <c r="E373" s="33" t="n">
        <v>0.31651376146789</v>
      </c>
      <c r="F373" s="32" t="s">
        <v>283</v>
      </c>
    </row>
    <row r="374" customFormat="false" ht="15" hidden="false" customHeight="true" outlineLevel="0" collapsed="false">
      <c r="A374" s="30" t="n">
        <v>7</v>
      </c>
      <c r="B374" s="31" t="n">
        <v>45</v>
      </c>
      <c r="C374" s="32" t="n">
        <v>-24</v>
      </c>
      <c r="D374" s="33" t="n">
        <v>0.652173913043478</v>
      </c>
      <c r="E374" s="33" t="n">
        <v>0.206422018348624</v>
      </c>
      <c r="F374" s="32" t="s">
        <v>283</v>
      </c>
    </row>
    <row r="375" customFormat="false" ht="15" hidden="false" customHeight="true" outlineLevel="0" collapsed="false">
      <c r="A375" s="38" t="n">
        <v>8</v>
      </c>
      <c r="B375" s="66" t="n">
        <v>22</v>
      </c>
      <c r="C375" s="67" t="n">
        <v>-23</v>
      </c>
      <c r="D375" s="68" t="n">
        <v>0.488888888888889</v>
      </c>
      <c r="E375" s="68" t="n">
        <v>0.100917431192661</v>
      </c>
      <c r="F375" s="67" t="s">
        <v>284</v>
      </c>
    </row>
    <row r="376" customFormat="false" ht="15" hidden="false" customHeight="true" outlineLevel="0" collapsed="false">
      <c r="A376" s="30" t="n">
        <v>9</v>
      </c>
      <c r="B376" s="31" t="n">
        <v>11</v>
      </c>
      <c r="C376" s="32" t="n">
        <v>-11</v>
      </c>
      <c r="D376" s="33" t="n">
        <v>0.5</v>
      </c>
      <c r="E376" s="33" t="n">
        <v>0.0504587155963303</v>
      </c>
      <c r="F376" s="32" t="s">
        <v>284</v>
      </c>
    </row>
    <row r="377" customFormat="false" ht="15" hidden="false" customHeight="true" outlineLevel="0" collapsed="false">
      <c r="A377" s="30" t="n">
        <v>10</v>
      </c>
      <c r="B377" s="31" t="n">
        <v>8</v>
      </c>
      <c r="C377" s="32" t="n">
        <v>-3</v>
      </c>
      <c r="D377" s="33" t="n">
        <v>0.727272727272727</v>
      </c>
      <c r="E377" s="33" t="n">
        <v>0.036697247706422</v>
      </c>
      <c r="F377" s="32" t="s">
        <v>284</v>
      </c>
    </row>
    <row r="378" customFormat="false" ht="15" hidden="false" customHeight="true" outlineLevel="0" collapsed="false">
      <c r="A378" s="30" t="n">
        <v>11</v>
      </c>
      <c r="B378" s="31" t="n">
        <v>9</v>
      </c>
      <c r="C378" s="32" t="n">
        <v>1</v>
      </c>
      <c r="D378" s="33" t="n">
        <v>1.125</v>
      </c>
      <c r="E378" s="33" t="n">
        <v>0.0412844036697248</v>
      </c>
      <c r="F378" s="32" t="s">
        <v>284</v>
      </c>
    </row>
    <row r="379" customFormat="false" ht="15" hidden="false" customHeight="true" outlineLevel="0" collapsed="false">
      <c r="A379" s="30" t="n">
        <v>12</v>
      </c>
      <c r="B379" s="31" t="n">
        <v>4</v>
      </c>
      <c r="C379" s="32" t="n">
        <v>-5</v>
      </c>
      <c r="D379" s="33" t="n">
        <v>0.444444444444444</v>
      </c>
      <c r="E379" s="33" t="n">
        <v>0.018348623853211</v>
      </c>
      <c r="F379" s="32" t="s">
        <v>284</v>
      </c>
    </row>
    <row r="380" customFormat="false" ht="15" hidden="false" customHeight="true" outlineLevel="0" collapsed="false">
      <c r="A380" s="30" t="n">
        <v>13</v>
      </c>
      <c r="B380" s="31" t="n">
        <v>1</v>
      </c>
      <c r="C380" s="32" t="n">
        <v>-3</v>
      </c>
      <c r="D380" s="33" t="n">
        <v>0.25</v>
      </c>
      <c r="E380" s="33" t="n">
        <v>0.00458715596330275</v>
      </c>
      <c r="F380" s="32" t="s">
        <v>284</v>
      </c>
    </row>
    <row r="381" customFormat="false" ht="15" hidden="false" customHeight="true" outlineLevel="0" collapsed="false">
      <c r="A381" s="34" t="s">
        <v>451</v>
      </c>
      <c r="B381" s="36" t="s">
        <v>471</v>
      </c>
      <c r="C381" s="36" t="n">
        <v>-217</v>
      </c>
      <c r="D381" s="36"/>
      <c r="E381" s="35" t="n">
        <v>0.00458715596330275</v>
      </c>
      <c r="F381" s="36"/>
    </row>
    <row r="383" customFormat="false" ht="25.5" hidden="false" customHeight="true" outlineLevel="0" collapsed="false">
      <c r="A383" s="65" t="s">
        <v>428</v>
      </c>
      <c r="B383" s="65"/>
      <c r="C383" s="65"/>
      <c r="D383" s="65"/>
      <c r="E383" s="65"/>
      <c r="F383" s="65"/>
    </row>
    <row r="384" customFormat="false" ht="15" hidden="false" customHeight="true" outlineLevel="0" collapsed="false">
      <c r="A384" s="29" t="s">
        <v>272</v>
      </c>
      <c r="B384" s="29"/>
      <c r="C384" s="29"/>
      <c r="D384" s="29"/>
      <c r="E384" s="29"/>
      <c r="F384" s="29"/>
    </row>
    <row r="386" customFormat="false" ht="25.5" hidden="false" customHeight="true" outlineLevel="0" collapsed="false">
      <c r="A386" s="65" t="s">
        <v>429</v>
      </c>
      <c r="B386" s="65"/>
      <c r="C386" s="65"/>
      <c r="D386" s="65"/>
      <c r="E386" s="65"/>
      <c r="F386" s="65"/>
    </row>
    <row r="387" customFormat="false" ht="15" hidden="false" customHeight="true" outlineLevel="0" collapsed="false">
      <c r="A387" s="12" t="s">
        <v>275</v>
      </c>
      <c r="B387" s="12" t="s">
        <v>447</v>
      </c>
      <c r="C387" s="12" t="s">
        <v>448</v>
      </c>
      <c r="D387" s="12" t="s">
        <v>278</v>
      </c>
      <c r="E387" s="12" t="s">
        <v>449</v>
      </c>
      <c r="F387" s="12" t="s">
        <v>450</v>
      </c>
    </row>
    <row r="388" customFormat="false" ht="15" hidden="false" customHeight="true" outlineLevel="0" collapsed="false">
      <c r="A388" s="30" t="n">
        <v>1</v>
      </c>
      <c r="B388" s="31" t="n">
        <v>24</v>
      </c>
      <c r="C388" s="32"/>
      <c r="D388" s="32"/>
      <c r="E388" s="33" t="n">
        <v>1</v>
      </c>
      <c r="F388" s="32" t="s">
        <v>282</v>
      </c>
    </row>
    <row r="389" customFormat="false" ht="15" hidden="false" customHeight="true" outlineLevel="0" collapsed="false">
      <c r="A389" s="30" t="n">
        <v>2</v>
      </c>
      <c r="B389" s="31" t="n">
        <v>20</v>
      </c>
      <c r="C389" s="32" t="n">
        <v>-4</v>
      </c>
      <c r="D389" s="33" t="n">
        <v>0.833333333333333</v>
      </c>
      <c r="E389" s="33" t="n">
        <v>0.833333333333333</v>
      </c>
      <c r="F389" s="32" t="s">
        <v>282</v>
      </c>
    </row>
    <row r="390" customFormat="false" ht="15" hidden="false" customHeight="true" outlineLevel="0" collapsed="false">
      <c r="A390" s="30" t="n">
        <v>3</v>
      </c>
      <c r="B390" s="31" t="n">
        <v>19</v>
      </c>
      <c r="C390" s="32" t="n">
        <v>-1</v>
      </c>
      <c r="D390" s="33" t="n">
        <v>0.95</v>
      </c>
      <c r="E390" s="33" t="n">
        <v>0.791666666666667</v>
      </c>
      <c r="F390" s="32" t="s">
        <v>283</v>
      </c>
    </row>
    <row r="391" customFormat="false" ht="15" hidden="false" customHeight="true" outlineLevel="0" collapsed="false">
      <c r="A391" s="30" t="n">
        <v>4</v>
      </c>
      <c r="B391" s="31" t="n">
        <v>12</v>
      </c>
      <c r="C391" s="32" t="n">
        <v>-7</v>
      </c>
      <c r="D391" s="33" t="n">
        <v>0.631578947368421</v>
      </c>
      <c r="E391" s="33" t="n">
        <v>0.5</v>
      </c>
      <c r="F391" s="32" t="s">
        <v>283</v>
      </c>
    </row>
    <row r="392" customFormat="false" ht="15" hidden="false" customHeight="true" outlineLevel="0" collapsed="false">
      <c r="A392" s="30" t="n">
        <v>5</v>
      </c>
      <c r="B392" s="31" t="n">
        <v>12</v>
      </c>
      <c r="C392" s="32" t="n">
        <v>0</v>
      </c>
      <c r="D392" s="33" t="n">
        <v>1</v>
      </c>
      <c r="E392" s="33" t="n">
        <v>0.5</v>
      </c>
      <c r="F392" s="32" t="s">
        <v>283</v>
      </c>
    </row>
    <row r="393" customFormat="false" ht="15" hidden="false" customHeight="true" outlineLevel="0" collapsed="false">
      <c r="A393" s="38" t="n">
        <v>6</v>
      </c>
      <c r="B393" s="66" t="n">
        <v>0</v>
      </c>
      <c r="C393" s="67" t="n">
        <v>-12</v>
      </c>
      <c r="D393" s="68" t="n">
        <v>0</v>
      </c>
      <c r="E393" s="68" t="n">
        <v>0</v>
      </c>
      <c r="F393" s="67" t="s">
        <v>284</v>
      </c>
    </row>
    <row r="394" customFormat="false" ht="15" hidden="false" customHeight="true" outlineLevel="0" collapsed="false">
      <c r="A394" s="30" t="n">
        <v>7</v>
      </c>
      <c r="B394" s="31" t="n">
        <v>0</v>
      </c>
      <c r="C394" s="32" t="n">
        <v>0</v>
      </c>
      <c r="D394" s="32"/>
      <c r="E394" s="33" t="n">
        <v>0</v>
      </c>
      <c r="F394" s="32" t="s">
        <v>284</v>
      </c>
    </row>
    <row r="395" customFormat="false" ht="15" hidden="false" customHeight="true" outlineLevel="0" collapsed="false">
      <c r="A395" s="34" t="s">
        <v>451</v>
      </c>
      <c r="B395" s="36" t="s">
        <v>472</v>
      </c>
      <c r="C395" s="36" t="n">
        <v>-24</v>
      </c>
      <c r="D395" s="36"/>
      <c r="E395" s="35" t="n">
        <v>0</v>
      </c>
      <c r="F395" s="36"/>
    </row>
    <row r="397" customFormat="false" ht="25.5" hidden="false" customHeight="true" outlineLevel="0" collapsed="false">
      <c r="A397" s="65" t="s">
        <v>430</v>
      </c>
      <c r="B397" s="65"/>
      <c r="C397" s="65"/>
      <c r="D397" s="65"/>
      <c r="E397" s="65"/>
      <c r="F397" s="65"/>
    </row>
    <row r="398" customFormat="false" ht="15" hidden="false" customHeight="true" outlineLevel="0" collapsed="false">
      <c r="A398" s="12" t="s">
        <v>275</v>
      </c>
      <c r="B398" s="12" t="s">
        <v>447</v>
      </c>
      <c r="C398" s="12" t="s">
        <v>448</v>
      </c>
      <c r="D398" s="12" t="s">
        <v>278</v>
      </c>
      <c r="E398" s="12" t="s">
        <v>449</v>
      </c>
      <c r="F398" s="12" t="s">
        <v>450</v>
      </c>
    </row>
    <row r="399" customFormat="false" ht="15" hidden="false" customHeight="true" outlineLevel="0" collapsed="false">
      <c r="A399" s="30" t="n">
        <v>1</v>
      </c>
      <c r="B399" s="31" t="n">
        <v>262</v>
      </c>
      <c r="C399" s="32"/>
      <c r="D399" s="32"/>
      <c r="E399" s="33" t="n">
        <v>1</v>
      </c>
      <c r="F399" s="32" t="s">
        <v>282</v>
      </c>
    </row>
    <row r="400" customFormat="false" ht="15" hidden="false" customHeight="true" outlineLevel="0" collapsed="false">
      <c r="A400" s="30" t="n">
        <v>2</v>
      </c>
      <c r="B400" s="31" t="n">
        <v>214</v>
      </c>
      <c r="C400" s="32" t="n">
        <v>-48</v>
      </c>
      <c r="D400" s="33" t="n">
        <v>0.816793893129771</v>
      </c>
      <c r="E400" s="33" t="n">
        <v>0.816793893129771</v>
      </c>
      <c r="F400" s="32" t="s">
        <v>282</v>
      </c>
    </row>
    <row r="401" customFormat="false" ht="15" hidden="false" customHeight="true" outlineLevel="0" collapsed="false">
      <c r="A401" s="30" t="n">
        <v>3</v>
      </c>
      <c r="B401" s="31" t="n">
        <v>195</v>
      </c>
      <c r="C401" s="32" t="n">
        <v>-19</v>
      </c>
      <c r="D401" s="33" t="n">
        <v>0.911214953271028</v>
      </c>
      <c r="E401" s="33" t="n">
        <v>0.744274809160305</v>
      </c>
      <c r="F401" s="32" t="s">
        <v>283</v>
      </c>
    </row>
    <row r="402" customFormat="false" ht="15" hidden="false" customHeight="true" outlineLevel="0" collapsed="false">
      <c r="A402" s="30" t="n">
        <v>4</v>
      </c>
      <c r="B402" s="31" t="n">
        <v>176</v>
      </c>
      <c r="C402" s="32" t="n">
        <v>-19</v>
      </c>
      <c r="D402" s="33" t="n">
        <v>0.902564102564103</v>
      </c>
      <c r="E402" s="33" t="n">
        <v>0.67175572519084</v>
      </c>
      <c r="F402" s="32" t="s">
        <v>283</v>
      </c>
    </row>
    <row r="403" customFormat="false" ht="15" hidden="false" customHeight="true" outlineLevel="0" collapsed="false">
      <c r="A403" s="30" t="n">
        <v>5</v>
      </c>
      <c r="B403" s="31" t="n">
        <v>44</v>
      </c>
      <c r="C403" s="32" t="n">
        <v>-132</v>
      </c>
      <c r="D403" s="33" t="n">
        <v>0.25</v>
      </c>
      <c r="E403" s="33" t="n">
        <v>0.16793893129771</v>
      </c>
      <c r="F403" s="32" t="s">
        <v>283</v>
      </c>
    </row>
    <row r="404" customFormat="false" ht="15" hidden="false" customHeight="true" outlineLevel="0" collapsed="false">
      <c r="A404" s="38" t="n">
        <v>6</v>
      </c>
      <c r="B404" s="66" t="n">
        <v>26</v>
      </c>
      <c r="C404" s="67" t="n">
        <v>-18</v>
      </c>
      <c r="D404" s="68" t="n">
        <v>0.590909090909091</v>
      </c>
      <c r="E404" s="68" t="n">
        <v>0.099236641221374</v>
      </c>
      <c r="F404" s="67" t="s">
        <v>284</v>
      </c>
    </row>
    <row r="405" customFormat="false" ht="15" hidden="false" customHeight="true" outlineLevel="0" collapsed="false">
      <c r="A405" s="30" t="n">
        <v>7</v>
      </c>
      <c r="B405" s="31" t="n">
        <v>21</v>
      </c>
      <c r="C405" s="32" t="n">
        <v>-5</v>
      </c>
      <c r="D405" s="33" t="n">
        <v>0.807692307692308</v>
      </c>
      <c r="E405" s="33" t="n">
        <v>0.0801526717557252</v>
      </c>
      <c r="F405" s="32" t="s">
        <v>284</v>
      </c>
    </row>
    <row r="406" customFormat="false" ht="15" hidden="false" customHeight="true" outlineLevel="0" collapsed="false">
      <c r="A406" s="30" t="n">
        <v>8</v>
      </c>
      <c r="B406" s="31" t="n">
        <v>12</v>
      </c>
      <c r="C406" s="32" t="n">
        <v>-9</v>
      </c>
      <c r="D406" s="33" t="n">
        <v>0.571428571428571</v>
      </c>
      <c r="E406" s="33" t="n">
        <v>0.0458015267175573</v>
      </c>
      <c r="F406" s="32" t="s">
        <v>284</v>
      </c>
    </row>
    <row r="407" customFormat="false" ht="15" hidden="false" customHeight="true" outlineLevel="0" collapsed="false">
      <c r="A407" s="30" t="n">
        <v>9</v>
      </c>
      <c r="B407" s="31" t="n">
        <v>7</v>
      </c>
      <c r="C407" s="32" t="n">
        <v>-5</v>
      </c>
      <c r="D407" s="33" t="n">
        <v>0.583333333333333</v>
      </c>
      <c r="E407" s="33" t="n">
        <v>0.0267175572519084</v>
      </c>
      <c r="F407" s="32" t="s">
        <v>284</v>
      </c>
    </row>
    <row r="408" customFormat="false" ht="15" hidden="false" customHeight="true" outlineLevel="0" collapsed="false">
      <c r="A408" s="30" t="n">
        <v>10</v>
      </c>
      <c r="B408" s="31" t="n">
        <v>6</v>
      </c>
      <c r="C408" s="32" t="n">
        <v>-1</v>
      </c>
      <c r="D408" s="33" t="n">
        <v>0.857142857142857</v>
      </c>
      <c r="E408" s="33" t="n">
        <v>0.0229007633587786</v>
      </c>
      <c r="F408" s="32" t="s">
        <v>284</v>
      </c>
    </row>
    <row r="409" customFormat="false" ht="15" hidden="false" customHeight="true" outlineLevel="0" collapsed="false">
      <c r="A409" s="30" t="n">
        <v>11</v>
      </c>
      <c r="B409" s="31" t="n">
        <v>5</v>
      </c>
      <c r="C409" s="32" t="n">
        <v>-1</v>
      </c>
      <c r="D409" s="33" t="n">
        <v>0.833333333333333</v>
      </c>
      <c r="E409" s="33" t="n">
        <v>0.0190839694656489</v>
      </c>
      <c r="F409" s="32" t="s">
        <v>284</v>
      </c>
    </row>
    <row r="410" customFormat="false" ht="15" hidden="false" customHeight="true" outlineLevel="0" collapsed="false">
      <c r="A410" s="30" t="n">
        <v>12</v>
      </c>
      <c r="B410" s="31" t="n">
        <v>3</v>
      </c>
      <c r="C410" s="32" t="n">
        <v>-2</v>
      </c>
      <c r="D410" s="33" t="n">
        <v>0.6</v>
      </c>
      <c r="E410" s="33" t="n">
        <v>0.0114503816793893</v>
      </c>
      <c r="F410" s="32" t="s">
        <v>284</v>
      </c>
    </row>
    <row r="411" customFormat="false" ht="15" hidden="false" customHeight="true" outlineLevel="0" collapsed="false">
      <c r="A411" s="30" t="n">
        <v>13</v>
      </c>
      <c r="B411" s="31" t="n">
        <v>2</v>
      </c>
      <c r="C411" s="32" t="n">
        <v>-1</v>
      </c>
      <c r="D411" s="33" t="n">
        <v>0.666666666666667</v>
      </c>
      <c r="E411" s="33" t="n">
        <v>0.00763358778625954</v>
      </c>
      <c r="F411" s="32" t="s">
        <v>284</v>
      </c>
    </row>
    <row r="412" customFormat="false" ht="15" hidden="false" customHeight="true" outlineLevel="0" collapsed="false">
      <c r="A412" s="30" t="n">
        <v>14</v>
      </c>
      <c r="B412" s="31" t="n">
        <v>1</v>
      </c>
      <c r="C412" s="32" t="n">
        <v>-1</v>
      </c>
      <c r="D412" s="33" t="n">
        <v>0.5</v>
      </c>
      <c r="E412" s="33" t="n">
        <v>0.00381679389312977</v>
      </c>
      <c r="F412" s="32" t="s">
        <v>284</v>
      </c>
    </row>
    <row r="413" customFormat="false" ht="15" hidden="false" customHeight="true" outlineLevel="0" collapsed="false">
      <c r="A413" s="34" t="s">
        <v>451</v>
      </c>
      <c r="B413" s="36" t="s">
        <v>473</v>
      </c>
      <c r="C413" s="36" t="n">
        <v>-261</v>
      </c>
      <c r="D413" s="36"/>
      <c r="E413" s="35" t="n">
        <v>0.00381679389312977</v>
      </c>
      <c r="F413" s="36"/>
    </row>
    <row r="415" customFormat="false" ht="25.5" hidden="false" customHeight="true" outlineLevel="0" collapsed="false">
      <c r="A415" s="65" t="s">
        <v>431</v>
      </c>
      <c r="B415" s="65"/>
      <c r="C415" s="65"/>
      <c r="D415" s="65"/>
      <c r="E415" s="65"/>
      <c r="F415" s="65"/>
    </row>
    <row r="416" customFormat="false" ht="15" hidden="false" customHeight="true" outlineLevel="0" collapsed="false">
      <c r="A416" s="12" t="s">
        <v>275</v>
      </c>
      <c r="B416" s="12" t="s">
        <v>447</v>
      </c>
      <c r="C416" s="12" t="s">
        <v>448</v>
      </c>
      <c r="D416" s="12" t="s">
        <v>278</v>
      </c>
      <c r="E416" s="12" t="s">
        <v>449</v>
      </c>
      <c r="F416" s="12" t="s">
        <v>450</v>
      </c>
    </row>
    <row r="417" customFormat="false" ht="15" hidden="false" customHeight="true" outlineLevel="0" collapsed="false">
      <c r="A417" s="30" t="n">
        <v>1</v>
      </c>
      <c r="B417" s="31" t="n">
        <v>103</v>
      </c>
      <c r="C417" s="32"/>
      <c r="D417" s="32"/>
      <c r="E417" s="33" t="n">
        <v>1</v>
      </c>
      <c r="F417" s="32" t="s">
        <v>282</v>
      </c>
    </row>
    <row r="418" customFormat="false" ht="15" hidden="false" customHeight="true" outlineLevel="0" collapsed="false">
      <c r="A418" s="30" t="n">
        <v>2</v>
      </c>
      <c r="B418" s="31" t="n">
        <v>86</v>
      </c>
      <c r="C418" s="32" t="n">
        <v>-17</v>
      </c>
      <c r="D418" s="33" t="n">
        <v>0.83495145631068</v>
      </c>
      <c r="E418" s="33" t="n">
        <v>0.83495145631068</v>
      </c>
      <c r="F418" s="32" t="s">
        <v>282</v>
      </c>
    </row>
    <row r="419" customFormat="false" ht="15" hidden="false" customHeight="true" outlineLevel="0" collapsed="false">
      <c r="A419" s="30" t="n">
        <v>3</v>
      </c>
      <c r="B419" s="31" t="n">
        <v>72</v>
      </c>
      <c r="C419" s="32" t="n">
        <v>-14</v>
      </c>
      <c r="D419" s="33" t="n">
        <v>0.837209302325581</v>
      </c>
      <c r="E419" s="33" t="n">
        <v>0.699029126213592</v>
      </c>
      <c r="F419" s="32" t="s">
        <v>283</v>
      </c>
    </row>
    <row r="420" customFormat="false" ht="15" hidden="false" customHeight="true" outlineLevel="0" collapsed="false">
      <c r="A420" s="30" t="n">
        <v>4</v>
      </c>
      <c r="B420" s="31" t="n">
        <v>70</v>
      </c>
      <c r="C420" s="32" t="n">
        <v>-2</v>
      </c>
      <c r="D420" s="33" t="n">
        <v>0.972222222222222</v>
      </c>
      <c r="E420" s="33" t="n">
        <v>0.679611650485437</v>
      </c>
      <c r="F420" s="32" t="s">
        <v>283</v>
      </c>
    </row>
    <row r="421" customFormat="false" ht="15" hidden="false" customHeight="true" outlineLevel="0" collapsed="false">
      <c r="A421" s="30" t="n">
        <v>5</v>
      </c>
      <c r="B421" s="31" t="n">
        <v>70</v>
      </c>
      <c r="C421" s="32" t="n">
        <v>0</v>
      </c>
      <c r="D421" s="33" t="n">
        <v>1</v>
      </c>
      <c r="E421" s="33" t="n">
        <v>0.679611650485437</v>
      </c>
      <c r="F421" s="32" t="s">
        <v>283</v>
      </c>
    </row>
    <row r="422" customFormat="false" ht="15" hidden="false" customHeight="true" outlineLevel="0" collapsed="false">
      <c r="A422" s="30" t="n">
        <v>6</v>
      </c>
      <c r="B422" s="31" t="n">
        <v>18</v>
      </c>
      <c r="C422" s="32" t="n">
        <v>-52</v>
      </c>
      <c r="D422" s="33" t="n">
        <v>0.257142857142857</v>
      </c>
      <c r="E422" s="33" t="n">
        <v>0.174757281553398</v>
      </c>
      <c r="F422" s="32" t="s">
        <v>283</v>
      </c>
    </row>
    <row r="423" customFormat="false" ht="15" hidden="false" customHeight="true" outlineLevel="0" collapsed="false">
      <c r="A423" s="38" t="n">
        <v>7</v>
      </c>
      <c r="B423" s="66" t="n">
        <v>12</v>
      </c>
      <c r="C423" s="67" t="n">
        <v>-6</v>
      </c>
      <c r="D423" s="68" t="n">
        <v>0.666666666666667</v>
      </c>
      <c r="E423" s="68" t="n">
        <v>0.116504854368932</v>
      </c>
      <c r="F423" s="67" t="s">
        <v>284</v>
      </c>
    </row>
    <row r="424" customFormat="false" ht="15" hidden="false" customHeight="true" outlineLevel="0" collapsed="false">
      <c r="A424" s="30" t="n">
        <v>8</v>
      </c>
      <c r="B424" s="31" t="n">
        <v>6</v>
      </c>
      <c r="C424" s="32" t="n">
        <v>-6</v>
      </c>
      <c r="D424" s="33" t="n">
        <v>0.5</v>
      </c>
      <c r="E424" s="33" t="n">
        <v>0.058252427184466</v>
      </c>
      <c r="F424" s="32" t="s">
        <v>284</v>
      </c>
    </row>
    <row r="425" customFormat="false" ht="15" hidden="false" customHeight="true" outlineLevel="0" collapsed="false">
      <c r="A425" s="30" t="n">
        <v>9</v>
      </c>
      <c r="B425" s="31" t="n">
        <v>2</v>
      </c>
      <c r="C425" s="32" t="n">
        <v>-4</v>
      </c>
      <c r="D425" s="33" t="n">
        <v>0.333333333333333</v>
      </c>
      <c r="E425" s="33" t="n">
        <v>0.0194174757281553</v>
      </c>
      <c r="F425" s="32" t="s">
        <v>284</v>
      </c>
    </row>
    <row r="426" customFormat="false" ht="15" hidden="false" customHeight="true" outlineLevel="0" collapsed="false">
      <c r="A426" s="30" t="n">
        <v>10</v>
      </c>
      <c r="B426" s="31" t="n">
        <v>2</v>
      </c>
      <c r="C426" s="32" t="n">
        <v>0</v>
      </c>
      <c r="D426" s="33" t="n">
        <v>1</v>
      </c>
      <c r="E426" s="33" t="n">
        <v>0.0194174757281553</v>
      </c>
      <c r="F426" s="32" t="s">
        <v>284</v>
      </c>
    </row>
    <row r="427" customFormat="false" ht="15" hidden="false" customHeight="true" outlineLevel="0" collapsed="false">
      <c r="A427" s="30" t="n">
        <v>11</v>
      </c>
      <c r="B427" s="31" t="n">
        <v>2</v>
      </c>
      <c r="C427" s="32" t="n">
        <v>0</v>
      </c>
      <c r="D427" s="33" t="n">
        <v>1</v>
      </c>
      <c r="E427" s="33" t="n">
        <v>0.0194174757281553</v>
      </c>
      <c r="F427" s="32" t="s">
        <v>284</v>
      </c>
    </row>
    <row r="428" customFormat="false" ht="15" hidden="false" customHeight="true" outlineLevel="0" collapsed="false">
      <c r="A428" s="34" t="s">
        <v>451</v>
      </c>
      <c r="B428" s="36" t="s">
        <v>474</v>
      </c>
      <c r="C428" s="36" t="n">
        <v>-101</v>
      </c>
      <c r="D428" s="36"/>
      <c r="E428" s="35" t="n">
        <v>0.0194174757281553</v>
      </c>
      <c r="F428" s="36"/>
    </row>
    <row r="430" customFormat="false" ht="25.5" hidden="false" customHeight="true" outlineLevel="0" collapsed="false">
      <c r="A430" s="65" t="s">
        <v>432</v>
      </c>
      <c r="B430" s="65"/>
      <c r="C430" s="65"/>
      <c r="D430" s="65"/>
      <c r="E430" s="65"/>
      <c r="F430" s="65"/>
    </row>
    <row r="431" customFormat="false" ht="15" hidden="false" customHeight="true" outlineLevel="0" collapsed="false">
      <c r="A431" s="12" t="s">
        <v>275</v>
      </c>
      <c r="B431" s="12" t="s">
        <v>447</v>
      </c>
      <c r="C431" s="12" t="s">
        <v>448</v>
      </c>
      <c r="D431" s="12" t="s">
        <v>278</v>
      </c>
      <c r="E431" s="12" t="s">
        <v>449</v>
      </c>
      <c r="F431" s="12" t="s">
        <v>450</v>
      </c>
    </row>
    <row r="432" customFormat="false" ht="15" hidden="false" customHeight="true" outlineLevel="0" collapsed="false">
      <c r="A432" s="30" t="n">
        <v>1</v>
      </c>
      <c r="B432" s="31" t="n">
        <v>91</v>
      </c>
      <c r="C432" s="32"/>
      <c r="D432" s="32"/>
      <c r="E432" s="33" t="n">
        <v>1</v>
      </c>
      <c r="F432" s="32" t="s">
        <v>282</v>
      </c>
    </row>
    <row r="433" customFormat="false" ht="15" hidden="false" customHeight="true" outlineLevel="0" collapsed="false">
      <c r="A433" s="30" t="n">
        <v>2</v>
      </c>
      <c r="B433" s="31" t="n">
        <v>61</v>
      </c>
      <c r="C433" s="32" t="n">
        <v>-30</v>
      </c>
      <c r="D433" s="33" t="n">
        <v>0.67032967032967</v>
      </c>
      <c r="E433" s="33" t="n">
        <v>0.67032967032967</v>
      </c>
      <c r="F433" s="32" t="s">
        <v>282</v>
      </c>
    </row>
    <row r="434" customFormat="false" ht="15" hidden="false" customHeight="true" outlineLevel="0" collapsed="false">
      <c r="A434" s="30" t="n">
        <v>3</v>
      </c>
      <c r="B434" s="31" t="n">
        <v>54</v>
      </c>
      <c r="C434" s="32" t="n">
        <v>-7</v>
      </c>
      <c r="D434" s="33" t="n">
        <v>0.885245901639344</v>
      </c>
      <c r="E434" s="33" t="n">
        <v>0.593406593406593</v>
      </c>
      <c r="F434" s="32" t="s">
        <v>283</v>
      </c>
    </row>
    <row r="435" customFormat="false" ht="15" hidden="false" customHeight="true" outlineLevel="0" collapsed="false">
      <c r="A435" s="30" t="n">
        <v>4</v>
      </c>
      <c r="B435" s="31" t="n">
        <v>54</v>
      </c>
      <c r="C435" s="32" t="n">
        <v>0</v>
      </c>
      <c r="D435" s="33" t="n">
        <v>1</v>
      </c>
      <c r="E435" s="33" t="n">
        <v>0.593406593406593</v>
      </c>
      <c r="F435" s="32" t="s">
        <v>283</v>
      </c>
    </row>
    <row r="436" customFormat="false" ht="15" hidden="false" customHeight="true" outlineLevel="0" collapsed="false">
      <c r="A436" s="30" t="n">
        <v>5</v>
      </c>
      <c r="B436" s="31" t="n">
        <v>51</v>
      </c>
      <c r="C436" s="32" t="n">
        <v>-3</v>
      </c>
      <c r="D436" s="33" t="n">
        <v>0.944444444444444</v>
      </c>
      <c r="E436" s="33" t="n">
        <v>0.56043956043956</v>
      </c>
      <c r="F436" s="32" t="s">
        <v>283</v>
      </c>
    </row>
    <row r="437" customFormat="false" ht="15" hidden="false" customHeight="true" outlineLevel="0" collapsed="false">
      <c r="A437" s="30" t="n">
        <v>6</v>
      </c>
      <c r="B437" s="31" t="n">
        <v>25</v>
      </c>
      <c r="C437" s="32" t="n">
        <v>-26</v>
      </c>
      <c r="D437" s="33" t="n">
        <v>0.490196078431373</v>
      </c>
      <c r="E437" s="33" t="n">
        <v>0.274725274725275</v>
      </c>
      <c r="F437" s="32" t="s">
        <v>283</v>
      </c>
    </row>
    <row r="438" customFormat="false" ht="15" hidden="false" customHeight="true" outlineLevel="0" collapsed="false">
      <c r="A438" s="30" t="n">
        <v>7</v>
      </c>
      <c r="B438" s="31" t="n">
        <v>16</v>
      </c>
      <c r="C438" s="32" t="n">
        <v>-9</v>
      </c>
      <c r="D438" s="33" t="n">
        <v>0.64</v>
      </c>
      <c r="E438" s="33" t="n">
        <v>0.175824175824176</v>
      </c>
      <c r="F438" s="32" t="s">
        <v>283</v>
      </c>
    </row>
    <row r="439" customFormat="false" ht="15" hidden="false" customHeight="true" outlineLevel="0" collapsed="false">
      <c r="A439" s="38" t="n">
        <v>8</v>
      </c>
      <c r="B439" s="66" t="n">
        <v>10</v>
      </c>
      <c r="C439" s="67" t="n">
        <v>-6</v>
      </c>
      <c r="D439" s="68" t="n">
        <v>0.625</v>
      </c>
      <c r="E439" s="68" t="n">
        <v>0.10989010989011</v>
      </c>
      <c r="F439" s="67" t="s">
        <v>284</v>
      </c>
    </row>
    <row r="440" customFormat="false" ht="15" hidden="false" customHeight="true" outlineLevel="0" collapsed="false">
      <c r="A440" s="30" t="n">
        <v>9</v>
      </c>
      <c r="B440" s="31" t="n">
        <v>8</v>
      </c>
      <c r="C440" s="32" t="n">
        <v>-2</v>
      </c>
      <c r="D440" s="33" t="n">
        <v>0.8</v>
      </c>
      <c r="E440" s="33" t="n">
        <v>0.0879120879120879</v>
      </c>
      <c r="F440" s="32" t="s">
        <v>284</v>
      </c>
    </row>
    <row r="441" customFormat="false" ht="15" hidden="false" customHeight="true" outlineLevel="0" collapsed="false">
      <c r="A441" s="30" t="n">
        <v>10</v>
      </c>
      <c r="B441" s="31" t="n">
        <v>4</v>
      </c>
      <c r="C441" s="32" t="n">
        <v>-4</v>
      </c>
      <c r="D441" s="33" t="n">
        <v>0.5</v>
      </c>
      <c r="E441" s="33" t="n">
        <v>0.043956043956044</v>
      </c>
      <c r="F441" s="32" t="s">
        <v>284</v>
      </c>
    </row>
    <row r="442" customFormat="false" ht="15" hidden="false" customHeight="true" outlineLevel="0" collapsed="false">
      <c r="A442" s="30" t="n">
        <v>11</v>
      </c>
      <c r="B442" s="31" t="n">
        <v>3</v>
      </c>
      <c r="C442" s="32" t="n">
        <v>-1</v>
      </c>
      <c r="D442" s="33" t="n">
        <v>0.75</v>
      </c>
      <c r="E442" s="33" t="n">
        <v>0.032967032967033</v>
      </c>
      <c r="F442" s="32" t="s">
        <v>284</v>
      </c>
    </row>
    <row r="443" customFormat="false" ht="15" hidden="false" customHeight="true" outlineLevel="0" collapsed="false">
      <c r="A443" s="30" t="n">
        <v>12</v>
      </c>
      <c r="B443" s="31" t="n">
        <v>0</v>
      </c>
      <c r="C443" s="32" t="n">
        <v>-3</v>
      </c>
      <c r="D443" s="33" t="n">
        <v>0</v>
      </c>
      <c r="E443" s="33" t="n">
        <v>0</v>
      </c>
      <c r="F443" s="32" t="s">
        <v>284</v>
      </c>
    </row>
    <row r="444" customFormat="false" ht="15" hidden="false" customHeight="true" outlineLevel="0" collapsed="false">
      <c r="A444" s="30" t="n">
        <v>13</v>
      </c>
      <c r="B444" s="31" t="n">
        <v>1</v>
      </c>
      <c r="C444" s="32" t="n">
        <v>1</v>
      </c>
      <c r="D444" s="32"/>
      <c r="E444" s="33" t="n">
        <v>0.010989010989011</v>
      </c>
      <c r="F444" s="32" t="s">
        <v>284</v>
      </c>
    </row>
    <row r="445" customFormat="false" ht="15" hidden="false" customHeight="true" outlineLevel="0" collapsed="false">
      <c r="A445" s="30" t="n">
        <v>14</v>
      </c>
      <c r="B445" s="31" t="n">
        <v>1</v>
      </c>
      <c r="C445" s="32" t="n">
        <v>0</v>
      </c>
      <c r="D445" s="33" t="n">
        <v>1</v>
      </c>
      <c r="E445" s="33" t="n">
        <v>0.010989010989011</v>
      </c>
      <c r="F445" s="32" t="s">
        <v>284</v>
      </c>
    </row>
    <row r="446" customFormat="false" ht="15" hidden="false" customHeight="true" outlineLevel="0" collapsed="false">
      <c r="A446" s="34" t="s">
        <v>451</v>
      </c>
      <c r="B446" s="36" t="s">
        <v>475</v>
      </c>
      <c r="C446" s="36" t="n">
        <v>-90</v>
      </c>
      <c r="D446" s="36"/>
      <c r="E446" s="35" t="n">
        <v>0.010989010989011</v>
      </c>
      <c r="F446" s="36"/>
    </row>
    <row r="448" customFormat="false" ht="25.5" hidden="false" customHeight="true" outlineLevel="0" collapsed="false">
      <c r="A448" s="65" t="s">
        <v>433</v>
      </c>
      <c r="B448" s="65"/>
      <c r="C448" s="65"/>
      <c r="D448" s="65"/>
      <c r="E448" s="65"/>
      <c r="F448" s="65"/>
    </row>
    <row r="449" customFormat="false" ht="15" hidden="false" customHeight="true" outlineLevel="0" collapsed="false">
      <c r="A449" s="12" t="s">
        <v>275</v>
      </c>
      <c r="B449" s="12" t="s">
        <v>447</v>
      </c>
      <c r="C449" s="12" t="s">
        <v>448</v>
      </c>
      <c r="D449" s="12" t="s">
        <v>278</v>
      </c>
      <c r="E449" s="12" t="s">
        <v>449</v>
      </c>
      <c r="F449" s="12" t="s">
        <v>450</v>
      </c>
    </row>
    <row r="450" customFormat="false" ht="15" hidden="false" customHeight="true" outlineLevel="0" collapsed="false">
      <c r="A450" s="30" t="n">
        <v>1</v>
      </c>
      <c r="B450" s="31" t="n">
        <v>82</v>
      </c>
      <c r="C450" s="32"/>
      <c r="D450" s="32"/>
      <c r="E450" s="33" t="n">
        <v>1</v>
      </c>
      <c r="F450" s="32" t="s">
        <v>282</v>
      </c>
    </row>
    <row r="451" customFormat="false" ht="15" hidden="false" customHeight="true" outlineLevel="0" collapsed="false">
      <c r="A451" s="30" t="n">
        <v>2</v>
      </c>
      <c r="B451" s="31" t="n">
        <v>64</v>
      </c>
      <c r="C451" s="32" t="n">
        <v>-18</v>
      </c>
      <c r="D451" s="33" t="n">
        <v>0.780487804878049</v>
      </c>
      <c r="E451" s="33" t="n">
        <v>0.780487804878049</v>
      </c>
      <c r="F451" s="32" t="s">
        <v>282</v>
      </c>
    </row>
    <row r="452" customFormat="false" ht="15" hidden="false" customHeight="true" outlineLevel="0" collapsed="false">
      <c r="A452" s="30" t="n">
        <v>3</v>
      </c>
      <c r="B452" s="31" t="n">
        <v>54</v>
      </c>
      <c r="C452" s="32" t="n">
        <v>-10</v>
      </c>
      <c r="D452" s="33" t="n">
        <v>0.84375</v>
      </c>
      <c r="E452" s="33" t="n">
        <v>0.658536585365854</v>
      </c>
      <c r="F452" s="32" t="s">
        <v>283</v>
      </c>
    </row>
    <row r="453" customFormat="false" ht="15" hidden="false" customHeight="true" outlineLevel="0" collapsed="false">
      <c r="A453" s="30" t="n">
        <v>4</v>
      </c>
      <c r="B453" s="31" t="n">
        <v>59</v>
      </c>
      <c r="C453" s="32" t="n">
        <v>5</v>
      </c>
      <c r="D453" s="33" t="n">
        <v>1.09259259259259</v>
      </c>
      <c r="E453" s="33" t="n">
        <v>0.719512195121951</v>
      </c>
      <c r="F453" s="32" t="s">
        <v>283</v>
      </c>
    </row>
    <row r="454" customFormat="false" ht="15" hidden="false" customHeight="true" outlineLevel="0" collapsed="false">
      <c r="A454" s="30" t="n">
        <v>5</v>
      </c>
      <c r="B454" s="31" t="n">
        <v>52</v>
      </c>
      <c r="C454" s="32" t="n">
        <v>-7</v>
      </c>
      <c r="D454" s="33" t="n">
        <v>0.88135593220339</v>
      </c>
      <c r="E454" s="33" t="n">
        <v>0.634146341463415</v>
      </c>
      <c r="F454" s="32" t="s">
        <v>283</v>
      </c>
    </row>
    <row r="455" customFormat="false" ht="15" hidden="false" customHeight="true" outlineLevel="0" collapsed="false">
      <c r="A455" s="30" t="n">
        <v>6</v>
      </c>
      <c r="B455" s="31" t="n">
        <v>30</v>
      </c>
      <c r="C455" s="32" t="n">
        <v>-22</v>
      </c>
      <c r="D455" s="33" t="n">
        <v>0.576923076923077</v>
      </c>
      <c r="E455" s="33" t="n">
        <v>0.365853658536585</v>
      </c>
      <c r="F455" s="32" t="s">
        <v>283</v>
      </c>
    </row>
    <row r="456" customFormat="false" ht="15" hidden="false" customHeight="true" outlineLevel="0" collapsed="false">
      <c r="A456" s="30" t="n">
        <v>7</v>
      </c>
      <c r="B456" s="31" t="n">
        <v>13</v>
      </c>
      <c r="C456" s="32" t="n">
        <v>-17</v>
      </c>
      <c r="D456" s="33" t="n">
        <v>0.433333333333333</v>
      </c>
      <c r="E456" s="33" t="n">
        <v>0.158536585365854</v>
      </c>
      <c r="F456" s="32" t="s">
        <v>283</v>
      </c>
    </row>
    <row r="457" customFormat="false" ht="15" hidden="false" customHeight="true" outlineLevel="0" collapsed="false">
      <c r="A457" s="38" t="n">
        <v>8</v>
      </c>
      <c r="B457" s="66" t="n">
        <v>8</v>
      </c>
      <c r="C457" s="67" t="n">
        <v>-5</v>
      </c>
      <c r="D457" s="68" t="n">
        <v>0.615384615384615</v>
      </c>
      <c r="E457" s="68" t="n">
        <v>0.0975609756097561</v>
      </c>
      <c r="F457" s="67" t="s">
        <v>284</v>
      </c>
    </row>
    <row r="458" customFormat="false" ht="15" hidden="false" customHeight="true" outlineLevel="0" collapsed="false">
      <c r="A458" s="30" t="n">
        <v>9</v>
      </c>
      <c r="B458" s="31" t="n">
        <v>7</v>
      </c>
      <c r="C458" s="32" t="n">
        <v>-1</v>
      </c>
      <c r="D458" s="33" t="n">
        <v>0.875</v>
      </c>
      <c r="E458" s="33" t="n">
        <v>0.0853658536585366</v>
      </c>
      <c r="F458" s="32" t="s">
        <v>284</v>
      </c>
    </row>
    <row r="459" customFormat="false" ht="15" hidden="false" customHeight="true" outlineLevel="0" collapsed="false">
      <c r="A459" s="30" t="n">
        <v>10</v>
      </c>
      <c r="B459" s="31" t="n">
        <v>5</v>
      </c>
      <c r="C459" s="32" t="n">
        <v>-2</v>
      </c>
      <c r="D459" s="33" t="n">
        <v>0.714285714285714</v>
      </c>
      <c r="E459" s="33" t="n">
        <v>0.0609756097560976</v>
      </c>
      <c r="F459" s="32" t="s">
        <v>284</v>
      </c>
    </row>
    <row r="460" customFormat="false" ht="15" hidden="false" customHeight="true" outlineLevel="0" collapsed="false">
      <c r="A460" s="30" t="n">
        <v>11</v>
      </c>
      <c r="B460" s="31" t="n">
        <v>3</v>
      </c>
      <c r="C460" s="32" t="n">
        <v>-2</v>
      </c>
      <c r="D460" s="33" t="n">
        <v>0.6</v>
      </c>
      <c r="E460" s="33" t="n">
        <v>0.0365853658536585</v>
      </c>
      <c r="F460" s="32" t="s">
        <v>284</v>
      </c>
    </row>
    <row r="461" customFormat="false" ht="15" hidden="false" customHeight="true" outlineLevel="0" collapsed="false">
      <c r="A461" s="30" t="n">
        <v>12</v>
      </c>
      <c r="B461" s="31" t="n">
        <v>2</v>
      </c>
      <c r="C461" s="32" t="n">
        <v>-1</v>
      </c>
      <c r="D461" s="33" t="n">
        <v>0.666666666666667</v>
      </c>
      <c r="E461" s="33" t="n">
        <v>0.024390243902439</v>
      </c>
      <c r="F461" s="32" t="s">
        <v>284</v>
      </c>
    </row>
    <row r="462" customFormat="false" ht="15" hidden="false" customHeight="true" outlineLevel="0" collapsed="false">
      <c r="A462" s="30" t="n">
        <v>13</v>
      </c>
      <c r="B462" s="31" t="n">
        <v>1</v>
      </c>
      <c r="C462" s="32" t="n">
        <v>-1</v>
      </c>
      <c r="D462" s="33" t="n">
        <v>0.5</v>
      </c>
      <c r="E462" s="33" t="n">
        <v>0.0121951219512195</v>
      </c>
      <c r="F462" s="32" t="s">
        <v>284</v>
      </c>
    </row>
    <row r="463" customFormat="false" ht="15" hidden="false" customHeight="true" outlineLevel="0" collapsed="false">
      <c r="A463" s="34" t="s">
        <v>451</v>
      </c>
      <c r="B463" s="36" t="s">
        <v>464</v>
      </c>
      <c r="C463" s="36" t="n">
        <v>-81</v>
      </c>
      <c r="D463" s="36"/>
      <c r="E463" s="35" t="n">
        <v>0.0121951219512195</v>
      </c>
      <c r="F463" s="36"/>
    </row>
    <row r="465" customFormat="false" ht="25.5" hidden="false" customHeight="true" outlineLevel="0" collapsed="false">
      <c r="A465" s="65" t="s">
        <v>434</v>
      </c>
      <c r="B465" s="65"/>
      <c r="C465" s="65"/>
      <c r="D465" s="65"/>
      <c r="E465" s="65"/>
      <c r="F465" s="65"/>
    </row>
    <row r="466" customFormat="false" ht="15" hidden="false" customHeight="true" outlineLevel="0" collapsed="false">
      <c r="A466" s="12" t="s">
        <v>275</v>
      </c>
      <c r="B466" s="12" t="s">
        <v>447</v>
      </c>
      <c r="C466" s="12" t="s">
        <v>448</v>
      </c>
      <c r="D466" s="12" t="s">
        <v>278</v>
      </c>
      <c r="E466" s="12" t="s">
        <v>449</v>
      </c>
      <c r="F466" s="12" t="s">
        <v>450</v>
      </c>
    </row>
    <row r="467" customFormat="false" ht="15" hidden="false" customHeight="true" outlineLevel="0" collapsed="false">
      <c r="A467" s="30" t="n">
        <v>1</v>
      </c>
      <c r="B467" s="31" t="n">
        <v>88</v>
      </c>
      <c r="C467" s="32"/>
      <c r="D467" s="32"/>
      <c r="E467" s="33" t="n">
        <v>1</v>
      </c>
      <c r="F467" s="32" t="s">
        <v>282</v>
      </c>
    </row>
    <row r="468" customFormat="false" ht="15" hidden="false" customHeight="true" outlineLevel="0" collapsed="false">
      <c r="A468" s="30" t="n">
        <v>2</v>
      </c>
      <c r="B468" s="31" t="n">
        <v>78</v>
      </c>
      <c r="C468" s="32" t="n">
        <v>-10</v>
      </c>
      <c r="D468" s="33" t="n">
        <v>0.886363636363636</v>
      </c>
      <c r="E468" s="33" t="n">
        <v>0.886363636363636</v>
      </c>
      <c r="F468" s="32" t="s">
        <v>282</v>
      </c>
    </row>
    <row r="469" customFormat="false" ht="15" hidden="false" customHeight="true" outlineLevel="0" collapsed="false">
      <c r="A469" s="30" t="n">
        <v>3</v>
      </c>
      <c r="B469" s="31" t="n">
        <v>72</v>
      </c>
      <c r="C469" s="32" t="n">
        <v>-6</v>
      </c>
      <c r="D469" s="33" t="n">
        <v>0.923076923076923</v>
      </c>
      <c r="E469" s="33" t="n">
        <v>0.818181818181818</v>
      </c>
      <c r="F469" s="32" t="s">
        <v>283</v>
      </c>
    </row>
    <row r="470" customFormat="false" ht="15" hidden="false" customHeight="true" outlineLevel="0" collapsed="false">
      <c r="A470" s="30" t="n">
        <v>4</v>
      </c>
      <c r="B470" s="31" t="n">
        <v>71</v>
      </c>
      <c r="C470" s="32" t="n">
        <v>-1</v>
      </c>
      <c r="D470" s="33" t="n">
        <v>0.986111111111111</v>
      </c>
      <c r="E470" s="33" t="n">
        <v>0.806818181818182</v>
      </c>
      <c r="F470" s="32" t="s">
        <v>283</v>
      </c>
    </row>
    <row r="471" customFormat="false" ht="15" hidden="false" customHeight="true" outlineLevel="0" collapsed="false">
      <c r="A471" s="38" t="n">
        <v>5</v>
      </c>
      <c r="B471" s="66" t="n">
        <v>10</v>
      </c>
      <c r="C471" s="67" t="n">
        <v>-61</v>
      </c>
      <c r="D471" s="68" t="n">
        <v>0.140845070422535</v>
      </c>
      <c r="E471" s="68" t="n">
        <v>0.113636363636364</v>
      </c>
      <c r="F471" s="67" t="s">
        <v>284</v>
      </c>
    </row>
    <row r="472" customFormat="false" ht="15" hidden="false" customHeight="true" outlineLevel="0" collapsed="false">
      <c r="A472" s="30" t="n">
        <v>6</v>
      </c>
      <c r="B472" s="31" t="n">
        <v>8</v>
      </c>
      <c r="C472" s="32" t="n">
        <v>-2</v>
      </c>
      <c r="D472" s="33" t="n">
        <v>0.8</v>
      </c>
      <c r="E472" s="33" t="n">
        <v>0.0909090909090909</v>
      </c>
      <c r="F472" s="32" t="s">
        <v>284</v>
      </c>
    </row>
    <row r="473" customFormat="false" ht="15" hidden="false" customHeight="true" outlineLevel="0" collapsed="false">
      <c r="A473" s="30" t="n">
        <v>7</v>
      </c>
      <c r="B473" s="31" t="n">
        <v>4</v>
      </c>
      <c r="C473" s="32" t="n">
        <v>-4</v>
      </c>
      <c r="D473" s="33" t="n">
        <v>0.5</v>
      </c>
      <c r="E473" s="33" t="n">
        <v>0.0454545454545455</v>
      </c>
      <c r="F473" s="32" t="s">
        <v>284</v>
      </c>
    </row>
    <row r="474" customFormat="false" ht="15" hidden="false" customHeight="true" outlineLevel="0" collapsed="false">
      <c r="A474" s="30" t="n">
        <v>8</v>
      </c>
      <c r="B474" s="31" t="n">
        <v>0</v>
      </c>
      <c r="C474" s="32" t="n">
        <v>-4</v>
      </c>
      <c r="D474" s="33" t="n">
        <v>0</v>
      </c>
      <c r="E474" s="33" t="n">
        <v>0</v>
      </c>
      <c r="F474" s="32" t="s">
        <v>284</v>
      </c>
    </row>
    <row r="475" customFormat="false" ht="15" hidden="false" customHeight="true" outlineLevel="0" collapsed="false">
      <c r="A475" s="30" t="n">
        <v>9</v>
      </c>
      <c r="B475" s="31" t="n">
        <v>1</v>
      </c>
      <c r="C475" s="32" t="n">
        <v>1</v>
      </c>
      <c r="D475" s="32"/>
      <c r="E475" s="33" t="n">
        <v>0.0113636363636364</v>
      </c>
      <c r="F475" s="32" t="s">
        <v>284</v>
      </c>
    </row>
    <row r="476" customFormat="false" ht="15" hidden="false" customHeight="true" outlineLevel="0" collapsed="false">
      <c r="A476" s="30" t="n">
        <v>10</v>
      </c>
      <c r="B476" s="31" t="n">
        <v>1</v>
      </c>
      <c r="C476" s="32" t="n">
        <v>0</v>
      </c>
      <c r="D476" s="33" t="n">
        <v>1</v>
      </c>
      <c r="E476" s="33" t="n">
        <v>0.0113636363636364</v>
      </c>
      <c r="F476" s="32" t="s">
        <v>284</v>
      </c>
    </row>
    <row r="477" customFormat="false" ht="15" hidden="false" customHeight="true" outlineLevel="0" collapsed="false">
      <c r="A477" s="34" t="s">
        <v>451</v>
      </c>
      <c r="B477" s="36" t="s">
        <v>476</v>
      </c>
      <c r="C477" s="36" t="n">
        <v>-87</v>
      </c>
      <c r="D477" s="36"/>
      <c r="E477" s="35" t="n">
        <v>0.0113636363636364</v>
      </c>
      <c r="F477" s="36"/>
    </row>
    <row r="479" customFormat="false" ht="25.5" hidden="false" customHeight="true" outlineLevel="0" collapsed="false">
      <c r="A479" s="65" t="s">
        <v>435</v>
      </c>
      <c r="B479" s="65"/>
      <c r="C479" s="65"/>
      <c r="D479" s="65"/>
      <c r="E479" s="65"/>
      <c r="F479" s="65"/>
    </row>
    <row r="480" customFormat="false" ht="15" hidden="false" customHeight="true" outlineLevel="0" collapsed="false">
      <c r="A480" s="12" t="s">
        <v>275</v>
      </c>
      <c r="B480" s="12" t="s">
        <v>447</v>
      </c>
      <c r="C480" s="12" t="s">
        <v>448</v>
      </c>
      <c r="D480" s="12" t="s">
        <v>278</v>
      </c>
      <c r="E480" s="12" t="s">
        <v>449</v>
      </c>
      <c r="F480" s="12" t="s">
        <v>450</v>
      </c>
    </row>
    <row r="481" customFormat="false" ht="15" hidden="false" customHeight="true" outlineLevel="0" collapsed="false">
      <c r="A481" s="30" t="n">
        <v>1</v>
      </c>
      <c r="B481" s="31" t="n">
        <v>26</v>
      </c>
      <c r="C481" s="32"/>
      <c r="D481" s="32"/>
      <c r="E481" s="33" t="n">
        <v>1</v>
      </c>
      <c r="F481" s="32" t="s">
        <v>282</v>
      </c>
    </row>
    <row r="482" customFormat="false" ht="15" hidden="false" customHeight="true" outlineLevel="0" collapsed="false">
      <c r="A482" s="30" t="n">
        <v>2</v>
      </c>
      <c r="B482" s="31" t="n">
        <v>18</v>
      </c>
      <c r="C482" s="32" t="n">
        <v>-8</v>
      </c>
      <c r="D482" s="33" t="n">
        <v>0.692307692307692</v>
      </c>
      <c r="E482" s="33" t="n">
        <v>0.692307692307692</v>
      </c>
      <c r="F482" s="32" t="s">
        <v>282</v>
      </c>
    </row>
    <row r="483" customFormat="false" ht="15" hidden="false" customHeight="true" outlineLevel="0" collapsed="false">
      <c r="A483" s="30" t="n">
        <v>3</v>
      </c>
      <c r="B483" s="31" t="n">
        <v>16</v>
      </c>
      <c r="C483" s="32" t="n">
        <v>-2</v>
      </c>
      <c r="D483" s="33" t="n">
        <v>0.888888888888889</v>
      </c>
      <c r="E483" s="33" t="n">
        <v>0.615384615384615</v>
      </c>
      <c r="F483" s="32" t="s">
        <v>283</v>
      </c>
    </row>
    <row r="484" customFormat="false" ht="15" hidden="false" customHeight="true" outlineLevel="0" collapsed="false">
      <c r="A484" s="30" t="n">
        <v>4</v>
      </c>
      <c r="B484" s="31" t="n">
        <v>14</v>
      </c>
      <c r="C484" s="32" t="n">
        <v>-2</v>
      </c>
      <c r="D484" s="33" t="n">
        <v>0.875</v>
      </c>
      <c r="E484" s="33" t="n">
        <v>0.538461538461538</v>
      </c>
      <c r="F484" s="32" t="s">
        <v>283</v>
      </c>
    </row>
    <row r="485" customFormat="false" ht="15" hidden="false" customHeight="true" outlineLevel="0" collapsed="false">
      <c r="A485" s="30" t="n">
        <v>5</v>
      </c>
      <c r="B485" s="31" t="n">
        <v>14</v>
      </c>
      <c r="C485" s="32" t="n">
        <v>0</v>
      </c>
      <c r="D485" s="33" t="n">
        <v>1</v>
      </c>
      <c r="E485" s="33" t="n">
        <v>0.538461538461538</v>
      </c>
      <c r="F485" s="32" t="s">
        <v>283</v>
      </c>
    </row>
    <row r="486" customFormat="false" ht="15" hidden="false" customHeight="true" outlineLevel="0" collapsed="false">
      <c r="A486" s="38" t="n">
        <v>6</v>
      </c>
      <c r="B486" s="66" t="n">
        <v>1</v>
      </c>
      <c r="C486" s="67" t="n">
        <v>-13</v>
      </c>
      <c r="D486" s="68" t="n">
        <v>0.0714285714285714</v>
      </c>
      <c r="E486" s="68" t="n">
        <v>0.0384615384615385</v>
      </c>
      <c r="F486" s="67" t="s">
        <v>284</v>
      </c>
    </row>
    <row r="487" customFormat="false" ht="15" hidden="false" customHeight="true" outlineLevel="0" collapsed="false">
      <c r="A487" s="30" t="n">
        <v>7</v>
      </c>
      <c r="B487" s="31" t="n">
        <v>2</v>
      </c>
      <c r="C487" s="32" t="n">
        <v>1</v>
      </c>
      <c r="D487" s="33" t="n">
        <v>2</v>
      </c>
      <c r="E487" s="33" t="n">
        <v>0.0769230769230769</v>
      </c>
      <c r="F487" s="32" t="s">
        <v>284</v>
      </c>
    </row>
    <row r="488" customFormat="false" ht="15" hidden="false" customHeight="true" outlineLevel="0" collapsed="false">
      <c r="A488" s="30" t="n">
        <v>8</v>
      </c>
      <c r="B488" s="31" t="n">
        <v>1</v>
      </c>
      <c r="C488" s="32" t="n">
        <v>-1</v>
      </c>
      <c r="D488" s="33" t="n">
        <v>0.5</v>
      </c>
      <c r="E488" s="33" t="n">
        <v>0.0384615384615385</v>
      </c>
      <c r="F488" s="32" t="s">
        <v>284</v>
      </c>
    </row>
    <row r="489" customFormat="false" ht="15" hidden="false" customHeight="true" outlineLevel="0" collapsed="false">
      <c r="A489" s="34" t="s">
        <v>451</v>
      </c>
      <c r="B489" s="36" t="s">
        <v>477</v>
      </c>
      <c r="C489" s="36" t="n">
        <v>-25</v>
      </c>
      <c r="D489" s="36"/>
      <c r="E489" s="35" t="n">
        <v>0.0384615384615385</v>
      </c>
      <c r="F489" s="36"/>
    </row>
    <row r="491" customFormat="false" ht="25.5" hidden="false" customHeight="true" outlineLevel="0" collapsed="false">
      <c r="A491" s="65" t="s">
        <v>436</v>
      </c>
      <c r="B491" s="65"/>
      <c r="C491" s="65"/>
      <c r="D491" s="65"/>
      <c r="E491" s="65"/>
      <c r="F491" s="65"/>
    </row>
    <row r="492" customFormat="false" ht="15" hidden="false" customHeight="true" outlineLevel="0" collapsed="false">
      <c r="A492" s="12" t="s">
        <v>275</v>
      </c>
      <c r="B492" s="12" t="s">
        <v>447</v>
      </c>
      <c r="C492" s="12" t="s">
        <v>448</v>
      </c>
      <c r="D492" s="12" t="s">
        <v>278</v>
      </c>
      <c r="E492" s="12" t="s">
        <v>449</v>
      </c>
      <c r="F492" s="12" t="s">
        <v>450</v>
      </c>
    </row>
    <row r="493" customFormat="false" ht="15" hidden="false" customHeight="true" outlineLevel="0" collapsed="false">
      <c r="A493" s="30" t="n">
        <v>1</v>
      </c>
      <c r="B493" s="31" t="n">
        <v>20</v>
      </c>
      <c r="C493" s="32"/>
      <c r="D493" s="32"/>
      <c r="E493" s="33" t="n">
        <v>1</v>
      </c>
      <c r="F493" s="32" t="s">
        <v>282</v>
      </c>
    </row>
    <row r="494" customFormat="false" ht="15" hidden="false" customHeight="true" outlineLevel="0" collapsed="false">
      <c r="A494" s="30" t="n">
        <v>2</v>
      </c>
      <c r="B494" s="31" t="n">
        <v>13</v>
      </c>
      <c r="C494" s="32" t="n">
        <v>-7</v>
      </c>
      <c r="D494" s="33" t="n">
        <v>0.65</v>
      </c>
      <c r="E494" s="33" t="n">
        <v>0.65</v>
      </c>
      <c r="F494" s="32" t="s">
        <v>282</v>
      </c>
    </row>
    <row r="495" customFormat="false" ht="15" hidden="false" customHeight="true" outlineLevel="0" collapsed="false">
      <c r="A495" s="30" t="n">
        <v>3</v>
      </c>
      <c r="B495" s="31" t="n">
        <v>15</v>
      </c>
      <c r="C495" s="32" t="n">
        <v>2</v>
      </c>
      <c r="D495" s="33" t="n">
        <v>1.15384615384615</v>
      </c>
      <c r="E495" s="33" t="n">
        <v>0.75</v>
      </c>
      <c r="F495" s="32" t="s">
        <v>283</v>
      </c>
    </row>
    <row r="496" customFormat="false" ht="15" hidden="false" customHeight="true" outlineLevel="0" collapsed="false">
      <c r="A496" s="30" t="n">
        <v>4</v>
      </c>
      <c r="B496" s="31" t="n">
        <v>14</v>
      </c>
      <c r="C496" s="32" t="n">
        <v>-1</v>
      </c>
      <c r="D496" s="33" t="n">
        <v>0.933333333333333</v>
      </c>
      <c r="E496" s="33" t="n">
        <v>0.7</v>
      </c>
      <c r="F496" s="32" t="s">
        <v>283</v>
      </c>
    </row>
    <row r="497" customFormat="false" ht="15" hidden="false" customHeight="true" outlineLevel="0" collapsed="false">
      <c r="A497" s="38" t="n">
        <v>5</v>
      </c>
      <c r="B497" s="66" t="n">
        <v>1</v>
      </c>
      <c r="C497" s="67" t="n">
        <v>-13</v>
      </c>
      <c r="D497" s="68" t="n">
        <v>0.0714285714285714</v>
      </c>
      <c r="E497" s="68" t="n">
        <v>0.05</v>
      </c>
      <c r="F497" s="67" t="s">
        <v>284</v>
      </c>
    </row>
    <row r="498" customFormat="false" ht="15" hidden="false" customHeight="true" outlineLevel="0" collapsed="false">
      <c r="A498" s="30" t="n">
        <v>6</v>
      </c>
      <c r="B498" s="31" t="n">
        <v>1</v>
      </c>
      <c r="C498" s="32" t="n">
        <v>0</v>
      </c>
      <c r="D498" s="33" t="n">
        <v>1</v>
      </c>
      <c r="E498" s="33" t="n">
        <v>0.05</v>
      </c>
      <c r="F498" s="32" t="s">
        <v>284</v>
      </c>
    </row>
    <row r="499" customFormat="false" ht="15" hidden="false" customHeight="true" outlineLevel="0" collapsed="false">
      <c r="A499" s="30" t="n">
        <v>7</v>
      </c>
      <c r="B499" s="31" t="n">
        <v>0</v>
      </c>
      <c r="C499" s="32" t="n">
        <v>-1</v>
      </c>
      <c r="D499" s="33" t="n">
        <v>0</v>
      </c>
      <c r="E499" s="33" t="n">
        <v>0</v>
      </c>
      <c r="F499" s="32" t="s">
        <v>284</v>
      </c>
    </row>
    <row r="500" customFormat="false" ht="15" hidden="false" customHeight="true" outlineLevel="0" collapsed="false">
      <c r="A500" s="34" t="s">
        <v>451</v>
      </c>
      <c r="B500" s="36" t="s">
        <v>478</v>
      </c>
      <c r="C500" s="36" t="n">
        <v>-20</v>
      </c>
      <c r="D500" s="36"/>
      <c r="E500" s="35" t="n">
        <v>0</v>
      </c>
      <c r="F500" s="36"/>
    </row>
    <row r="502" customFormat="false" ht="25.5" hidden="false" customHeight="true" outlineLevel="0" collapsed="false">
      <c r="A502" s="65" t="s">
        <v>437</v>
      </c>
      <c r="B502" s="65"/>
      <c r="C502" s="65"/>
      <c r="D502" s="65"/>
      <c r="E502" s="65"/>
      <c r="F502" s="65"/>
    </row>
    <row r="503" customFormat="false" ht="15" hidden="false" customHeight="true" outlineLevel="0" collapsed="false">
      <c r="A503" s="12" t="s">
        <v>275</v>
      </c>
      <c r="B503" s="12" t="s">
        <v>447</v>
      </c>
      <c r="C503" s="12" t="s">
        <v>448</v>
      </c>
      <c r="D503" s="12" t="s">
        <v>278</v>
      </c>
      <c r="E503" s="12" t="s">
        <v>449</v>
      </c>
      <c r="F503" s="12" t="s">
        <v>450</v>
      </c>
    </row>
    <row r="504" customFormat="false" ht="15" hidden="false" customHeight="true" outlineLevel="0" collapsed="false">
      <c r="A504" s="30" t="n">
        <v>1</v>
      </c>
      <c r="B504" s="31" t="n">
        <v>771</v>
      </c>
      <c r="C504" s="32"/>
      <c r="D504" s="32"/>
      <c r="E504" s="33" t="n">
        <v>1</v>
      </c>
      <c r="F504" s="32" t="s">
        <v>282</v>
      </c>
    </row>
    <row r="505" customFormat="false" ht="15" hidden="false" customHeight="true" outlineLevel="0" collapsed="false">
      <c r="A505" s="30" t="n">
        <v>2</v>
      </c>
      <c r="B505" s="31" t="n">
        <v>673</v>
      </c>
      <c r="C505" s="32" t="n">
        <v>-98</v>
      </c>
      <c r="D505" s="33" t="n">
        <v>0.872892347600519</v>
      </c>
      <c r="E505" s="33" t="n">
        <v>0.872892347600519</v>
      </c>
      <c r="F505" s="32" t="s">
        <v>282</v>
      </c>
    </row>
    <row r="506" customFormat="false" ht="15" hidden="false" customHeight="true" outlineLevel="0" collapsed="false">
      <c r="A506" s="30" t="n">
        <v>3</v>
      </c>
      <c r="B506" s="31" t="n">
        <v>595</v>
      </c>
      <c r="C506" s="32" t="n">
        <v>-78</v>
      </c>
      <c r="D506" s="33" t="n">
        <v>0.884101040118871</v>
      </c>
      <c r="E506" s="33" t="n">
        <v>0.771725032425422</v>
      </c>
      <c r="F506" s="32" t="s">
        <v>283</v>
      </c>
    </row>
    <row r="507" customFormat="false" ht="15" hidden="false" customHeight="true" outlineLevel="0" collapsed="false">
      <c r="A507" s="30" t="n">
        <v>4</v>
      </c>
      <c r="B507" s="31" t="n">
        <v>600</v>
      </c>
      <c r="C507" s="32" t="n">
        <v>5</v>
      </c>
      <c r="D507" s="33" t="n">
        <v>1.00840336134454</v>
      </c>
      <c r="E507" s="33" t="n">
        <v>0.778210116731518</v>
      </c>
      <c r="F507" s="32" t="s">
        <v>283</v>
      </c>
    </row>
    <row r="508" customFormat="false" ht="15" hidden="false" customHeight="true" outlineLevel="0" collapsed="false">
      <c r="A508" s="30" t="n">
        <v>5</v>
      </c>
      <c r="B508" s="31" t="n">
        <v>556</v>
      </c>
      <c r="C508" s="32" t="n">
        <v>-44</v>
      </c>
      <c r="D508" s="33" t="n">
        <v>0.926666666666667</v>
      </c>
      <c r="E508" s="33" t="n">
        <v>0.721141374837873</v>
      </c>
      <c r="F508" s="32" t="s">
        <v>283</v>
      </c>
    </row>
    <row r="509" customFormat="false" ht="15" hidden="false" customHeight="true" outlineLevel="0" collapsed="false">
      <c r="A509" s="30" t="n">
        <v>6</v>
      </c>
      <c r="B509" s="31" t="n">
        <v>551</v>
      </c>
      <c r="C509" s="32" t="n">
        <v>-5</v>
      </c>
      <c r="D509" s="33" t="n">
        <v>0.991007194244604</v>
      </c>
      <c r="E509" s="33" t="n">
        <v>0.714656290531777</v>
      </c>
      <c r="F509" s="32" t="s">
        <v>283</v>
      </c>
    </row>
    <row r="510" customFormat="false" ht="15" hidden="false" customHeight="true" outlineLevel="0" collapsed="false">
      <c r="A510" s="30" t="n">
        <v>7</v>
      </c>
      <c r="B510" s="31" t="n">
        <v>539</v>
      </c>
      <c r="C510" s="32" t="n">
        <v>-12</v>
      </c>
      <c r="D510" s="33" t="n">
        <v>0.978221415607986</v>
      </c>
      <c r="E510" s="33" t="n">
        <v>0.699092088197147</v>
      </c>
      <c r="F510" s="32" t="s">
        <v>283</v>
      </c>
    </row>
    <row r="511" customFormat="false" ht="15" hidden="false" customHeight="true" outlineLevel="0" collapsed="false">
      <c r="A511" s="30" t="n">
        <v>8</v>
      </c>
      <c r="B511" s="31" t="n">
        <v>269</v>
      </c>
      <c r="C511" s="32" t="n">
        <v>-270</v>
      </c>
      <c r="D511" s="33" t="n">
        <v>0.499072356215213</v>
      </c>
      <c r="E511" s="33" t="n">
        <v>0.348897535667964</v>
      </c>
      <c r="F511" s="32" t="s">
        <v>283</v>
      </c>
    </row>
    <row r="512" customFormat="false" ht="15" hidden="false" customHeight="true" outlineLevel="0" collapsed="false">
      <c r="A512" s="30" t="n">
        <v>9</v>
      </c>
      <c r="B512" s="31" t="n">
        <v>197</v>
      </c>
      <c r="C512" s="32" t="n">
        <v>-72</v>
      </c>
      <c r="D512" s="33" t="n">
        <v>0.732342007434944</v>
      </c>
      <c r="E512" s="33" t="n">
        <v>0.255512321660182</v>
      </c>
      <c r="F512" s="32" t="s">
        <v>283</v>
      </c>
    </row>
    <row r="513" customFormat="false" ht="15" hidden="false" customHeight="true" outlineLevel="0" collapsed="false">
      <c r="A513" s="38" t="n">
        <v>10</v>
      </c>
      <c r="B513" s="66" t="n">
        <v>84</v>
      </c>
      <c r="C513" s="67" t="n">
        <v>-113</v>
      </c>
      <c r="D513" s="68" t="n">
        <v>0.426395939086294</v>
      </c>
      <c r="E513" s="68" t="n">
        <v>0.108949416342413</v>
      </c>
      <c r="F513" s="67" t="s">
        <v>284</v>
      </c>
    </row>
    <row r="514" customFormat="false" ht="15" hidden="false" customHeight="true" outlineLevel="0" collapsed="false">
      <c r="A514" s="30" t="n">
        <v>11</v>
      </c>
      <c r="B514" s="31" t="n">
        <v>33</v>
      </c>
      <c r="C514" s="32" t="n">
        <v>-51</v>
      </c>
      <c r="D514" s="33" t="n">
        <v>0.392857142857143</v>
      </c>
      <c r="E514" s="33" t="n">
        <v>0.0428015564202335</v>
      </c>
      <c r="F514" s="32" t="s">
        <v>284</v>
      </c>
    </row>
    <row r="515" customFormat="false" ht="15" hidden="false" customHeight="true" outlineLevel="0" collapsed="false">
      <c r="A515" s="30" t="n">
        <v>12</v>
      </c>
      <c r="B515" s="31" t="n">
        <v>22</v>
      </c>
      <c r="C515" s="32" t="n">
        <v>-11</v>
      </c>
      <c r="D515" s="33" t="n">
        <v>0.666666666666667</v>
      </c>
      <c r="E515" s="33" t="n">
        <v>0.0285343709468223</v>
      </c>
      <c r="F515" s="32" t="s">
        <v>284</v>
      </c>
    </row>
    <row r="516" customFormat="false" ht="15" hidden="false" customHeight="true" outlineLevel="0" collapsed="false">
      <c r="A516" s="30" t="n">
        <v>13</v>
      </c>
      <c r="B516" s="31" t="n">
        <v>10</v>
      </c>
      <c r="C516" s="32" t="n">
        <v>-12</v>
      </c>
      <c r="D516" s="33" t="n">
        <v>0.454545454545455</v>
      </c>
      <c r="E516" s="33" t="n">
        <v>0.012970168612192</v>
      </c>
      <c r="F516" s="32" t="s">
        <v>284</v>
      </c>
    </row>
    <row r="517" customFormat="false" ht="15" hidden="false" customHeight="true" outlineLevel="0" collapsed="false">
      <c r="A517" s="30" t="n">
        <v>14</v>
      </c>
      <c r="B517" s="31" t="n">
        <v>4</v>
      </c>
      <c r="C517" s="32" t="n">
        <v>-6</v>
      </c>
      <c r="D517" s="33" t="n">
        <v>0.4</v>
      </c>
      <c r="E517" s="33" t="n">
        <v>0.00518806744487678</v>
      </c>
      <c r="F517" s="32" t="s">
        <v>284</v>
      </c>
    </row>
    <row r="518" customFormat="false" ht="15" hidden="false" customHeight="true" outlineLevel="0" collapsed="false">
      <c r="A518" s="30" t="n">
        <v>15</v>
      </c>
      <c r="B518" s="31" t="n">
        <v>5</v>
      </c>
      <c r="C518" s="32" t="n">
        <v>1</v>
      </c>
      <c r="D518" s="33" t="n">
        <v>1.25</v>
      </c>
      <c r="E518" s="33" t="n">
        <v>0.00648508430609598</v>
      </c>
      <c r="F518" s="32" t="s">
        <v>284</v>
      </c>
    </row>
    <row r="519" customFormat="false" ht="15" hidden="false" customHeight="true" outlineLevel="0" collapsed="false">
      <c r="A519" s="30" t="n">
        <v>16</v>
      </c>
      <c r="B519" s="31" t="n">
        <v>2</v>
      </c>
      <c r="C519" s="32" t="n">
        <v>-3</v>
      </c>
      <c r="D519" s="33" t="n">
        <v>0.4</v>
      </c>
      <c r="E519" s="33" t="n">
        <v>0.00259403372243839</v>
      </c>
      <c r="F519" s="32" t="s">
        <v>284</v>
      </c>
    </row>
    <row r="520" customFormat="false" ht="15" hidden="false" customHeight="true" outlineLevel="0" collapsed="false">
      <c r="A520" s="30" t="n">
        <v>17</v>
      </c>
      <c r="B520" s="31" t="n">
        <v>2</v>
      </c>
      <c r="C520" s="32" t="n">
        <v>0</v>
      </c>
      <c r="D520" s="33" t="n">
        <v>1</v>
      </c>
      <c r="E520" s="33" t="n">
        <v>0.00259403372243839</v>
      </c>
      <c r="F520" s="32" t="s">
        <v>284</v>
      </c>
    </row>
    <row r="521" customFormat="false" ht="15" hidden="false" customHeight="true" outlineLevel="0" collapsed="false">
      <c r="A521" s="30" t="n">
        <v>18</v>
      </c>
      <c r="B521" s="31" t="n">
        <v>2</v>
      </c>
      <c r="C521" s="32" t="n">
        <v>0</v>
      </c>
      <c r="D521" s="33" t="n">
        <v>1</v>
      </c>
      <c r="E521" s="33" t="n">
        <v>0.00259403372243839</v>
      </c>
      <c r="F521" s="32" t="s">
        <v>284</v>
      </c>
    </row>
    <row r="522" customFormat="false" ht="15" hidden="false" customHeight="true" outlineLevel="0" collapsed="false">
      <c r="A522" s="34" t="s">
        <v>451</v>
      </c>
      <c r="B522" s="36" t="s">
        <v>479</v>
      </c>
      <c r="C522" s="36" t="n">
        <v>-769</v>
      </c>
      <c r="D522" s="36"/>
      <c r="E522" s="35" t="n">
        <v>0.00259403372243839</v>
      </c>
      <c r="F522" s="36"/>
    </row>
    <row r="524" customFormat="false" ht="25.5" hidden="false" customHeight="true" outlineLevel="0" collapsed="false">
      <c r="A524" s="65" t="s">
        <v>438</v>
      </c>
      <c r="B524" s="65"/>
      <c r="C524" s="65"/>
      <c r="D524" s="65"/>
      <c r="E524" s="65"/>
      <c r="F524" s="65"/>
    </row>
    <row r="525" customFormat="false" ht="15" hidden="false" customHeight="true" outlineLevel="0" collapsed="false">
      <c r="A525" s="29" t="s">
        <v>272</v>
      </c>
      <c r="B525" s="29"/>
      <c r="C525" s="29"/>
      <c r="D525" s="29"/>
      <c r="E525" s="29"/>
      <c r="F525" s="29"/>
    </row>
    <row r="527" customFormat="false" ht="25.5" hidden="false" customHeight="true" outlineLevel="0" collapsed="false">
      <c r="A527" s="65" t="s">
        <v>439</v>
      </c>
      <c r="B527" s="65"/>
      <c r="C527" s="65"/>
      <c r="D527" s="65"/>
      <c r="E527" s="65"/>
      <c r="F527" s="65"/>
    </row>
    <row r="528" customFormat="false" ht="15" hidden="false" customHeight="true" outlineLevel="0" collapsed="false">
      <c r="A528" s="12" t="s">
        <v>275</v>
      </c>
      <c r="B528" s="12" t="s">
        <v>447</v>
      </c>
      <c r="C528" s="12" t="s">
        <v>448</v>
      </c>
      <c r="D528" s="12" t="s">
        <v>278</v>
      </c>
      <c r="E528" s="12" t="s">
        <v>449</v>
      </c>
      <c r="F528" s="12" t="s">
        <v>450</v>
      </c>
    </row>
    <row r="529" customFormat="false" ht="15" hidden="false" customHeight="true" outlineLevel="0" collapsed="false">
      <c r="A529" s="30" t="n">
        <v>1</v>
      </c>
      <c r="B529" s="31" t="n">
        <v>9</v>
      </c>
      <c r="C529" s="32"/>
      <c r="D529" s="32"/>
      <c r="E529" s="33" t="n">
        <v>1</v>
      </c>
      <c r="F529" s="32" t="s">
        <v>282</v>
      </c>
    </row>
    <row r="530" customFormat="false" ht="15" hidden="false" customHeight="true" outlineLevel="0" collapsed="false">
      <c r="A530" s="30" t="n">
        <v>2</v>
      </c>
      <c r="B530" s="31" t="n">
        <v>4</v>
      </c>
      <c r="C530" s="32" t="n">
        <v>-5</v>
      </c>
      <c r="D530" s="33" t="n">
        <v>0.444444444444444</v>
      </c>
      <c r="E530" s="33" t="n">
        <v>0.444444444444444</v>
      </c>
      <c r="F530" s="32" t="s">
        <v>282</v>
      </c>
    </row>
    <row r="531" customFormat="false" ht="15" hidden="false" customHeight="true" outlineLevel="0" collapsed="false">
      <c r="A531" s="30" t="n">
        <v>3</v>
      </c>
      <c r="B531" s="31" t="n">
        <v>4</v>
      </c>
      <c r="C531" s="32" t="n">
        <v>0</v>
      </c>
      <c r="D531" s="33" t="n">
        <v>1</v>
      </c>
      <c r="E531" s="33" t="n">
        <v>0.444444444444444</v>
      </c>
      <c r="F531" s="32" t="s">
        <v>283</v>
      </c>
    </row>
    <row r="532" customFormat="false" ht="15" hidden="false" customHeight="true" outlineLevel="0" collapsed="false">
      <c r="A532" s="30" t="n">
        <v>4</v>
      </c>
      <c r="B532" s="31" t="n">
        <v>4</v>
      </c>
      <c r="C532" s="32" t="n">
        <v>0</v>
      </c>
      <c r="D532" s="33" t="n">
        <v>1</v>
      </c>
      <c r="E532" s="33" t="n">
        <v>0.444444444444444</v>
      </c>
      <c r="F532" s="32" t="s">
        <v>283</v>
      </c>
    </row>
    <row r="533" customFormat="false" ht="15" hidden="false" customHeight="true" outlineLevel="0" collapsed="false">
      <c r="A533" s="34" t="s">
        <v>451</v>
      </c>
      <c r="B533" s="36" t="s">
        <v>480</v>
      </c>
      <c r="C533" s="36" t="n">
        <v>-5</v>
      </c>
      <c r="D533" s="36"/>
      <c r="E533" s="35" t="n">
        <v>0.444444444444444</v>
      </c>
      <c r="F533" s="36"/>
    </row>
    <row r="535" customFormat="false" ht="25.5" hidden="false" customHeight="true" outlineLevel="0" collapsed="false">
      <c r="A535" s="65" t="s">
        <v>440</v>
      </c>
      <c r="B535" s="65"/>
      <c r="C535" s="65"/>
      <c r="D535" s="65"/>
      <c r="E535" s="65"/>
      <c r="F535" s="65"/>
    </row>
    <row r="536" customFormat="false" ht="15" hidden="false" customHeight="true" outlineLevel="0" collapsed="false">
      <c r="A536" s="12" t="s">
        <v>275</v>
      </c>
      <c r="B536" s="12" t="s">
        <v>447</v>
      </c>
      <c r="C536" s="12" t="s">
        <v>448</v>
      </c>
      <c r="D536" s="12" t="s">
        <v>278</v>
      </c>
      <c r="E536" s="12" t="s">
        <v>449</v>
      </c>
      <c r="F536" s="12" t="s">
        <v>450</v>
      </c>
    </row>
    <row r="537" customFormat="false" ht="15" hidden="false" customHeight="true" outlineLevel="0" collapsed="false">
      <c r="A537" s="30" t="n">
        <v>1</v>
      </c>
      <c r="B537" s="31" t="n">
        <v>9</v>
      </c>
      <c r="C537" s="32"/>
      <c r="D537" s="32"/>
      <c r="E537" s="33" t="n">
        <v>1</v>
      </c>
      <c r="F537" s="32" t="s">
        <v>282</v>
      </c>
    </row>
    <row r="538" customFormat="false" ht="15" hidden="false" customHeight="true" outlineLevel="0" collapsed="false">
      <c r="A538" s="30" t="n">
        <v>2</v>
      </c>
      <c r="B538" s="31" t="n">
        <v>3</v>
      </c>
      <c r="C538" s="32" t="n">
        <v>-6</v>
      </c>
      <c r="D538" s="33" t="n">
        <v>0.333333333333333</v>
      </c>
      <c r="E538" s="33" t="n">
        <v>0.333333333333333</v>
      </c>
      <c r="F538" s="32" t="s">
        <v>282</v>
      </c>
    </row>
    <row r="539" customFormat="false" ht="15" hidden="false" customHeight="true" outlineLevel="0" collapsed="false">
      <c r="A539" s="30" t="n">
        <v>3</v>
      </c>
      <c r="B539" s="31" t="n">
        <v>3</v>
      </c>
      <c r="C539" s="32" t="n">
        <v>0</v>
      </c>
      <c r="D539" s="33" t="n">
        <v>1</v>
      </c>
      <c r="E539" s="33" t="n">
        <v>0.333333333333333</v>
      </c>
      <c r="F539" s="32" t="s">
        <v>283</v>
      </c>
    </row>
    <row r="540" customFormat="false" ht="15" hidden="false" customHeight="true" outlineLevel="0" collapsed="false">
      <c r="A540" s="30" t="n">
        <v>4</v>
      </c>
      <c r="B540" s="31" t="n">
        <v>3</v>
      </c>
      <c r="C540" s="32" t="n">
        <v>0</v>
      </c>
      <c r="D540" s="33" t="n">
        <v>1</v>
      </c>
      <c r="E540" s="33" t="n">
        <v>0.333333333333333</v>
      </c>
      <c r="F540" s="32" t="s">
        <v>283</v>
      </c>
    </row>
    <row r="541" customFormat="false" ht="15" hidden="false" customHeight="true" outlineLevel="0" collapsed="false">
      <c r="A541" s="34" t="s">
        <v>451</v>
      </c>
      <c r="B541" s="36" t="s">
        <v>481</v>
      </c>
      <c r="C541" s="36" t="n">
        <v>-6</v>
      </c>
      <c r="D541" s="36"/>
      <c r="E541" s="35" t="n">
        <v>0.333333333333333</v>
      </c>
      <c r="F541" s="36"/>
    </row>
    <row r="543" customFormat="false" ht="25.5" hidden="false" customHeight="true" outlineLevel="0" collapsed="false">
      <c r="A543" s="65" t="s">
        <v>441</v>
      </c>
      <c r="B543" s="65"/>
      <c r="C543" s="65"/>
      <c r="D543" s="65"/>
      <c r="E543" s="65"/>
      <c r="F543" s="65"/>
    </row>
    <row r="544" customFormat="false" ht="15" hidden="false" customHeight="true" outlineLevel="0" collapsed="false">
      <c r="A544" s="12" t="s">
        <v>275</v>
      </c>
      <c r="B544" s="12" t="s">
        <v>447</v>
      </c>
      <c r="C544" s="12" t="s">
        <v>448</v>
      </c>
      <c r="D544" s="12" t="s">
        <v>278</v>
      </c>
      <c r="E544" s="12" t="s">
        <v>449</v>
      </c>
      <c r="F544" s="12" t="s">
        <v>450</v>
      </c>
    </row>
    <row r="545" customFormat="false" ht="15" hidden="false" customHeight="true" outlineLevel="0" collapsed="false">
      <c r="A545" s="30" t="n">
        <v>1</v>
      </c>
      <c r="B545" s="31" t="n">
        <v>19</v>
      </c>
      <c r="C545" s="32"/>
      <c r="D545" s="32"/>
      <c r="E545" s="33" t="n">
        <v>1</v>
      </c>
      <c r="F545" s="32" t="s">
        <v>282</v>
      </c>
    </row>
    <row r="546" customFormat="false" ht="15" hidden="false" customHeight="true" outlineLevel="0" collapsed="false">
      <c r="A546" s="30" t="n">
        <v>2</v>
      </c>
      <c r="B546" s="31" t="n">
        <v>16</v>
      </c>
      <c r="C546" s="32" t="n">
        <v>-3</v>
      </c>
      <c r="D546" s="33" t="n">
        <v>0.842105263157895</v>
      </c>
      <c r="E546" s="33" t="n">
        <v>0.842105263157895</v>
      </c>
      <c r="F546" s="32" t="s">
        <v>282</v>
      </c>
    </row>
    <row r="547" customFormat="false" ht="15" hidden="false" customHeight="true" outlineLevel="0" collapsed="false">
      <c r="A547" s="30" t="n">
        <v>3</v>
      </c>
      <c r="B547" s="31" t="n">
        <v>7</v>
      </c>
      <c r="C547" s="32" t="n">
        <v>-9</v>
      </c>
      <c r="D547" s="33" t="n">
        <v>0.4375</v>
      </c>
      <c r="E547" s="33" t="n">
        <v>0.368421052631579</v>
      </c>
      <c r="F547" s="32" t="s">
        <v>283</v>
      </c>
    </row>
    <row r="548" customFormat="false" ht="15" hidden="false" customHeight="true" outlineLevel="0" collapsed="false">
      <c r="A548" s="30" t="n">
        <v>4</v>
      </c>
      <c r="B548" s="31" t="n">
        <v>8</v>
      </c>
      <c r="C548" s="32" t="n">
        <v>1</v>
      </c>
      <c r="D548" s="33" t="n">
        <v>1.14285714285714</v>
      </c>
      <c r="E548" s="33" t="n">
        <v>0.421052631578947</v>
      </c>
      <c r="F548" s="32" t="s">
        <v>283</v>
      </c>
    </row>
    <row r="549" customFormat="false" ht="15" hidden="false" customHeight="true" outlineLevel="0" collapsed="false">
      <c r="A549" s="30" t="n">
        <v>5</v>
      </c>
      <c r="B549" s="31" t="n">
        <v>3</v>
      </c>
      <c r="C549" s="32" t="n">
        <v>-5</v>
      </c>
      <c r="D549" s="33" t="n">
        <v>0.375</v>
      </c>
      <c r="E549" s="33" t="n">
        <v>0.157894736842105</v>
      </c>
      <c r="F549" s="32" t="s">
        <v>283</v>
      </c>
    </row>
    <row r="550" customFormat="false" ht="15" hidden="false" customHeight="true" outlineLevel="0" collapsed="false">
      <c r="A550" s="38" t="n">
        <v>6</v>
      </c>
      <c r="B550" s="66" t="n">
        <v>1</v>
      </c>
      <c r="C550" s="67" t="n">
        <v>-2</v>
      </c>
      <c r="D550" s="68" t="n">
        <v>0.333333333333333</v>
      </c>
      <c r="E550" s="68" t="n">
        <v>0.0526315789473684</v>
      </c>
      <c r="F550" s="67" t="s">
        <v>284</v>
      </c>
    </row>
    <row r="551" customFormat="false" ht="15" hidden="false" customHeight="true" outlineLevel="0" collapsed="false">
      <c r="A551" s="30" t="n">
        <v>7</v>
      </c>
      <c r="B551" s="31" t="n">
        <v>1</v>
      </c>
      <c r="C551" s="32" t="n">
        <v>0</v>
      </c>
      <c r="D551" s="33" t="n">
        <v>1</v>
      </c>
      <c r="E551" s="33" t="n">
        <v>0.0526315789473684</v>
      </c>
      <c r="F551" s="32" t="s">
        <v>284</v>
      </c>
    </row>
    <row r="552" customFormat="false" ht="15" hidden="false" customHeight="true" outlineLevel="0" collapsed="false">
      <c r="A552" s="30" t="n">
        <v>8</v>
      </c>
      <c r="B552" s="31" t="n">
        <v>1</v>
      </c>
      <c r="C552" s="32" t="n">
        <v>0</v>
      </c>
      <c r="D552" s="33" t="n">
        <v>1</v>
      </c>
      <c r="E552" s="33" t="n">
        <v>0.0526315789473684</v>
      </c>
      <c r="F552" s="32" t="s">
        <v>284</v>
      </c>
    </row>
    <row r="553" customFormat="false" ht="15" hidden="false" customHeight="true" outlineLevel="0" collapsed="false">
      <c r="A553" s="30" t="n">
        <v>9</v>
      </c>
      <c r="B553" s="31" t="n">
        <v>0</v>
      </c>
      <c r="C553" s="32" t="n">
        <v>-1</v>
      </c>
      <c r="D553" s="33" t="n">
        <v>0</v>
      </c>
      <c r="E553" s="33" t="n">
        <v>0</v>
      </c>
      <c r="F553" s="32" t="s">
        <v>284</v>
      </c>
    </row>
    <row r="554" customFormat="false" ht="15" hidden="false" customHeight="true" outlineLevel="0" collapsed="false">
      <c r="A554" s="30" t="n">
        <v>10</v>
      </c>
      <c r="B554" s="31" t="n">
        <v>1</v>
      </c>
      <c r="C554" s="32" t="n">
        <v>1</v>
      </c>
      <c r="D554" s="32"/>
      <c r="E554" s="33" t="n">
        <v>0.0526315789473684</v>
      </c>
      <c r="F554" s="32" t="s">
        <v>284</v>
      </c>
    </row>
    <row r="555" customFormat="false" ht="15" hidden="false" customHeight="true" outlineLevel="0" collapsed="false">
      <c r="A555" s="34" t="s">
        <v>451</v>
      </c>
      <c r="B555" s="36" t="s">
        <v>482</v>
      </c>
      <c r="C555" s="36" t="n">
        <v>-18</v>
      </c>
      <c r="D555" s="36"/>
      <c r="E555" s="35" t="n">
        <v>0.0526315789473684</v>
      </c>
      <c r="F555" s="36"/>
    </row>
    <row r="557" customFormat="false" ht="25.5" hidden="false" customHeight="true" outlineLevel="0" collapsed="false">
      <c r="A557" s="65" t="s">
        <v>442</v>
      </c>
      <c r="B557" s="65"/>
      <c r="C557" s="65"/>
      <c r="D557" s="65"/>
      <c r="E557" s="65"/>
      <c r="F557" s="65"/>
    </row>
    <row r="558" customFormat="false" ht="15" hidden="false" customHeight="true" outlineLevel="0" collapsed="false">
      <c r="A558" s="12" t="s">
        <v>275</v>
      </c>
      <c r="B558" s="12" t="s">
        <v>447</v>
      </c>
      <c r="C558" s="12" t="s">
        <v>448</v>
      </c>
      <c r="D558" s="12" t="s">
        <v>278</v>
      </c>
      <c r="E558" s="12" t="s">
        <v>449</v>
      </c>
      <c r="F558" s="12" t="s">
        <v>450</v>
      </c>
    </row>
    <row r="559" customFormat="false" ht="15" hidden="false" customHeight="true" outlineLevel="0" collapsed="false">
      <c r="A559" s="30" t="n">
        <v>1</v>
      </c>
      <c r="B559" s="31" t="n">
        <v>2</v>
      </c>
      <c r="C559" s="32"/>
      <c r="D559" s="32"/>
      <c r="E559" s="33" t="n">
        <v>1</v>
      </c>
      <c r="F559" s="32" t="s">
        <v>282</v>
      </c>
    </row>
    <row r="560" customFormat="false" ht="15" hidden="false" customHeight="true" outlineLevel="0" collapsed="false">
      <c r="A560" s="30" t="n">
        <v>2</v>
      </c>
      <c r="B560" s="31" t="n">
        <v>2</v>
      </c>
      <c r="C560" s="32" t="n">
        <v>0</v>
      </c>
      <c r="D560" s="33" t="n">
        <v>1</v>
      </c>
      <c r="E560" s="33" t="n">
        <v>1</v>
      </c>
      <c r="F560" s="32" t="s">
        <v>282</v>
      </c>
    </row>
    <row r="561" customFormat="false" ht="15" hidden="false" customHeight="true" outlineLevel="0" collapsed="false">
      <c r="A561" s="30" t="n">
        <v>3</v>
      </c>
      <c r="B561" s="31" t="n">
        <v>1</v>
      </c>
      <c r="C561" s="32" t="n">
        <v>-1</v>
      </c>
      <c r="D561" s="33" t="n">
        <v>0.5</v>
      </c>
      <c r="E561" s="33" t="n">
        <v>0.5</v>
      </c>
      <c r="F561" s="32" t="s">
        <v>283</v>
      </c>
    </row>
    <row r="562" customFormat="false" ht="15" hidden="false" customHeight="true" outlineLevel="0" collapsed="false">
      <c r="A562" s="38" t="n">
        <v>4</v>
      </c>
      <c r="B562" s="66" t="n">
        <v>0</v>
      </c>
      <c r="C562" s="67" t="n">
        <v>-1</v>
      </c>
      <c r="D562" s="68" t="n">
        <v>0</v>
      </c>
      <c r="E562" s="68" t="n">
        <v>0</v>
      </c>
      <c r="F562" s="67" t="s">
        <v>284</v>
      </c>
    </row>
    <row r="563" customFormat="false" ht="15" hidden="false" customHeight="true" outlineLevel="0" collapsed="false">
      <c r="A563" s="34" t="s">
        <v>451</v>
      </c>
      <c r="B563" s="36" t="s">
        <v>483</v>
      </c>
      <c r="C563" s="36" t="n">
        <v>-2</v>
      </c>
      <c r="D563" s="36"/>
      <c r="E563" s="35" t="n">
        <v>0</v>
      </c>
      <c r="F563" s="36"/>
    </row>
  </sheetData>
  <mergeCells count="54">
    <mergeCell ref="A1:F1"/>
    <mergeCell ref="A2:F2"/>
    <mergeCell ref="A4:F4"/>
    <mergeCell ref="A5:F5"/>
    <mergeCell ref="A27:F27"/>
    <mergeCell ref="A28:F28"/>
    <mergeCell ref="A30:F30"/>
    <mergeCell ref="A31:F31"/>
    <mergeCell ref="A33:F33"/>
    <mergeCell ref="A48:F48"/>
    <mergeCell ref="A49:F49"/>
    <mergeCell ref="A51:F51"/>
    <mergeCell ref="A71:F71"/>
    <mergeCell ref="A88:F88"/>
    <mergeCell ref="A101:F101"/>
    <mergeCell ref="A122:F122"/>
    <mergeCell ref="A141:F141"/>
    <mergeCell ref="A162:F162"/>
    <mergeCell ref="A182:F182"/>
    <mergeCell ref="A198:F198"/>
    <mergeCell ref="A217:F217"/>
    <mergeCell ref="A218:F218"/>
    <mergeCell ref="A220:F220"/>
    <mergeCell ref="A221:F221"/>
    <mergeCell ref="A223:F223"/>
    <mergeCell ref="A243:F243"/>
    <mergeCell ref="A260:F260"/>
    <mergeCell ref="A261:F261"/>
    <mergeCell ref="A263:F263"/>
    <mergeCell ref="A280:F280"/>
    <mergeCell ref="A302:F302"/>
    <mergeCell ref="A316:F316"/>
    <mergeCell ref="A317:F317"/>
    <mergeCell ref="A319:F319"/>
    <mergeCell ref="A332:F332"/>
    <mergeCell ref="A346:F346"/>
    <mergeCell ref="A366:F366"/>
    <mergeCell ref="A383:F383"/>
    <mergeCell ref="A384:F384"/>
    <mergeCell ref="A386:F386"/>
    <mergeCell ref="A397:F397"/>
    <mergeCell ref="A415:F415"/>
    <mergeCell ref="A430:F430"/>
    <mergeCell ref="A448:F448"/>
    <mergeCell ref="A465:F465"/>
    <mergeCell ref="A479:F479"/>
    <mergeCell ref="A491:F491"/>
    <mergeCell ref="A502:F502"/>
    <mergeCell ref="A524:F524"/>
    <mergeCell ref="A525:F525"/>
    <mergeCell ref="A527:F527"/>
    <mergeCell ref="A535:F535"/>
    <mergeCell ref="A543:F543"/>
    <mergeCell ref="A557:F557"/>
  </mergeCells>
  <conditionalFormatting sqref="B7:B24">
    <cfRule type="dataBar" priority="2">
      <dataBar showValue="1" minLength="10" maxLength="90">
        <cfvo type="min" val="0"/>
        <cfvo type="max" val="0"/>
        <color rgb="FF638EC6"/>
      </dataBar>
      <extLst>
        <ext xmlns:x14="http://schemas.microsoft.com/office/spreadsheetml/2009/9/main" uri="{B025F937-C7B1-47D3-B67F-A62EFF666E3E}">
          <x14:id>{D784A085-A118-4B9E-A45B-5A9A4B31F6E7}</x14:id>
        </ext>
      </extLst>
    </cfRule>
  </conditionalFormatting>
  <conditionalFormatting sqref="B35:B45">
    <cfRule type="dataBar" priority="3">
      <dataBar showValue="1" minLength="10" maxLength="90">
        <cfvo type="min" val="0"/>
        <cfvo type="max" val="0"/>
        <color rgb="FF638EC6"/>
      </dataBar>
      <extLst>
        <ext xmlns:x14="http://schemas.microsoft.com/office/spreadsheetml/2009/9/main" uri="{B025F937-C7B1-47D3-B67F-A62EFF666E3E}">
          <x14:id>{37602B4B-DDD5-4FBB-B26C-574E8F5E982E}</x14:id>
        </ext>
      </extLst>
    </cfRule>
  </conditionalFormatting>
  <conditionalFormatting sqref="B53:B68">
    <cfRule type="dataBar" priority="4">
      <dataBar showValue="1" minLength="10" maxLength="90">
        <cfvo type="min" val="0"/>
        <cfvo type="max" val="0"/>
        <color rgb="FF638EC6"/>
      </dataBar>
      <extLst>
        <ext xmlns:x14="http://schemas.microsoft.com/office/spreadsheetml/2009/9/main" uri="{B025F937-C7B1-47D3-B67F-A62EFF666E3E}">
          <x14:id>{69318F81-2B6F-46D6-94FE-5356386869DF}</x14:id>
        </ext>
      </extLst>
    </cfRule>
  </conditionalFormatting>
  <conditionalFormatting sqref="B73:B85">
    <cfRule type="dataBar" priority="5">
      <dataBar showValue="1" minLength="10" maxLength="90">
        <cfvo type="min" val="0"/>
        <cfvo type="max" val="0"/>
        <color rgb="FF638EC6"/>
      </dataBar>
      <extLst>
        <ext xmlns:x14="http://schemas.microsoft.com/office/spreadsheetml/2009/9/main" uri="{B025F937-C7B1-47D3-B67F-A62EFF666E3E}">
          <x14:id>{6D302FCD-79F1-44C6-8B3A-9B55E08F8D17}</x14:id>
        </ext>
      </extLst>
    </cfRule>
  </conditionalFormatting>
  <conditionalFormatting sqref="B90:B98">
    <cfRule type="dataBar" priority="6">
      <dataBar showValue="1" minLength="10" maxLength="90">
        <cfvo type="min" val="0"/>
        <cfvo type="max" val="0"/>
        <color rgb="FF638EC6"/>
      </dataBar>
      <extLst>
        <ext xmlns:x14="http://schemas.microsoft.com/office/spreadsheetml/2009/9/main" uri="{B025F937-C7B1-47D3-B67F-A62EFF666E3E}">
          <x14:id>{DDDFBFA3-769B-4360-B842-68005B3E8E88}</x14:id>
        </ext>
      </extLst>
    </cfRule>
  </conditionalFormatting>
  <conditionalFormatting sqref="B103:B119">
    <cfRule type="dataBar" priority="7">
      <dataBar showValue="1" minLength="10" maxLength="90">
        <cfvo type="min" val="0"/>
        <cfvo type="max" val="0"/>
        <color rgb="FF638EC6"/>
      </dataBar>
      <extLst>
        <ext xmlns:x14="http://schemas.microsoft.com/office/spreadsheetml/2009/9/main" uri="{B025F937-C7B1-47D3-B67F-A62EFF666E3E}">
          <x14:id>{B9D2F47D-3B73-4963-87C1-1D265998C4B5}</x14:id>
        </ext>
      </extLst>
    </cfRule>
  </conditionalFormatting>
  <conditionalFormatting sqref="B124:B138">
    <cfRule type="dataBar" priority="8">
      <dataBar showValue="1" minLength="10" maxLength="90">
        <cfvo type="min" val="0"/>
        <cfvo type="max" val="0"/>
        <color rgb="FF638EC6"/>
      </dataBar>
      <extLst>
        <ext xmlns:x14="http://schemas.microsoft.com/office/spreadsheetml/2009/9/main" uri="{B025F937-C7B1-47D3-B67F-A62EFF666E3E}">
          <x14:id>{27304EA5-7092-4A9D-91F2-FC7435C55A3D}</x14:id>
        </ext>
      </extLst>
    </cfRule>
  </conditionalFormatting>
  <conditionalFormatting sqref="B143:B159">
    <cfRule type="dataBar" priority="9">
      <dataBar showValue="1" minLength="10" maxLength="90">
        <cfvo type="min" val="0"/>
        <cfvo type="max" val="0"/>
        <color rgb="FF638EC6"/>
      </dataBar>
      <extLst>
        <ext xmlns:x14="http://schemas.microsoft.com/office/spreadsheetml/2009/9/main" uri="{B025F937-C7B1-47D3-B67F-A62EFF666E3E}">
          <x14:id>{25E0B09D-93E9-455F-B889-F3BFE27FE257}</x14:id>
        </ext>
      </extLst>
    </cfRule>
  </conditionalFormatting>
  <conditionalFormatting sqref="B164:B179">
    <cfRule type="dataBar" priority="10">
      <dataBar showValue="1" minLength="10" maxLength="90">
        <cfvo type="min" val="0"/>
        <cfvo type="max" val="0"/>
        <color rgb="FF638EC6"/>
      </dataBar>
      <extLst>
        <ext xmlns:x14="http://schemas.microsoft.com/office/spreadsheetml/2009/9/main" uri="{B025F937-C7B1-47D3-B67F-A62EFF666E3E}">
          <x14:id>{AED7D075-1B86-4BD2-9D9D-85273ADA2F87}</x14:id>
        </ext>
      </extLst>
    </cfRule>
  </conditionalFormatting>
  <conditionalFormatting sqref="B184:B195">
    <cfRule type="dataBar" priority="11">
      <dataBar showValue="1" minLength="10" maxLength="90">
        <cfvo type="min" val="0"/>
        <cfvo type="max" val="0"/>
        <color rgb="FF638EC6"/>
      </dataBar>
      <extLst>
        <ext xmlns:x14="http://schemas.microsoft.com/office/spreadsheetml/2009/9/main" uri="{B025F937-C7B1-47D3-B67F-A62EFF666E3E}">
          <x14:id>{8545F760-AC87-4F9C-BF10-B06CF21FA040}</x14:id>
        </ext>
      </extLst>
    </cfRule>
  </conditionalFormatting>
  <conditionalFormatting sqref="B200:B214">
    <cfRule type="dataBar" priority="12">
      <dataBar showValue="1" minLength="10" maxLength="90">
        <cfvo type="min" val="0"/>
        <cfvo type="max" val="0"/>
        <color rgb="FF638EC6"/>
      </dataBar>
      <extLst>
        <ext xmlns:x14="http://schemas.microsoft.com/office/spreadsheetml/2009/9/main" uri="{B025F937-C7B1-47D3-B67F-A62EFF666E3E}">
          <x14:id>{1B641961-D340-4DF1-AD2C-3C90C079AF4B}</x14:id>
        </ext>
      </extLst>
    </cfRule>
  </conditionalFormatting>
  <conditionalFormatting sqref="B225:B240">
    <cfRule type="dataBar" priority="13">
      <dataBar showValue="1" minLength="10" maxLength="90">
        <cfvo type="min" val="0"/>
        <cfvo type="max" val="0"/>
        <color rgb="FF638EC6"/>
      </dataBar>
      <extLst>
        <ext xmlns:x14="http://schemas.microsoft.com/office/spreadsheetml/2009/9/main" uri="{B025F937-C7B1-47D3-B67F-A62EFF666E3E}">
          <x14:id>{F4EE3996-71C5-4A9B-8FEE-9E5F91C9A478}</x14:id>
        </ext>
      </extLst>
    </cfRule>
  </conditionalFormatting>
  <conditionalFormatting sqref="B245:B257">
    <cfRule type="dataBar" priority="14">
      <dataBar showValue="1" minLength="10" maxLength="90">
        <cfvo type="min" val="0"/>
        <cfvo type="max" val="0"/>
        <color rgb="FF638EC6"/>
      </dataBar>
      <extLst>
        <ext xmlns:x14="http://schemas.microsoft.com/office/spreadsheetml/2009/9/main" uri="{B025F937-C7B1-47D3-B67F-A62EFF666E3E}">
          <x14:id>{8E49B7A9-9350-4C80-94E6-1EE5C1A43024}</x14:id>
        </ext>
      </extLst>
    </cfRule>
  </conditionalFormatting>
  <conditionalFormatting sqref="B265:B277">
    <cfRule type="dataBar" priority="15">
      <dataBar showValue="1" minLength="10" maxLength="90">
        <cfvo type="min" val="0"/>
        <cfvo type="max" val="0"/>
        <color rgb="FF638EC6"/>
      </dataBar>
      <extLst>
        <ext xmlns:x14="http://schemas.microsoft.com/office/spreadsheetml/2009/9/main" uri="{B025F937-C7B1-47D3-B67F-A62EFF666E3E}">
          <x14:id>{C03CAA42-11E1-4E9D-B412-25461551B399}</x14:id>
        </ext>
      </extLst>
    </cfRule>
  </conditionalFormatting>
  <conditionalFormatting sqref="B282:B299">
    <cfRule type="dataBar" priority="16">
      <dataBar showValue="1" minLength="10" maxLength="90">
        <cfvo type="min" val="0"/>
        <cfvo type="max" val="0"/>
        <color rgb="FF638EC6"/>
      </dataBar>
      <extLst>
        <ext xmlns:x14="http://schemas.microsoft.com/office/spreadsheetml/2009/9/main" uri="{B025F937-C7B1-47D3-B67F-A62EFF666E3E}">
          <x14:id>{4FF51991-B9EE-4F97-939E-1AB7E170A724}</x14:id>
        </ext>
      </extLst>
    </cfRule>
  </conditionalFormatting>
  <conditionalFormatting sqref="B304:B313">
    <cfRule type="dataBar" priority="17">
      <dataBar showValue="1" minLength="10" maxLength="90">
        <cfvo type="min" val="0"/>
        <cfvo type="max" val="0"/>
        <color rgb="FF638EC6"/>
      </dataBar>
      <extLst>
        <ext xmlns:x14="http://schemas.microsoft.com/office/spreadsheetml/2009/9/main" uri="{B025F937-C7B1-47D3-B67F-A62EFF666E3E}">
          <x14:id>{13B0D537-AE88-45FC-BD2D-202AE8D03CFD}</x14:id>
        </ext>
      </extLst>
    </cfRule>
  </conditionalFormatting>
  <conditionalFormatting sqref="B321:B329">
    <cfRule type="dataBar" priority="18">
      <dataBar showValue="1" minLength="10" maxLength="90">
        <cfvo type="min" val="0"/>
        <cfvo type="max" val="0"/>
        <color rgb="FF638EC6"/>
      </dataBar>
      <extLst>
        <ext xmlns:x14="http://schemas.microsoft.com/office/spreadsheetml/2009/9/main" uri="{B025F937-C7B1-47D3-B67F-A62EFF666E3E}">
          <x14:id>{DE27E07E-EAFC-43B0-BA27-30D4F7D76328}</x14:id>
        </ext>
      </extLst>
    </cfRule>
  </conditionalFormatting>
  <conditionalFormatting sqref="B334:B343">
    <cfRule type="dataBar" priority="19">
      <dataBar showValue="1" minLength="10" maxLength="90">
        <cfvo type="min" val="0"/>
        <cfvo type="max" val="0"/>
        <color rgb="FF638EC6"/>
      </dataBar>
      <extLst>
        <ext xmlns:x14="http://schemas.microsoft.com/office/spreadsheetml/2009/9/main" uri="{B025F937-C7B1-47D3-B67F-A62EFF666E3E}">
          <x14:id>{16F77330-C373-43B0-A756-3080E551CF80}</x14:id>
        </ext>
      </extLst>
    </cfRule>
  </conditionalFormatting>
  <conditionalFormatting sqref="B348:B363">
    <cfRule type="dataBar" priority="20">
      <dataBar showValue="1" minLength="10" maxLength="90">
        <cfvo type="min" val="0"/>
        <cfvo type="max" val="0"/>
        <color rgb="FF638EC6"/>
      </dataBar>
      <extLst>
        <ext xmlns:x14="http://schemas.microsoft.com/office/spreadsheetml/2009/9/main" uri="{B025F937-C7B1-47D3-B67F-A62EFF666E3E}">
          <x14:id>{17DF82EE-9394-4E5D-9CF6-40407A6A182D}</x14:id>
        </ext>
      </extLst>
    </cfRule>
  </conditionalFormatting>
  <conditionalFormatting sqref="B368:B380">
    <cfRule type="dataBar" priority="21">
      <dataBar showValue="1" minLength="10" maxLength="90">
        <cfvo type="min" val="0"/>
        <cfvo type="max" val="0"/>
        <color rgb="FF638EC6"/>
      </dataBar>
      <extLst>
        <ext xmlns:x14="http://schemas.microsoft.com/office/spreadsheetml/2009/9/main" uri="{B025F937-C7B1-47D3-B67F-A62EFF666E3E}">
          <x14:id>{4BB15744-B7A0-4A59-903D-E8E05C2FBB1A}</x14:id>
        </ext>
      </extLst>
    </cfRule>
  </conditionalFormatting>
  <conditionalFormatting sqref="B388:B394">
    <cfRule type="dataBar" priority="22">
      <dataBar showValue="1" minLength="10" maxLength="90">
        <cfvo type="min" val="0"/>
        <cfvo type="max" val="0"/>
        <color rgb="FF638EC6"/>
      </dataBar>
      <extLst>
        <ext xmlns:x14="http://schemas.microsoft.com/office/spreadsheetml/2009/9/main" uri="{B025F937-C7B1-47D3-B67F-A62EFF666E3E}">
          <x14:id>{C225BD16-95C1-4B20-A2A9-1AFCC6E410BC}</x14:id>
        </ext>
      </extLst>
    </cfRule>
  </conditionalFormatting>
  <conditionalFormatting sqref="B399:B412">
    <cfRule type="dataBar" priority="23">
      <dataBar showValue="1" minLength="10" maxLength="90">
        <cfvo type="min" val="0"/>
        <cfvo type="max" val="0"/>
        <color rgb="FF638EC6"/>
      </dataBar>
      <extLst>
        <ext xmlns:x14="http://schemas.microsoft.com/office/spreadsheetml/2009/9/main" uri="{B025F937-C7B1-47D3-B67F-A62EFF666E3E}">
          <x14:id>{1194A192-EAFB-43C0-8A8A-475F4A4BB6F0}</x14:id>
        </ext>
      </extLst>
    </cfRule>
  </conditionalFormatting>
  <conditionalFormatting sqref="B417:B427">
    <cfRule type="dataBar" priority="24">
      <dataBar showValue="1" minLength="10" maxLength="90">
        <cfvo type="min" val="0"/>
        <cfvo type="max" val="0"/>
        <color rgb="FF638EC6"/>
      </dataBar>
      <extLst>
        <ext xmlns:x14="http://schemas.microsoft.com/office/spreadsheetml/2009/9/main" uri="{B025F937-C7B1-47D3-B67F-A62EFF666E3E}">
          <x14:id>{151A12E3-C059-4391-99CB-663A5D476527}</x14:id>
        </ext>
      </extLst>
    </cfRule>
  </conditionalFormatting>
  <conditionalFormatting sqref="B432:B445">
    <cfRule type="dataBar" priority="25">
      <dataBar showValue="1" minLength="10" maxLength="90">
        <cfvo type="min" val="0"/>
        <cfvo type="max" val="0"/>
        <color rgb="FF638EC6"/>
      </dataBar>
      <extLst>
        <ext xmlns:x14="http://schemas.microsoft.com/office/spreadsheetml/2009/9/main" uri="{B025F937-C7B1-47D3-B67F-A62EFF666E3E}">
          <x14:id>{69B644F2-A2EE-451A-B8D9-50C06217C372}</x14:id>
        </ext>
      </extLst>
    </cfRule>
  </conditionalFormatting>
  <conditionalFormatting sqref="B450:B462">
    <cfRule type="dataBar" priority="26">
      <dataBar showValue="1" minLength="10" maxLength="90">
        <cfvo type="min" val="0"/>
        <cfvo type="max" val="0"/>
        <color rgb="FF638EC6"/>
      </dataBar>
      <extLst>
        <ext xmlns:x14="http://schemas.microsoft.com/office/spreadsheetml/2009/9/main" uri="{B025F937-C7B1-47D3-B67F-A62EFF666E3E}">
          <x14:id>{9DADF7E6-2EA8-403C-99AB-484CFB894364}</x14:id>
        </ext>
      </extLst>
    </cfRule>
  </conditionalFormatting>
  <conditionalFormatting sqref="B467:B476">
    <cfRule type="dataBar" priority="27">
      <dataBar showValue="1" minLength="10" maxLength="90">
        <cfvo type="min" val="0"/>
        <cfvo type="max" val="0"/>
        <color rgb="FF638EC6"/>
      </dataBar>
      <extLst>
        <ext xmlns:x14="http://schemas.microsoft.com/office/spreadsheetml/2009/9/main" uri="{B025F937-C7B1-47D3-B67F-A62EFF666E3E}">
          <x14:id>{4B75A6AD-E765-4622-A8F1-D380CA446FB7}</x14:id>
        </ext>
      </extLst>
    </cfRule>
  </conditionalFormatting>
  <conditionalFormatting sqref="B481:B488">
    <cfRule type="dataBar" priority="28">
      <dataBar showValue="1" minLength="10" maxLength="90">
        <cfvo type="min" val="0"/>
        <cfvo type="max" val="0"/>
        <color rgb="FF638EC6"/>
      </dataBar>
      <extLst>
        <ext xmlns:x14="http://schemas.microsoft.com/office/spreadsheetml/2009/9/main" uri="{B025F937-C7B1-47D3-B67F-A62EFF666E3E}">
          <x14:id>{9AE8586A-8A86-44A6-AC9B-85BEDFF46090}</x14:id>
        </ext>
      </extLst>
    </cfRule>
  </conditionalFormatting>
  <conditionalFormatting sqref="B493:B499">
    <cfRule type="dataBar" priority="29">
      <dataBar showValue="1" minLength="10" maxLength="90">
        <cfvo type="min" val="0"/>
        <cfvo type="max" val="0"/>
        <color rgb="FF638EC6"/>
      </dataBar>
      <extLst>
        <ext xmlns:x14="http://schemas.microsoft.com/office/spreadsheetml/2009/9/main" uri="{B025F937-C7B1-47D3-B67F-A62EFF666E3E}">
          <x14:id>{9BFFF977-A0A4-4497-98CE-82EABAFC5A58}</x14:id>
        </ext>
      </extLst>
    </cfRule>
  </conditionalFormatting>
  <conditionalFormatting sqref="B504:B521">
    <cfRule type="dataBar" priority="30">
      <dataBar showValue="1" minLength="10" maxLength="90">
        <cfvo type="min" val="0"/>
        <cfvo type="max" val="0"/>
        <color rgb="FF638EC6"/>
      </dataBar>
      <extLst>
        <ext xmlns:x14="http://schemas.microsoft.com/office/spreadsheetml/2009/9/main" uri="{B025F937-C7B1-47D3-B67F-A62EFF666E3E}">
          <x14:id>{C7E68035-20BF-4AB9-82FB-BD326040B87D}</x14:id>
        </ext>
      </extLst>
    </cfRule>
  </conditionalFormatting>
  <conditionalFormatting sqref="B529:B532">
    <cfRule type="dataBar" priority="31">
      <dataBar showValue="1" minLength="10" maxLength="90">
        <cfvo type="min" val="0"/>
        <cfvo type="max" val="0"/>
        <color rgb="FF638EC6"/>
      </dataBar>
      <extLst>
        <ext xmlns:x14="http://schemas.microsoft.com/office/spreadsheetml/2009/9/main" uri="{B025F937-C7B1-47D3-B67F-A62EFF666E3E}">
          <x14:id>{D0CEDE5F-A3C7-4953-A9A4-3AB470855498}</x14:id>
        </ext>
      </extLst>
    </cfRule>
  </conditionalFormatting>
  <conditionalFormatting sqref="B537:B540">
    <cfRule type="dataBar" priority="32">
      <dataBar showValue="1" minLength="10" maxLength="90">
        <cfvo type="min" val="0"/>
        <cfvo type="max" val="0"/>
        <color rgb="FF638EC6"/>
      </dataBar>
      <extLst>
        <ext xmlns:x14="http://schemas.microsoft.com/office/spreadsheetml/2009/9/main" uri="{B025F937-C7B1-47D3-B67F-A62EFF666E3E}">
          <x14:id>{9027694B-5E81-4F16-95D4-F3C99330A93A}</x14:id>
        </ext>
      </extLst>
    </cfRule>
  </conditionalFormatting>
  <conditionalFormatting sqref="B545:B554">
    <cfRule type="dataBar" priority="33">
      <dataBar showValue="1" minLength="10" maxLength="90">
        <cfvo type="min" val="0"/>
        <cfvo type="max" val="0"/>
        <color rgb="FF638EC6"/>
      </dataBar>
      <extLst>
        <ext xmlns:x14="http://schemas.microsoft.com/office/spreadsheetml/2009/9/main" uri="{B025F937-C7B1-47D3-B67F-A62EFF666E3E}">
          <x14:id>{F0143E45-C2EC-4E43-A45A-6B3EA66E38E7}</x14:id>
        </ext>
      </extLst>
    </cfRule>
  </conditionalFormatting>
  <conditionalFormatting sqref="B559:B562">
    <cfRule type="dataBar" priority="34">
      <dataBar showValue="1" minLength="10" maxLength="90">
        <cfvo type="min" val="0"/>
        <cfvo type="max" val="0"/>
        <color rgb="FF638EC6"/>
      </dataBar>
      <extLst>
        <ext xmlns:x14="http://schemas.microsoft.com/office/spreadsheetml/2009/9/main" uri="{B025F937-C7B1-47D3-B67F-A62EFF666E3E}">
          <x14:id>{AB179182-923A-451B-83E2-B18C77FE567C}</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784A085-A118-4B9E-A45B-5A9A4B31F6E7}">
            <x14:dataBar minLength="10" maxLength="90" axisPosition="none" gradient="true">
              <x14:cfvo type="min"/>
              <x14:cfvo type="max"/>
              <x14:negativeFillColor rgb="FF638EC6"/>
              <x14:axisColor rgb="FF000000"/>
            </x14:dataBar>
          </x14:cfRule>
          <xm:sqref>B7:B24</xm:sqref>
        </x14:conditionalFormatting>
        <x14:conditionalFormatting xmlns:xm="http://schemas.microsoft.com/office/excel/2006/main">
          <x14:cfRule type="dataBar" id="{37602B4B-DDD5-4FBB-B26C-574E8F5E982E}">
            <x14:dataBar minLength="10" maxLength="90" axisPosition="none" gradient="true">
              <x14:cfvo type="min"/>
              <x14:cfvo type="max"/>
              <x14:negativeFillColor rgb="FF638EC6"/>
              <x14:axisColor rgb="FF000000"/>
            </x14:dataBar>
          </x14:cfRule>
          <xm:sqref>B35:B45</xm:sqref>
        </x14:conditionalFormatting>
        <x14:conditionalFormatting xmlns:xm="http://schemas.microsoft.com/office/excel/2006/main">
          <x14:cfRule type="dataBar" id="{69318F81-2B6F-46D6-94FE-5356386869DF}">
            <x14:dataBar minLength="10" maxLength="90" axisPosition="none" gradient="true">
              <x14:cfvo type="min"/>
              <x14:cfvo type="max"/>
              <x14:negativeFillColor rgb="FF638EC6"/>
              <x14:axisColor rgb="FF000000"/>
            </x14:dataBar>
          </x14:cfRule>
          <xm:sqref>B53:B68</xm:sqref>
        </x14:conditionalFormatting>
        <x14:conditionalFormatting xmlns:xm="http://schemas.microsoft.com/office/excel/2006/main">
          <x14:cfRule type="dataBar" id="{6D302FCD-79F1-44C6-8B3A-9B55E08F8D17}">
            <x14:dataBar minLength="10" maxLength="90" axisPosition="none" gradient="true">
              <x14:cfvo type="min"/>
              <x14:cfvo type="max"/>
              <x14:negativeFillColor rgb="FF638EC6"/>
              <x14:axisColor rgb="FF000000"/>
            </x14:dataBar>
          </x14:cfRule>
          <xm:sqref>B73:B85</xm:sqref>
        </x14:conditionalFormatting>
        <x14:conditionalFormatting xmlns:xm="http://schemas.microsoft.com/office/excel/2006/main">
          <x14:cfRule type="dataBar" id="{DDDFBFA3-769B-4360-B842-68005B3E8E88}">
            <x14:dataBar minLength="10" maxLength="90" axisPosition="none" gradient="true">
              <x14:cfvo type="min"/>
              <x14:cfvo type="max"/>
              <x14:negativeFillColor rgb="FF638EC6"/>
              <x14:axisColor rgb="FF000000"/>
            </x14:dataBar>
          </x14:cfRule>
          <xm:sqref>B90:B98</xm:sqref>
        </x14:conditionalFormatting>
        <x14:conditionalFormatting xmlns:xm="http://schemas.microsoft.com/office/excel/2006/main">
          <x14:cfRule type="dataBar" id="{B9D2F47D-3B73-4963-87C1-1D265998C4B5}">
            <x14:dataBar minLength="10" maxLength="90" axisPosition="none" gradient="true">
              <x14:cfvo type="min"/>
              <x14:cfvo type="max"/>
              <x14:negativeFillColor rgb="FF638EC6"/>
              <x14:axisColor rgb="FF000000"/>
            </x14:dataBar>
          </x14:cfRule>
          <xm:sqref>B103:B119</xm:sqref>
        </x14:conditionalFormatting>
        <x14:conditionalFormatting xmlns:xm="http://schemas.microsoft.com/office/excel/2006/main">
          <x14:cfRule type="dataBar" id="{27304EA5-7092-4A9D-91F2-FC7435C55A3D}">
            <x14:dataBar minLength="10" maxLength="90" axisPosition="none" gradient="true">
              <x14:cfvo type="min"/>
              <x14:cfvo type="max"/>
              <x14:negativeFillColor rgb="FF638EC6"/>
              <x14:axisColor rgb="FF000000"/>
            </x14:dataBar>
          </x14:cfRule>
          <xm:sqref>B124:B138</xm:sqref>
        </x14:conditionalFormatting>
        <x14:conditionalFormatting xmlns:xm="http://schemas.microsoft.com/office/excel/2006/main">
          <x14:cfRule type="dataBar" id="{25E0B09D-93E9-455F-B889-F3BFE27FE257}">
            <x14:dataBar minLength="10" maxLength="90" axisPosition="none" gradient="true">
              <x14:cfvo type="min"/>
              <x14:cfvo type="max"/>
              <x14:negativeFillColor rgb="FF638EC6"/>
              <x14:axisColor rgb="FF000000"/>
            </x14:dataBar>
          </x14:cfRule>
          <xm:sqref>B143:B159</xm:sqref>
        </x14:conditionalFormatting>
        <x14:conditionalFormatting xmlns:xm="http://schemas.microsoft.com/office/excel/2006/main">
          <x14:cfRule type="dataBar" id="{AED7D075-1B86-4BD2-9D9D-85273ADA2F87}">
            <x14:dataBar minLength="10" maxLength="90" axisPosition="none" gradient="true">
              <x14:cfvo type="min"/>
              <x14:cfvo type="max"/>
              <x14:negativeFillColor rgb="FF638EC6"/>
              <x14:axisColor rgb="FF000000"/>
            </x14:dataBar>
          </x14:cfRule>
          <xm:sqref>B164:B179</xm:sqref>
        </x14:conditionalFormatting>
        <x14:conditionalFormatting xmlns:xm="http://schemas.microsoft.com/office/excel/2006/main">
          <x14:cfRule type="dataBar" id="{8545F760-AC87-4F9C-BF10-B06CF21FA040}">
            <x14:dataBar minLength="10" maxLength="90" axisPosition="none" gradient="true">
              <x14:cfvo type="min"/>
              <x14:cfvo type="max"/>
              <x14:negativeFillColor rgb="FF638EC6"/>
              <x14:axisColor rgb="FF000000"/>
            </x14:dataBar>
          </x14:cfRule>
          <xm:sqref>B184:B195</xm:sqref>
        </x14:conditionalFormatting>
        <x14:conditionalFormatting xmlns:xm="http://schemas.microsoft.com/office/excel/2006/main">
          <x14:cfRule type="dataBar" id="{1B641961-D340-4DF1-AD2C-3C90C079AF4B}">
            <x14:dataBar minLength="10" maxLength="90" axisPosition="none" gradient="true">
              <x14:cfvo type="min"/>
              <x14:cfvo type="max"/>
              <x14:negativeFillColor rgb="FF638EC6"/>
              <x14:axisColor rgb="FF000000"/>
            </x14:dataBar>
          </x14:cfRule>
          <xm:sqref>B200:B214</xm:sqref>
        </x14:conditionalFormatting>
        <x14:conditionalFormatting xmlns:xm="http://schemas.microsoft.com/office/excel/2006/main">
          <x14:cfRule type="dataBar" id="{F4EE3996-71C5-4A9B-8FEE-9E5F91C9A478}">
            <x14:dataBar minLength="10" maxLength="90" axisPosition="none" gradient="true">
              <x14:cfvo type="min"/>
              <x14:cfvo type="max"/>
              <x14:negativeFillColor rgb="FF638EC6"/>
              <x14:axisColor rgb="FF000000"/>
            </x14:dataBar>
          </x14:cfRule>
          <xm:sqref>B225:B240</xm:sqref>
        </x14:conditionalFormatting>
        <x14:conditionalFormatting xmlns:xm="http://schemas.microsoft.com/office/excel/2006/main">
          <x14:cfRule type="dataBar" id="{8E49B7A9-9350-4C80-94E6-1EE5C1A43024}">
            <x14:dataBar minLength="10" maxLength="90" axisPosition="none" gradient="true">
              <x14:cfvo type="min"/>
              <x14:cfvo type="max"/>
              <x14:negativeFillColor rgb="FF638EC6"/>
              <x14:axisColor rgb="FF000000"/>
            </x14:dataBar>
          </x14:cfRule>
          <xm:sqref>B245:B257</xm:sqref>
        </x14:conditionalFormatting>
        <x14:conditionalFormatting xmlns:xm="http://schemas.microsoft.com/office/excel/2006/main">
          <x14:cfRule type="dataBar" id="{C03CAA42-11E1-4E9D-B412-25461551B399}">
            <x14:dataBar minLength="10" maxLength="90" axisPosition="none" gradient="true">
              <x14:cfvo type="min"/>
              <x14:cfvo type="max"/>
              <x14:negativeFillColor rgb="FF638EC6"/>
              <x14:axisColor rgb="FF000000"/>
            </x14:dataBar>
          </x14:cfRule>
          <xm:sqref>B265:B277</xm:sqref>
        </x14:conditionalFormatting>
        <x14:conditionalFormatting xmlns:xm="http://schemas.microsoft.com/office/excel/2006/main">
          <x14:cfRule type="dataBar" id="{4FF51991-B9EE-4F97-939E-1AB7E170A724}">
            <x14:dataBar minLength="10" maxLength="90" axisPosition="none" gradient="true">
              <x14:cfvo type="min"/>
              <x14:cfvo type="max"/>
              <x14:negativeFillColor rgb="FF638EC6"/>
              <x14:axisColor rgb="FF000000"/>
            </x14:dataBar>
          </x14:cfRule>
          <xm:sqref>B282:B299</xm:sqref>
        </x14:conditionalFormatting>
        <x14:conditionalFormatting xmlns:xm="http://schemas.microsoft.com/office/excel/2006/main">
          <x14:cfRule type="dataBar" id="{13B0D537-AE88-45FC-BD2D-202AE8D03CFD}">
            <x14:dataBar minLength="10" maxLength="90" axisPosition="none" gradient="true">
              <x14:cfvo type="min"/>
              <x14:cfvo type="max"/>
              <x14:negativeFillColor rgb="FF638EC6"/>
              <x14:axisColor rgb="FF000000"/>
            </x14:dataBar>
          </x14:cfRule>
          <xm:sqref>B304:B313</xm:sqref>
        </x14:conditionalFormatting>
        <x14:conditionalFormatting xmlns:xm="http://schemas.microsoft.com/office/excel/2006/main">
          <x14:cfRule type="dataBar" id="{DE27E07E-EAFC-43B0-BA27-30D4F7D76328}">
            <x14:dataBar minLength="10" maxLength="90" axisPosition="none" gradient="true">
              <x14:cfvo type="min"/>
              <x14:cfvo type="max"/>
              <x14:negativeFillColor rgb="FF638EC6"/>
              <x14:axisColor rgb="FF000000"/>
            </x14:dataBar>
          </x14:cfRule>
          <xm:sqref>B321:B329</xm:sqref>
        </x14:conditionalFormatting>
        <x14:conditionalFormatting xmlns:xm="http://schemas.microsoft.com/office/excel/2006/main">
          <x14:cfRule type="dataBar" id="{16F77330-C373-43B0-A756-3080E551CF80}">
            <x14:dataBar minLength="10" maxLength="90" axisPosition="none" gradient="true">
              <x14:cfvo type="min"/>
              <x14:cfvo type="max"/>
              <x14:negativeFillColor rgb="FF638EC6"/>
              <x14:axisColor rgb="FF000000"/>
            </x14:dataBar>
          </x14:cfRule>
          <xm:sqref>B334:B343</xm:sqref>
        </x14:conditionalFormatting>
        <x14:conditionalFormatting xmlns:xm="http://schemas.microsoft.com/office/excel/2006/main">
          <x14:cfRule type="dataBar" id="{17DF82EE-9394-4E5D-9CF6-40407A6A182D}">
            <x14:dataBar minLength="10" maxLength="90" axisPosition="none" gradient="true">
              <x14:cfvo type="min"/>
              <x14:cfvo type="max"/>
              <x14:negativeFillColor rgb="FF638EC6"/>
              <x14:axisColor rgb="FF000000"/>
            </x14:dataBar>
          </x14:cfRule>
          <xm:sqref>B348:B363</xm:sqref>
        </x14:conditionalFormatting>
        <x14:conditionalFormatting xmlns:xm="http://schemas.microsoft.com/office/excel/2006/main">
          <x14:cfRule type="dataBar" id="{4BB15744-B7A0-4A59-903D-E8E05C2FBB1A}">
            <x14:dataBar minLength="10" maxLength="90" axisPosition="none" gradient="true">
              <x14:cfvo type="min"/>
              <x14:cfvo type="max"/>
              <x14:negativeFillColor rgb="FF638EC6"/>
              <x14:axisColor rgb="FF000000"/>
            </x14:dataBar>
          </x14:cfRule>
          <xm:sqref>B368:B380</xm:sqref>
        </x14:conditionalFormatting>
        <x14:conditionalFormatting xmlns:xm="http://schemas.microsoft.com/office/excel/2006/main">
          <x14:cfRule type="dataBar" id="{C225BD16-95C1-4B20-A2A9-1AFCC6E410BC}">
            <x14:dataBar minLength="10" maxLength="90" axisPosition="none" gradient="true">
              <x14:cfvo type="min"/>
              <x14:cfvo type="max"/>
              <x14:negativeFillColor rgb="FF638EC6"/>
              <x14:axisColor rgb="FF000000"/>
            </x14:dataBar>
          </x14:cfRule>
          <xm:sqref>B388:B394</xm:sqref>
        </x14:conditionalFormatting>
        <x14:conditionalFormatting xmlns:xm="http://schemas.microsoft.com/office/excel/2006/main">
          <x14:cfRule type="dataBar" id="{1194A192-EAFB-43C0-8A8A-475F4A4BB6F0}">
            <x14:dataBar minLength="10" maxLength="90" axisPosition="none" gradient="true">
              <x14:cfvo type="min"/>
              <x14:cfvo type="max"/>
              <x14:negativeFillColor rgb="FF638EC6"/>
              <x14:axisColor rgb="FF000000"/>
            </x14:dataBar>
          </x14:cfRule>
          <xm:sqref>B399:B412</xm:sqref>
        </x14:conditionalFormatting>
        <x14:conditionalFormatting xmlns:xm="http://schemas.microsoft.com/office/excel/2006/main">
          <x14:cfRule type="dataBar" id="{151A12E3-C059-4391-99CB-663A5D476527}">
            <x14:dataBar minLength="10" maxLength="90" axisPosition="none" gradient="true">
              <x14:cfvo type="min"/>
              <x14:cfvo type="max"/>
              <x14:negativeFillColor rgb="FF638EC6"/>
              <x14:axisColor rgb="FF000000"/>
            </x14:dataBar>
          </x14:cfRule>
          <xm:sqref>B417:B427</xm:sqref>
        </x14:conditionalFormatting>
        <x14:conditionalFormatting xmlns:xm="http://schemas.microsoft.com/office/excel/2006/main">
          <x14:cfRule type="dataBar" id="{69B644F2-A2EE-451A-B8D9-50C06217C372}">
            <x14:dataBar minLength="10" maxLength="90" axisPosition="none" gradient="true">
              <x14:cfvo type="min"/>
              <x14:cfvo type="max"/>
              <x14:negativeFillColor rgb="FF638EC6"/>
              <x14:axisColor rgb="FF000000"/>
            </x14:dataBar>
          </x14:cfRule>
          <xm:sqref>B432:B445</xm:sqref>
        </x14:conditionalFormatting>
        <x14:conditionalFormatting xmlns:xm="http://schemas.microsoft.com/office/excel/2006/main">
          <x14:cfRule type="dataBar" id="{9DADF7E6-2EA8-403C-99AB-484CFB894364}">
            <x14:dataBar minLength="10" maxLength="90" axisPosition="none" gradient="true">
              <x14:cfvo type="min"/>
              <x14:cfvo type="max"/>
              <x14:negativeFillColor rgb="FF638EC6"/>
              <x14:axisColor rgb="FF000000"/>
            </x14:dataBar>
          </x14:cfRule>
          <xm:sqref>B450:B462</xm:sqref>
        </x14:conditionalFormatting>
        <x14:conditionalFormatting xmlns:xm="http://schemas.microsoft.com/office/excel/2006/main">
          <x14:cfRule type="dataBar" id="{4B75A6AD-E765-4622-A8F1-D380CA446FB7}">
            <x14:dataBar minLength="10" maxLength="90" axisPosition="none" gradient="true">
              <x14:cfvo type="min"/>
              <x14:cfvo type="max"/>
              <x14:negativeFillColor rgb="FF638EC6"/>
              <x14:axisColor rgb="FF000000"/>
            </x14:dataBar>
          </x14:cfRule>
          <xm:sqref>B467:B476</xm:sqref>
        </x14:conditionalFormatting>
        <x14:conditionalFormatting xmlns:xm="http://schemas.microsoft.com/office/excel/2006/main">
          <x14:cfRule type="dataBar" id="{9AE8586A-8A86-44A6-AC9B-85BEDFF46090}">
            <x14:dataBar minLength="10" maxLength="90" axisPosition="none" gradient="true">
              <x14:cfvo type="min"/>
              <x14:cfvo type="max"/>
              <x14:negativeFillColor rgb="FF638EC6"/>
              <x14:axisColor rgb="FF000000"/>
            </x14:dataBar>
          </x14:cfRule>
          <xm:sqref>B481:B488</xm:sqref>
        </x14:conditionalFormatting>
        <x14:conditionalFormatting xmlns:xm="http://schemas.microsoft.com/office/excel/2006/main">
          <x14:cfRule type="dataBar" id="{9BFFF977-A0A4-4497-98CE-82EABAFC5A58}">
            <x14:dataBar minLength="10" maxLength="90" axisPosition="none" gradient="true">
              <x14:cfvo type="min"/>
              <x14:cfvo type="max"/>
              <x14:negativeFillColor rgb="FF638EC6"/>
              <x14:axisColor rgb="FF000000"/>
            </x14:dataBar>
          </x14:cfRule>
          <xm:sqref>B493:B499</xm:sqref>
        </x14:conditionalFormatting>
        <x14:conditionalFormatting xmlns:xm="http://schemas.microsoft.com/office/excel/2006/main">
          <x14:cfRule type="dataBar" id="{C7E68035-20BF-4AB9-82FB-BD326040B87D}">
            <x14:dataBar minLength="10" maxLength="90" axisPosition="none" gradient="true">
              <x14:cfvo type="min"/>
              <x14:cfvo type="max"/>
              <x14:negativeFillColor rgb="FF638EC6"/>
              <x14:axisColor rgb="FF000000"/>
            </x14:dataBar>
          </x14:cfRule>
          <xm:sqref>B504:B521</xm:sqref>
        </x14:conditionalFormatting>
        <x14:conditionalFormatting xmlns:xm="http://schemas.microsoft.com/office/excel/2006/main">
          <x14:cfRule type="dataBar" id="{D0CEDE5F-A3C7-4953-A9A4-3AB470855498}">
            <x14:dataBar minLength="10" maxLength="90" axisPosition="none" gradient="true">
              <x14:cfvo type="min"/>
              <x14:cfvo type="max"/>
              <x14:negativeFillColor rgb="FF638EC6"/>
              <x14:axisColor rgb="FF000000"/>
            </x14:dataBar>
          </x14:cfRule>
          <xm:sqref>B529:B532</xm:sqref>
        </x14:conditionalFormatting>
        <x14:conditionalFormatting xmlns:xm="http://schemas.microsoft.com/office/excel/2006/main">
          <x14:cfRule type="dataBar" id="{9027694B-5E81-4F16-95D4-F3C99330A93A}">
            <x14:dataBar minLength="10" maxLength="90" axisPosition="none" gradient="true">
              <x14:cfvo type="min"/>
              <x14:cfvo type="max"/>
              <x14:negativeFillColor rgb="FF638EC6"/>
              <x14:axisColor rgb="FF000000"/>
            </x14:dataBar>
          </x14:cfRule>
          <xm:sqref>B537:B540</xm:sqref>
        </x14:conditionalFormatting>
        <x14:conditionalFormatting xmlns:xm="http://schemas.microsoft.com/office/excel/2006/main">
          <x14:cfRule type="dataBar" id="{F0143E45-C2EC-4E43-A45A-6B3EA66E38E7}">
            <x14:dataBar minLength="10" maxLength="90" axisPosition="none" gradient="true">
              <x14:cfvo type="min"/>
              <x14:cfvo type="max"/>
              <x14:negativeFillColor rgb="FF638EC6"/>
              <x14:axisColor rgb="FF000000"/>
            </x14:dataBar>
          </x14:cfRule>
          <xm:sqref>B545:B554</xm:sqref>
        </x14:conditionalFormatting>
        <x14:conditionalFormatting xmlns:xm="http://schemas.microsoft.com/office/excel/2006/main">
          <x14:cfRule type="dataBar" id="{AB179182-923A-451B-83E2-B18C77FE567C}">
            <x14:dataBar minLength="10" maxLength="90" axisPosition="none" gradient="true">
              <x14:cfvo type="min"/>
              <x14:cfvo type="max"/>
              <x14:negativeFillColor rgb="FF638EC6"/>
              <x14:axisColor rgb="FF000000"/>
            </x14:dataBar>
          </x14:cfRule>
          <xm:sqref>B559:B562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3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6"/>
    <col collapsed="false" customWidth="true" hidden="false" outlineLevel="0" max="19" min="2" style="0" width="7.47"/>
  </cols>
  <sheetData>
    <row r="1" customFormat="false" ht="19.5" hidden="false" customHeight="true" outlineLevel="0" collapsed="false">
      <c r="A1" s="62" t="s">
        <v>484</v>
      </c>
      <c r="B1" s="62"/>
      <c r="C1" s="62"/>
      <c r="D1" s="62"/>
      <c r="E1" s="62"/>
      <c r="F1" s="62"/>
      <c r="G1" s="62"/>
      <c r="H1" s="62"/>
      <c r="I1" s="62"/>
      <c r="J1" s="62"/>
    </row>
    <row r="2" customFormat="false" ht="39.75" hidden="false" customHeight="true" outlineLevel="0" collapsed="false">
      <c r="A2" s="47" t="s">
        <v>485</v>
      </c>
      <c r="B2" s="47"/>
      <c r="C2" s="47"/>
      <c r="D2" s="47"/>
      <c r="E2" s="47"/>
      <c r="F2" s="47"/>
      <c r="G2" s="47"/>
      <c r="H2" s="47"/>
      <c r="I2" s="47"/>
      <c r="J2" s="47"/>
    </row>
    <row r="4" customFormat="false" ht="24" hidden="false" customHeight="true" outlineLevel="0" collapsed="false">
      <c r="A4" s="65" t="s">
        <v>445</v>
      </c>
      <c r="B4" s="65"/>
      <c r="C4" s="65"/>
      <c r="D4" s="65"/>
      <c r="E4" s="65"/>
      <c r="F4" s="65"/>
      <c r="G4" s="65"/>
      <c r="H4" s="65"/>
      <c r="I4" s="65"/>
      <c r="J4" s="65"/>
      <c r="K4" s="65"/>
      <c r="L4" s="65"/>
      <c r="M4" s="65"/>
      <c r="N4" s="65"/>
      <c r="O4" s="65"/>
      <c r="P4" s="65"/>
      <c r="Q4" s="65"/>
      <c r="R4" s="65"/>
      <c r="S4" s="65"/>
    </row>
    <row r="5" customFormat="false" ht="55.5" hidden="false" customHeight="true" outlineLevel="0" collapsed="false">
      <c r="A5" s="64" t="s">
        <v>446</v>
      </c>
      <c r="B5" s="64"/>
      <c r="C5" s="64"/>
      <c r="D5" s="64"/>
      <c r="E5" s="64"/>
      <c r="F5" s="64"/>
      <c r="G5" s="64"/>
      <c r="H5" s="64"/>
      <c r="I5" s="64"/>
      <c r="J5" s="64"/>
      <c r="K5" s="64"/>
      <c r="L5" s="64"/>
      <c r="M5" s="64"/>
      <c r="N5" s="64"/>
      <c r="O5" s="64"/>
      <c r="P5" s="64"/>
      <c r="Q5" s="64"/>
      <c r="R5" s="64"/>
      <c r="S5" s="64"/>
    </row>
    <row r="6" customFormat="false" ht="27.75" hidden="false" customHeight="true" outlineLevel="0" collapsed="false">
      <c r="B6" s="69" t="s">
        <v>486</v>
      </c>
      <c r="C6" s="69"/>
      <c r="D6" s="69"/>
      <c r="E6" s="70" t="s">
        <v>487</v>
      </c>
      <c r="F6" s="70"/>
      <c r="G6" s="70"/>
      <c r="H6" s="70"/>
      <c r="I6" s="70"/>
      <c r="J6" s="70"/>
      <c r="K6" s="70"/>
      <c r="L6" s="70"/>
      <c r="M6" s="70"/>
      <c r="N6" s="70"/>
      <c r="O6" s="70"/>
      <c r="P6" s="70"/>
      <c r="Q6" s="70"/>
      <c r="R6" s="70"/>
      <c r="S6" s="70"/>
    </row>
    <row r="7" customFormat="false" ht="6" hidden="false" customHeight="true" outlineLevel="0" collapsed="false">
      <c r="B7" s="71"/>
      <c r="C7" s="72"/>
      <c r="D7" s="73"/>
      <c r="E7" s="71"/>
      <c r="F7" s="72"/>
      <c r="G7" s="72"/>
      <c r="H7" s="72"/>
      <c r="I7" s="72"/>
      <c r="J7" s="72"/>
      <c r="K7" s="72"/>
      <c r="L7" s="72"/>
      <c r="M7" s="72"/>
      <c r="N7" s="72"/>
      <c r="O7" s="72"/>
      <c r="P7" s="72"/>
      <c r="Q7" s="72"/>
      <c r="R7" s="72"/>
      <c r="S7" s="73"/>
    </row>
    <row r="8" customFormat="false" ht="15" hidden="false" customHeight="true" outlineLevel="0" collapsed="false">
      <c r="A8" s="12" t="s">
        <v>275</v>
      </c>
      <c r="B8" s="37" t="n">
        <v>1</v>
      </c>
      <c r="C8" s="37" t="n">
        <v>2</v>
      </c>
      <c r="D8" s="37" t="n">
        <v>3</v>
      </c>
      <c r="E8" s="37" t="n">
        <v>4</v>
      </c>
      <c r="F8" s="37" t="n">
        <v>5</v>
      </c>
      <c r="G8" s="37" t="n">
        <v>6</v>
      </c>
      <c r="H8" s="37" t="n">
        <v>7</v>
      </c>
      <c r="I8" s="37" t="n">
        <v>8</v>
      </c>
      <c r="J8" s="37" t="n">
        <v>9</v>
      </c>
      <c r="K8" s="37" t="n">
        <v>10</v>
      </c>
      <c r="L8" s="37" t="n">
        <v>11</v>
      </c>
      <c r="M8" s="37" t="n">
        <v>12</v>
      </c>
      <c r="N8" s="37" t="n">
        <v>13</v>
      </c>
      <c r="O8" s="37" t="n">
        <v>14</v>
      </c>
      <c r="P8" s="37" t="n">
        <v>15</v>
      </c>
      <c r="Q8" s="37" t="n">
        <v>16</v>
      </c>
      <c r="R8" s="37" t="n">
        <v>17</v>
      </c>
      <c r="S8" s="37" t="n">
        <v>18</v>
      </c>
    </row>
    <row r="9" customFormat="false" ht="15" hidden="false" customHeight="true" outlineLevel="0" collapsed="false">
      <c r="A9" s="30" t="s">
        <v>447</v>
      </c>
      <c r="B9" s="74" t="n">
        <v>5841</v>
      </c>
      <c r="C9" s="74" t="n">
        <v>4638</v>
      </c>
      <c r="D9" s="74" t="n">
        <v>4092</v>
      </c>
      <c r="E9" s="74" t="n">
        <v>4022</v>
      </c>
      <c r="F9" s="74" t="n">
        <v>2755</v>
      </c>
      <c r="G9" s="74" t="n">
        <v>1774</v>
      </c>
      <c r="H9" s="74" t="n">
        <v>1355</v>
      </c>
      <c r="I9" s="74" t="n">
        <v>822</v>
      </c>
      <c r="J9" s="74" t="n">
        <v>463</v>
      </c>
      <c r="K9" s="74" t="n">
        <v>262</v>
      </c>
      <c r="L9" s="74" t="n">
        <v>140</v>
      </c>
      <c r="M9" s="74" t="n">
        <v>75</v>
      </c>
      <c r="N9" s="74" t="n">
        <v>51</v>
      </c>
      <c r="O9" s="74" t="n">
        <v>25</v>
      </c>
      <c r="P9" s="74" t="n">
        <v>18</v>
      </c>
      <c r="Q9" s="74" t="n">
        <v>12</v>
      </c>
      <c r="R9" s="74" t="n">
        <v>6</v>
      </c>
      <c r="S9" s="74" t="n">
        <v>3</v>
      </c>
    </row>
    <row r="10" customFormat="false" ht="15" hidden="false" customHeight="true" outlineLevel="0" collapsed="false">
      <c r="A10" s="30" t="s">
        <v>488</v>
      </c>
      <c r="B10" s="75" t="n">
        <v>1</v>
      </c>
      <c r="C10" s="75" t="n">
        <v>0.794042116076014</v>
      </c>
      <c r="D10" s="75" t="n">
        <v>0.700564971751412</v>
      </c>
      <c r="E10" s="75" t="n">
        <v>0.982893450635386</v>
      </c>
      <c r="F10" s="75" t="n">
        <v>0.673264907135875</v>
      </c>
      <c r="G10" s="75" t="n">
        <v>0.433528836754643</v>
      </c>
      <c r="H10" s="75" t="n">
        <v>0.331133919843597</v>
      </c>
      <c r="I10" s="75" t="n">
        <v>0.200879765395894</v>
      </c>
      <c r="J10" s="75" t="n">
        <v>0.113147605083089</v>
      </c>
      <c r="K10" s="75" t="n">
        <v>0.0640273704789834</v>
      </c>
      <c r="L10" s="75" t="n">
        <v>0.0342130987292278</v>
      </c>
      <c r="M10" s="75" t="n">
        <v>0.0183284457478006</v>
      </c>
      <c r="N10" s="75" t="n">
        <v>0.0124633431085044</v>
      </c>
      <c r="O10" s="75" t="n">
        <v>0.00610948191593353</v>
      </c>
      <c r="P10" s="75" t="n">
        <v>0.00439882697947214</v>
      </c>
      <c r="Q10" s="75" t="n">
        <v>0.00293255131964809</v>
      </c>
      <c r="R10" s="75" t="n">
        <v>0.00146627565982405</v>
      </c>
      <c r="S10" s="75" t="n">
        <v>0.000733137829912024</v>
      </c>
    </row>
    <row r="11" customFormat="false" ht="15" hidden="false" customHeight="true" outlineLevel="0" collapsed="false">
      <c r="A11" s="34" t="s">
        <v>489</v>
      </c>
      <c r="B11" s="35" t="n">
        <v>0.700564971751412</v>
      </c>
      <c r="C11" s="36"/>
      <c r="D11" s="36"/>
      <c r="E11" s="36"/>
      <c r="F11" s="36"/>
      <c r="G11" s="36"/>
      <c r="H11" s="36"/>
      <c r="I11" s="36"/>
      <c r="J11" s="36"/>
      <c r="K11" s="36"/>
      <c r="L11" s="36"/>
      <c r="M11" s="36"/>
      <c r="N11" s="36"/>
      <c r="O11" s="36"/>
      <c r="P11" s="36"/>
      <c r="Q11" s="36"/>
      <c r="R11" s="36"/>
      <c r="S11" s="36"/>
    </row>
    <row r="12" customFormat="false" ht="15" hidden="false" customHeight="true" outlineLevel="0" collapsed="false">
      <c r="A12" s="34" t="s">
        <v>490</v>
      </c>
      <c r="B12" s="36" t="s">
        <v>491</v>
      </c>
      <c r="C12" s="36"/>
      <c r="D12" s="36"/>
      <c r="E12" s="36"/>
      <c r="F12" s="36"/>
      <c r="G12" s="36"/>
      <c r="H12" s="36"/>
      <c r="I12" s="36"/>
      <c r="J12" s="36"/>
      <c r="K12" s="36"/>
      <c r="L12" s="36"/>
      <c r="M12" s="36"/>
      <c r="N12" s="36"/>
      <c r="O12" s="36"/>
      <c r="P12" s="36"/>
      <c r="Q12" s="36"/>
      <c r="R12" s="36"/>
      <c r="S12" s="36"/>
    </row>
    <row r="13" customFormat="false" ht="15" hidden="false" customHeight="true" outlineLevel="0" collapsed="false">
      <c r="A13" s="34" t="s">
        <v>492</v>
      </c>
      <c r="B13" s="36" t="s">
        <v>493</v>
      </c>
      <c r="C13" s="36"/>
      <c r="D13" s="36"/>
      <c r="E13" s="36"/>
      <c r="F13" s="36"/>
      <c r="G13" s="36"/>
      <c r="H13" s="36"/>
      <c r="I13" s="36"/>
      <c r="J13" s="36"/>
      <c r="K13" s="36"/>
      <c r="L13" s="36"/>
      <c r="M13" s="36"/>
      <c r="N13" s="36"/>
      <c r="O13" s="36"/>
      <c r="P13" s="36"/>
      <c r="Q13" s="36"/>
      <c r="R13" s="36"/>
      <c r="S13" s="36"/>
    </row>
    <row r="15" customFormat="false" ht="24" hidden="false" customHeight="true" outlineLevel="0" collapsed="false">
      <c r="A15" s="65" t="s">
        <v>395</v>
      </c>
      <c r="B15" s="65"/>
      <c r="C15" s="65"/>
      <c r="D15" s="65"/>
      <c r="E15" s="65"/>
      <c r="F15" s="65"/>
      <c r="G15" s="65"/>
      <c r="H15" s="65"/>
    </row>
    <row r="16" customFormat="false" ht="15" hidden="false" customHeight="true" outlineLevel="0" collapsed="false">
      <c r="A16" s="29" t="s">
        <v>272</v>
      </c>
      <c r="B16" s="29"/>
      <c r="C16" s="29"/>
      <c r="D16" s="29"/>
      <c r="E16" s="29"/>
      <c r="F16" s="29"/>
      <c r="G16" s="29"/>
      <c r="H16" s="29"/>
    </row>
    <row r="18" customFormat="false" ht="24" hidden="false" customHeight="true" outlineLevel="0" collapsed="false">
      <c r="A18" s="65" t="s">
        <v>397</v>
      </c>
      <c r="B18" s="65"/>
      <c r="C18" s="65"/>
      <c r="D18" s="65"/>
      <c r="E18" s="65"/>
      <c r="F18" s="65"/>
      <c r="G18" s="65"/>
      <c r="H18" s="65"/>
      <c r="I18" s="65"/>
    </row>
    <row r="19" customFormat="false" ht="15" hidden="false" customHeight="true" outlineLevel="0" collapsed="false">
      <c r="A19" s="29" t="s">
        <v>272</v>
      </c>
      <c r="B19" s="29"/>
      <c r="C19" s="29"/>
      <c r="D19" s="29"/>
      <c r="E19" s="29"/>
      <c r="F19" s="29"/>
      <c r="G19" s="29"/>
      <c r="H19" s="29"/>
      <c r="I19" s="29"/>
    </row>
    <row r="21" customFormat="false" ht="24" hidden="false" customHeight="true" outlineLevel="0" collapsed="false">
      <c r="A21" s="65" t="s">
        <v>403</v>
      </c>
      <c r="B21" s="65"/>
      <c r="C21" s="65"/>
      <c r="D21" s="65"/>
      <c r="E21" s="65"/>
      <c r="F21" s="65"/>
      <c r="G21" s="65"/>
      <c r="H21" s="65"/>
      <c r="I21" s="65"/>
      <c r="J21" s="65"/>
      <c r="K21" s="65"/>
      <c r="L21" s="65"/>
    </row>
    <row r="22" customFormat="false" ht="27.75" hidden="false" customHeight="true" outlineLevel="0" collapsed="false">
      <c r="B22" s="69" t="s">
        <v>486</v>
      </c>
      <c r="C22" s="69"/>
      <c r="D22" s="69"/>
      <c r="E22" s="70" t="s">
        <v>494</v>
      </c>
      <c r="F22" s="70"/>
      <c r="G22" s="70"/>
      <c r="H22" s="70"/>
      <c r="I22" s="70"/>
      <c r="J22" s="70"/>
      <c r="K22" s="70"/>
      <c r="L22" s="70"/>
    </row>
    <row r="23" customFormat="false" ht="6" hidden="false" customHeight="true" outlineLevel="0" collapsed="false">
      <c r="B23" s="71"/>
      <c r="C23" s="72"/>
      <c r="D23" s="73"/>
      <c r="E23" s="71"/>
      <c r="F23" s="72"/>
      <c r="G23" s="72"/>
      <c r="H23" s="72"/>
      <c r="I23" s="72"/>
      <c r="J23" s="72"/>
      <c r="K23" s="72"/>
      <c r="L23" s="73"/>
    </row>
    <row r="24" customFormat="false" ht="15" hidden="false" customHeight="true" outlineLevel="0" collapsed="false">
      <c r="A24" s="12" t="s">
        <v>275</v>
      </c>
      <c r="B24" s="37" t="n">
        <v>1</v>
      </c>
      <c r="C24" s="37" t="n">
        <v>2</v>
      </c>
      <c r="D24" s="37" t="n">
        <v>3</v>
      </c>
      <c r="E24" s="37" t="n">
        <v>4</v>
      </c>
      <c r="F24" s="37" t="n">
        <v>5</v>
      </c>
      <c r="G24" s="37" t="n">
        <v>6</v>
      </c>
      <c r="H24" s="37" t="n">
        <v>7</v>
      </c>
      <c r="I24" s="37" t="n">
        <v>8</v>
      </c>
      <c r="J24" s="37" t="n">
        <v>9</v>
      </c>
      <c r="K24" s="37" t="n">
        <v>10</v>
      </c>
      <c r="L24" s="37" t="n">
        <v>11</v>
      </c>
    </row>
    <row r="25" customFormat="false" ht="15" hidden="false" customHeight="true" outlineLevel="0" collapsed="false">
      <c r="A25" s="30" t="s">
        <v>447</v>
      </c>
      <c r="B25" s="74" t="n">
        <v>112</v>
      </c>
      <c r="C25" s="74" t="n">
        <v>112</v>
      </c>
      <c r="D25" s="74" t="n">
        <v>109</v>
      </c>
      <c r="E25" s="74" t="n">
        <v>108</v>
      </c>
      <c r="F25" s="74" t="n">
        <v>80</v>
      </c>
      <c r="G25" s="74" t="n">
        <v>5</v>
      </c>
      <c r="H25" s="74" t="n">
        <v>2</v>
      </c>
      <c r="I25" s="74" t="n">
        <v>0</v>
      </c>
      <c r="J25" s="74" t="n">
        <v>1</v>
      </c>
      <c r="K25" s="74" t="n">
        <v>1</v>
      </c>
      <c r="L25" s="74" t="n">
        <v>1</v>
      </c>
    </row>
    <row r="26" customFormat="false" ht="15" hidden="false" customHeight="true" outlineLevel="0" collapsed="false">
      <c r="A26" s="30" t="s">
        <v>488</v>
      </c>
      <c r="B26" s="75" t="n">
        <v>1</v>
      </c>
      <c r="C26" s="75" t="n">
        <v>1</v>
      </c>
      <c r="D26" s="75" t="n">
        <v>0.973214285714286</v>
      </c>
      <c r="E26" s="75" t="n">
        <v>0.990825688073395</v>
      </c>
      <c r="F26" s="75" t="n">
        <v>0.73394495412844</v>
      </c>
      <c r="G26" s="75" t="n">
        <v>0.0458715596330275</v>
      </c>
      <c r="H26" s="75" t="n">
        <v>0.018348623853211</v>
      </c>
      <c r="I26" s="75" t="n">
        <v>0</v>
      </c>
      <c r="J26" s="75" t="n">
        <v>0.00917431192660551</v>
      </c>
      <c r="K26" s="75" t="n">
        <v>0.00917431192660551</v>
      </c>
      <c r="L26" s="75" t="n">
        <v>0.00917431192660551</v>
      </c>
    </row>
    <row r="27" customFormat="false" ht="15" hidden="false" customHeight="true" outlineLevel="0" collapsed="false">
      <c r="A27" s="30" t="s">
        <v>495</v>
      </c>
      <c r="B27" s="74"/>
      <c r="C27" s="74"/>
      <c r="D27" s="76" t="s">
        <v>283</v>
      </c>
      <c r="E27" s="76" t="s">
        <v>283</v>
      </c>
      <c r="F27" s="76" t="s">
        <v>283</v>
      </c>
      <c r="G27" s="39" t="s">
        <v>284</v>
      </c>
      <c r="H27" s="76" t="s">
        <v>284</v>
      </c>
      <c r="I27" s="76" t="s">
        <v>284</v>
      </c>
      <c r="J27" s="76" t="s">
        <v>284</v>
      </c>
      <c r="K27" s="76" t="s">
        <v>284</v>
      </c>
      <c r="L27" s="76" t="s">
        <v>284</v>
      </c>
    </row>
    <row r="28" customFormat="false" ht="15" hidden="false" customHeight="true" outlineLevel="0" collapsed="false">
      <c r="A28" s="34" t="s">
        <v>489</v>
      </c>
      <c r="B28" s="35" t="n">
        <v>0.973214285714286</v>
      </c>
      <c r="C28" s="36"/>
      <c r="D28" s="36"/>
      <c r="E28" s="36"/>
      <c r="F28" s="36"/>
      <c r="G28" s="36"/>
      <c r="H28" s="36"/>
      <c r="I28" s="36"/>
      <c r="J28" s="36"/>
      <c r="K28" s="36"/>
      <c r="L28" s="36"/>
    </row>
    <row r="29" customFormat="false" ht="15" hidden="false" customHeight="true" outlineLevel="0" collapsed="false">
      <c r="A29" s="34" t="s">
        <v>490</v>
      </c>
      <c r="B29" s="35" t="n">
        <v>0.909436528862287</v>
      </c>
      <c r="C29" s="36"/>
      <c r="D29" s="36"/>
      <c r="E29" s="36"/>
      <c r="F29" s="36"/>
      <c r="G29" s="36"/>
      <c r="H29" s="36"/>
      <c r="I29" s="36"/>
      <c r="J29" s="36"/>
      <c r="K29" s="36"/>
      <c r="L29" s="36"/>
    </row>
    <row r="30" customFormat="false" ht="15" hidden="false" customHeight="true" outlineLevel="0" collapsed="false">
      <c r="A30" s="34" t="s">
        <v>492</v>
      </c>
      <c r="B30" s="35" t="n">
        <v>0.88507662183919</v>
      </c>
      <c r="C30" s="36"/>
      <c r="D30" s="36"/>
      <c r="E30" s="36"/>
      <c r="F30" s="36"/>
      <c r="G30" s="36"/>
      <c r="H30" s="36"/>
      <c r="I30" s="36"/>
      <c r="J30" s="36"/>
      <c r="K30" s="36"/>
      <c r="L30" s="36"/>
    </row>
    <row r="32" customFormat="false" ht="24" hidden="false" customHeight="true" outlineLevel="0" collapsed="false">
      <c r="A32" s="65" t="s">
        <v>405</v>
      </c>
      <c r="B32" s="65"/>
      <c r="C32" s="65"/>
      <c r="D32" s="65"/>
      <c r="E32" s="65"/>
      <c r="F32" s="65"/>
      <c r="G32" s="65"/>
      <c r="H32" s="65"/>
    </row>
    <row r="33" customFormat="false" ht="15" hidden="false" customHeight="true" outlineLevel="0" collapsed="false">
      <c r="A33" s="29" t="s">
        <v>272</v>
      </c>
      <c r="B33" s="29"/>
      <c r="C33" s="29"/>
      <c r="D33" s="29"/>
      <c r="E33" s="29"/>
      <c r="F33" s="29"/>
      <c r="G33" s="29"/>
      <c r="H33" s="29"/>
    </row>
    <row r="35" customFormat="false" ht="24" hidden="false" customHeight="true" outlineLevel="0" collapsed="false">
      <c r="A35" s="65" t="s">
        <v>406</v>
      </c>
      <c r="B35" s="65"/>
      <c r="C35" s="65"/>
      <c r="D35" s="65"/>
      <c r="E35" s="65"/>
      <c r="F35" s="65"/>
      <c r="G35" s="65"/>
      <c r="H35" s="65"/>
      <c r="I35" s="65"/>
      <c r="J35" s="65"/>
      <c r="K35" s="65"/>
      <c r="L35" s="65"/>
      <c r="M35" s="65"/>
      <c r="N35" s="65"/>
      <c r="O35" s="65"/>
      <c r="P35" s="65"/>
      <c r="Q35" s="65"/>
    </row>
    <row r="36" customFormat="false" ht="27.75" hidden="false" customHeight="true" outlineLevel="0" collapsed="false">
      <c r="B36" s="69" t="s">
        <v>486</v>
      </c>
      <c r="C36" s="69"/>
      <c r="D36" s="69"/>
      <c r="E36" s="70" t="s">
        <v>496</v>
      </c>
      <c r="F36" s="70"/>
      <c r="G36" s="70"/>
      <c r="H36" s="70"/>
      <c r="I36" s="70"/>
      <c r="J36" s="70"/>
      <c r="K36" s="70"/>
      <c r="L36" s="70"/>
      <c r="M36" s="70"/>
      <c r="N36" s="70"/>
      <c r="O36" s="70"/>
      <c r="P36" s="70"/>
      <c r="Q36" s="70"/>
    </row>
    <row r="37" customFormat="false" ht="6" hidden="false" customHeight="true" outlineLevel="0" collapsed="false">
      <c r="B37" s="71"/>
      <c r="C37" s="72"/>
      <c r="D37" s="73"/>
      <c r="E37" s="71"/>
      <c r="F37" s="72"/>
      <c r="G37" s="72"/>
      <c r="H37" s="72"/>
      <c r="I37" s="72"/>
      <c r="J37" s="72"/>
      <c r="K37" s="72"/>
      <c r="L37" s="72"/>
      <c r="M37" s="72"/>
      <c r="N37" s="72"/>
      <c r="O37" s="72"/>
      <c r="P37" s="72"/>
      <c r="Q37" s="73"/>
    </row>
    <row r="38" customFormat="false" ht="15" hidden="false" customHeight="true" outlineLevel="0" collapsed="false">
      <c r="A38" s="12" t="s">
        <v>275</v>
      </c>
      <c r="B38" s="37" t="n">
        <v>1</v>
      </c>
      <c r="C38" s="37" t="n">
        <v>2</v>
      </c>
      <c r="D38" s="37" t="n">
        <v>3</v>
      </c>
      <c r="E38" s="37" t="n">
        <v>4</v>
      </c>
      <c r="F38" s="37" t="n">
        <v>5</v>
      </c>
      <c r="G38" s="37" t="n">
        <v>6</v>
      </c>
      <c r="H38" s="37" t="n">
        <v>7</v>
      </c>
      <c r="I38" s="37" t="n">
        <v>8</v>
      </c>
      <c r="J38" s="37" t="n">
        <v>9</v>
      </c>
      <c r="K38" s="37" t="n">
        <v>10</v>
      </c>
      <c r="L38" s="37" t="n">
        <v>11</v>
      </c>
      <c r="M38" s="37" t="n">
        <v>12</v>
      </c>
      <c r="N38" s="37" t="n">
        <v>13</v>
      </c>
      <c r="O38" s="37" t="n">
        <v>14</v>
      </c>
      <c r="P38" s="37" t="n">
        <v>15</v>
      </c>
      <c r="Q38" s="37" t="n">
        <v>16</v>
      </c>
    </row>
    <row r="39" customFormat="false" ht="15" hidden="false" customHeight="true" outlineLevel="0" collapsed="false">
      <c r="A39" s="30" t="s">
        <v>447</v>
      </c>
      <c r="B39" s="74" t="n">
        <v>272</v>
      </c>
      <c r="C39" s="74" t="n">
        <v>215</v>
      </c>
      <c r="D39" s="74" t="n">
        <v>188</v>
      </c>
      <c r="E39" s="74" t="n">
        <v>160</v>
      </c>
      <c r="F39" s="74" t="n">
        <v>120</v>
      </c>
      <c r="G39" s="74" t="n">
        <v>95</v>
      </c>
      <c r="H39" s="74" t="n">
        <v>65</v>
      </c>
      <c r="I39" s="74" t="n">
        <v>46</v>
      </c>
      <c r="J39" s="74" t="n">
        <v>27</v>
      </c>
      <c r="K39" s="74" t="n">
        <v>24</v>
      </c>
      <c r="L39" s="74" t="n">
        <v>11</v>
      </c>
      <c r="M39" s="74" t="n">
        <v>6</v>
      </c>
      <c r="N39" s="74" t="n">
        <v>6</v>
      </c>
      <c r="O39" s="74" t="n">
        <v>2</v>
      </c>
      <c r="P39" s="74" t="n">
        <v>0</v>
      </c>
      <c r="Q39" s="74" t="n">
        <v>1</v>
      </c>
    </row>
    <row r="40" customFormat="false" ht="15" hidden="false" customHeight="true" outlineLevel="0" collapsed="false">
      <c r="A40" s="30" t="s">
        <v>488</v>
      </c>
      <c r="B40" s="75" t="n">
        <v>1</v>
      </c>
      <c r="C40" s="75" t="n">
        <v>0.790441176470588</v>
      </c>
      <c r="D40" s="75" t="n">
        <v>0.691176470588235</v>
      </c>
      <c r="E40" s="75" t="n">
        <v>0.851063829787234</v>
      </c>
      <c r="F40" s="75" t="n">
        <v>0.638297872340426</v>
      </c>
      <c r="G40" s="75" t="n">
        <v>0.50531914893617</v>
      </c>
      <c r="H40" s="75" t="n">
        <v>0.345744680851064</v>
      </c>
      <c r="I40" s="75" t="n">
        <v>0.24468085106383</v>
      </c>
      <c r="J40" s="75" t="n">
        <v>0.143617021276596</v>
      </c>
      <c r="K40" s="75" t="n">
        <v>0.127659574468085</v>
      </c>
      <c r="L40" s="75" t="n">
        <v>0.0585106382978723</v>
      </c>
      <c r="M40" s="75" t="n">
        <v>0.0319148936170213</v>
      </c>
      <c r="N40" s="75" t="n">
        <v>0.0319148936170213</v>
      </c>
      <c r="O40" s="75" t="n">
        <v>0.0106382978723404</v>
      </c>
      <c r="P40" s="75" t="n">
        <v>0</v>
      </c>
      <c r="Q40" s="75" t="n">
        <v>0.00531914893617021</v>
      </c>
    </row>
    <row r="41" customFormat="false" ht="15" hidden="false" customHeight="true" outlineLevel="0" collapsed="false">
      <c r="A41" s="30" t="s">
        <v>495</v>
      </c>
      <c r="B41" s="74"/>
      <c r="C41" s="74"/>
      <c r="D41" s="76" t="s">
        <v>283</v>
      </c>
      <c r="E41" s="76" t="s">
        <v>283</v>
      </c>
      <c r="F41" s="76" t="s">
        <v>283</v>
      </c>
      <c r="G41" s="76" t="s">
        <v>283</v>
      </c>
      <c r="H41" s="76" t="s">
        <v>283</v>
      </c>
      <c r="I41" s="76" t="s">
        <v>283</v>
      </c>
      <c r="J41" s="39" t="s">
        <v>284</v>
      </c>
      <c r="K41" s="76" t="s">
        <v>284</v>
      </c>
      <c r="L41" s="76" t="s">
        <v>284</v>
      </c>
      <c r="M41" s="76" t="s">
        <v>284</v>
      </c>
      <c r="N41" s="76" t="s">
        <v>284</v>
      </c>
      <c r="O41" s="76" t="s">
        <v>284</v>
      </c>
      <c r="P41" s="76" t="s">
        <v>284</v>
      </c>
      <c r="Q41" s="76" t="s">
        <v>284</v>
      </c>
    </row>
    <row r="42" customFormat="false" ht="15" hidden="false" customHeight="true" outlineLevel="0" collapsed="false">
      <c r="A42" s="34" t="s">
        <v>489</v>
      </c>
      <c r="B42" s="35" t="n">
        <v>0.691176470588235</v>
      </c>
      <c r="C42" s="36"/>
      <c r="D42" s="36"/>
      <c r="E42" s="36"/>
      <c r="F42" s="36"/>
      <c r="G42" s="36"/>
      <c r="H42" s="36"/>
      <c r="I42" s="36"/>
      <c r="J42" s="36"/>
      <c r="K42" s="36"/>
      <c r="L42" s="36"/>
      <c r="M42" s="36"/>
      <c r="N42" s="36"/>
      <c r="O42" s="36"/>
      <c r="P42" s="36"/>
      <c r="Q42" s="36"/>
    </row>
    <row r="43" customFormat="false" ht="15" hidden="false" customHeight="true" outlineLevel="0" collapsed="false">
      <c r="A43" s="34" t="s">
        <v>490</v>
      </c>
      <c r="B43" s="35" t="n">
        <v>0.623979336697787</v>
      </c>
      <c r="C43" s="36"/>
      <c r="D43" s="36"/>
      <c r="E43" s="36"/>
      <c r="F43" s="36"/>
      <c r="G43" s="36"/>
      <c r="H43" s="36"/>
      <c r="I43" s="36"/>
      <c r="J43" s="36"/>
      <c r="K43" s="36"/>
      <c r="L43" s="36"/>
      <c r="M43" s="36"/>
      <c r="N43" s="36"/>
      <c r="O43" s="36"/>
      <c r="P43" s="36"/>
      <c r="Q43" s="36"/>
    </row>
    <row r="44" customFormat="false" ht="15" hidden="false" customHeight="true" outlineLevel="0" collapsed="false">
      <c r="A44" s="34" t="s">
        <v>492</v>
      </c>
      <c r="B44" s="35" t="n">
        <v>0.431279835658765</v>
      </c>
      <c r="C44" s="36"/>
      <c r="D44" s="36"/>
      <c r="E44" s="36"/>
      <c r="F44" s="36"/>
      <c r="G44" s="36"/>
      <c r="H44" s="36"/>
      <c r="I44" s="36"/>
      <c r="J44" s="36"/>
      <c r="K44" s="36"/>
      <c r="L44" s="36"/>
      <c r="M44" s="36"/>
      <c r="N44" s="36"/>
      <c r="O44" s="36"/>
      <c r="P44" s="36"/>
      <c r="Q44" s="36"/>
    </row>
    <row r="46" customFormat="false" ht="24" hidden="false" customHeight="true" outlineLevel="0" collapsed="false">
      <c r="A46" s="65" t="s">
        <v>407</v>
      </c>
      <c r="B46" s="65"/>
      <c r="C46" s="65"/>
      <c r="D46" s="65"/>
      <c r="E46" s="65"/>
      <c r="F46" s="65"/>
      <c r="G46" s="65"/>
      <c r="H46" s="65"/>
      <c r="I46" s="65"/>
      <c r="J46" s="65"/>
      <c r="K46" s="65"/>
      <c r="L46" s="65"/>
      <c r="M46" s="65"/>
      <c r="N46" s="65"/>
    </row>
    <row r="47" customFormat="false" ht="27.75" hidden="false" customHeight="true" outlineLevel="0" collapsed="false">
      <c r="B47" s="69" t="s">
        <v>486</v>
      </c>
      <c r="C47" s="69"/>
      <c r="D47" s="69"/>
      <c r="E47" s="70" t="s">
        <v>497</v>
      </c>
      <c r="F47" s="70"/>
      <c r="G47" s="70"/>
      <c r="H47" s="70"/>
      <c r="I47" s="70"/>
      <c r="J47" s="70"/>
      <c r="K47" s="70"/>
      <c r="L47" s="70"/>
      <c r="M47" s="70"/>
      <c r="N47" s="70"/>
    </row>
    <row r="48" customFormat="false" ht="6" hidden="false" customHeight="true" outlineLevel="0" collapsed="false">
      <c r="B48" s="71"/>
      <c r="C48" s="72"/>
      <c r="D48" s="73"/>
      <c r="E48" s="71"/>
      <c r="F48" s="72"/>
      <c r="G48" s="72"/>
      <c r="H48" s="72"/>
      <c r="I48" s="72"/>
      <c r="J48" s="72"/>
      <c r="K48" s="72"/>
      <c r="L48" s="72"/>
      <c r="M48" s="72"/>
      <c r="N48" s="73"/>
    </row>
    <row r="49" customFormat="false" ht="15" hidden="false" customHeight="true" outlineLevel="0" collapsed="false">
      <c r="A49" s="12" t="s">
        <v>275</v>
      </c>
      <c r="B49" s="37" t="n">
        <v>1</v>
      </c>
      <c r="C49" s="37" t="n">
        <v>2</v>
      </c>
      <c r="D49" s="37" t="n">
        <v>3</v>
      </c>
      <c r="E49" s="37" t="n">
        <v>4</v>
      </c>
      <c r="F49" s="37" t="n">
        <v>5</v>
      </c>
      <c r="G49" s="37" t="n">
        <v>6</v>
      </c>
      <c r="H49" s="37" t="n">
        <v>7</v>
      </c>
      <c r="I49" s="37" t="n">
        <v>8</v>
      </c>
      <c r="J49" s="37" t="n">
        <v>9</v>
      </c>
      <c r="K49" s="37" t="n">
        <v>10</v>
      </c>
      <c r="L49" s="37" t="n">
        <v>11</v>
      </c>
      <c r="M49" s="37" t="n">
        <v>12</v>
      </c>
      <c r="N49" s="37" t="n">
        <v>13</v>
      </c>
    </row>
    <row r="50" customFormat="false" ht="15" hidden="false" customHeight="true" outlineLevel="0" collapsed="false">
      <c r="A50" s="30" t="s">
        <v>447</v>
      </c>
      <c r="B50" s="74" t="n">
        <v>146</v>
      </c>
      <c r="C50" s="74" t="n">
        <v>118</v>
      </c>
      <c r="D50" s="74" t="n">
        <v>101</v>
      </c>
      <c r="E50" s="74" t="n">
        <v>97</v>
      </c>
      <c r="F50" s="74" t="n">
        <v>87</v>
      </c>
      <c r="G50" s="74" t="n">
        <v>9</v>
      </c>
      <c r="H50" s="74" t="n">
        <v>7</v>
      </c>
      <c r="I50" s="74" t="n">
        <v>2</v>
      </c>
      <c r="J50" s="74" t="n">
        <v>4</v>
      </c>
      <c r="K50" s="74" t="n">
        <v>3</v>
      </c>
      <c r="L50" s="74" t="n">
        <v>2</v>
      </c>
      <c r="M50" s="74" t="n">
        <v>1</v>
      </c>
      <c r="N50" s="74" t="n">
        <v>1</v>
      </c>
    </row>
    <row r="51" customFormat="false" ht="15" hidden="false" customHeight="true" outlineLevel="0" collapsed="false">
      <c r="A51" s="30" t="s">
        <v>488</v>
      </c>
      <c r="B51" s="75" t="n">
        <v>1</v>
      </c>
      <c r="C51" s="75" t="n">
        <v>0.808219178082192</v>
      </c>
      <c r="D51" s="75" t="n">
        <v>0.691780821917808</v>
      </c>
      <c r="E51" s="75" t="n">
        <v>0.96039603960396</v>
      </c>
      <c r="F51" s="75" t="n">
        <v>0.861386138613861</v>
      </c>
      <c r="G51" s="75" t="n">
        <v>0.0891089108910891</v>
      </c>
      <c r="H51" s="75" t="n">
        <v>0.0693069306930693</v>
      </c>
      <c r="I51" s="75" t="n">
        <v>0.0198019801980198</v>
      </c>
      <c r="J51" s="75" t="n">
        <v>0.0396039603960396</v>
      </c>
      <c r="K51" s="75" t="n">
        <v>0.0297029702970297</v>
      </c>
      <c r="L51" s="75" t="n">
        <v>0.0198019801980198</v>
      </c>
      <c r="M51" s="75" t="n">
        <v>0.0099009900990099</v>
      </c>
      <c r="N51" s="75" t="n">
        <v>0.0099009900990099</v>
      </c>
    </row>
    <row r="52" customFormat="false" ht="15" hidden="false" customHeight="true" outlineLevel="0" collapsed="false">
      <c r="A52" s="30" t="s">
        <v>495</v>
      </c>
      <c r="B52" s="74"/>
      <c r="C52" s="74"/>
      <c r="D52" s="76" t="s">
        <v>283</v>
      </c>
      <c r="E52" s="76" t="s">
        <v>283</v>
      </c>
      <c r="F52" s="76" t="s">
        <v>283</v>
      </c>
      <c r="G52" s="39" t="s">
        <v>284</v>
      </c>
      <c r="H52" s="76" t="s">
        <v>284</v>
      </c>
      <c r="I52" s="76" t="s">
        <v>284</v>
      </c>
      <c r="J52" s="76" t="s">
        <v>284</v>
      </c>
      <c r="K52" s="76" t="s">
        <v>284</v>
      </c>
      <c r="L52" s="76" t="s">
        <v>284</v>
      </c>
      <c r="M52" s="76" t="s">
        <v>284</v>
      </c>
      <c r="N52" s="76" t="s">
        <v>284</v>
      </c>
    </row>
    <row r="53" customFormat="false" ht="15" hidden="false" customHeight="true" outlineLevel="0" collapsed="false">
      <c r="A53" s="34" t="s">
        <v>489</v>
      </c>
      <c r="B53" s="35" t="n">
        <v>0.691780821917808</v>
      </c>
      <c r="C53" s="36"/>
      <c r="D53" s="36"/>
      <c r="E53" s="36"/>
      <c r="F53" s="36"/>
      <c r="G53" s="36"/>
      <c r="H53" s="36"/>
      <c r="I53" s="36"/>
      <c r="J53" s="36"/>
      <c r="K53" s="36"/>
      <c r="L53" s="36"/>
      <c r="M53" s="36"/>
      <c r="N53" s="36"/>
    </row>
    <row r="54" customFormat="false" ht="15" hidden="false" customHeight="true" outlineLevel="0" collapsed="false">
      <c r="A54" s="34" t="s">
        <v>490</v>
      </c>
      <c r="B54" s="35" t="n">
        <v>0.945298152629857</v>
      </c>
      <c r="C54" s="36"/>
      <c r="D54" s="36"/>
      <c r="E54" s="36"/>
      <c r="F54" s="36"/>
      <c r="G54" s="36"/>
      <c r="H54" s="36"/>
      <c r="I54" s="36"/>
      <c r="J54" s="36"/>
      <c r="K54" s="36"/>
      <c r="L54" s="36"/>
      <c r="M54" s="36"/>
      <c r="N54" s="36"/>
    </row>
    <row r="55" customFormat="false" ht="15" hidden="false" customHeight="true" outlineLevel="0" collapsed="false">
      <c r="A55" s="34" t="s">
        <v>492</v>
      </c>
      <c r="B55" s="35" t="n">
        <v>0.653939132983668</v>
      </c>
      <c r="C55" s="36"/>
      <c r="D55" s="36"/>
      <c r="E55" s="36"/>
      <c r="F55" s="36"/>
      <c r="G55" s="36"/>
      <c r="H55" s="36"/>
      <c r="I55" s="36"/>
      <c r="J55" s="36"/>
      <c r="K55" s="36"/>
      <c r="L55" s="36"/>
      <c r="M55" s="36"/>
      <c r="N55" s="36"/>
    </row>
    <row r="57" customFormat="false" ht="24" hidden="false" customHeight="true" outlineLevel="0" collapsed="false">
      <c r="A57" s="65" t="s">
        <v>408</v>
      </c>
      <c r="B57" s="65"/>
      <c r="C57" s="65"/>
      <c r="D57" s="65"/>
      <c r="E57" s="65"/>
      <c r="F57" s="65"/>
      <c r="G57" s="65"/>
      <c r="H57" s="65"/>
      <c r="I57" s="65"/>
      <c r="J57" s="65"/>
    </row>
    <row r="58" customFormat="false" ht="27.75" hidden="false" customHeight="true" outlineLevel="0" collapsed="false">
      <c r="B58" s="69" t="s">
        <v>486</v>
      </c>
      <c r="C58" s="69"/>
      <c r="D58" s="69"/>
      <c r="E58" s="70" t="s">
        <v>498</v>
      </c>
      <c r="F58" s="70"/>
      <c r="G58" s="70"/>
      <c r="H58" s="70"/>
      <c r="I58" s="70"/>
      <c r="J58" s="70"/>
    </row>
    <row r="59" customFormat="false" ht="6" hidden="false" customHeight="true" outlineLevel="0" collapsed="false">
      <c r="B59" s="71"/>
      <c r="C59" s="72"/>
      <c r="D59" s="73"/>
      <c r="E59" s="71"/>
      <c r="F59" s="72"/>
      <c r="G59" s="72"/>
      <c r="H59" s="72"/>
      <c r="I59" s="72"/>
      <c r="J59" s="73"/>
    </row>
    <row r="60" customFormat="false" ht="15" hidden="false" customHeight="true" outlineLevel="0" collapsed="false">
      <c r="A60" s="12" t="s">
        <v>275</v>
      </c>
      <c r="B60" s="37" t="n">
        <v>1</v>
      </c>
      <c r="C60" s="37" t="n">
        <v>2</v>
      </c>
      <c r="D60" s="37" t="n">
        <v>3</v>
      </c>
      <c r="E60" s="37" t="n">
        <v>4</v>
      </c>
      <c r="F60" s="37" t="n">
        <v>5</v>
      </c>
      <c r="G60" s="37" t="n">
        <v>6</v>
      </c>
      <c r="H60" s="37" t="n">
        <v>7</v>
      </c>
      <c r="I60" s="37" t="n">
        <v>8</v>
      </c>
      <c r="J60" s="37" t="n">
        <v>9</v>
      </c>
    </row>
    <row r="61" customFormat="false" ht="15" hidden="false" customHeight="true" outlineLevel="0" collapsed="false">
      <c r="A61" s="30" t="s">
        <v>447</v>
      </c>
      <c r="B61" s="74" t="n">
        <v>80</v>
      </c>
      <c r="C61" s="74" t="n">
        <v>68</v>
      </c>
      <c r="D61" s="74" t="n">
        <v>62</v>
      </c>
      <c r="E61" s="74" t="n">
        <v>61</v>
      </c>
      <c r="F61" s="74" t="n">
        <v>12</v>
      </c>
      <c r="G61" s="74" t="n">
        <v>7</v>
      </c>
      <c r="H61" s="74" t="n">
        <v>7</v>
      </c>
      <c r="I61" s="74" t="n">
        <v>0</v>
      </c>
      <c r="J61" s="74" t="n">
        <v>2</v>
      </c>
    </row>
    <row r="62" customFormat="false" ht="15" hidden="false" customHeight="true" outlineLevel="0" collapsed="false">
      <c r="A62" s="30" t="s">
        <v>488</v>
      </c>
      <c r="B62" s="75" t="n">
        <v>1</v>
      </c>
      <c r="C62" s="75" t="n">
        <v>0.85</v>
      </c>
      <c r="D62" s="75" t="n">
        <v>0.775</v>
      </c>
      <c r="E62" s="75" t="n">
        <v>0.983870967741936</v>
      </c>
      <c r="F62" s="75" t="n">
        <v>0.193548387096774</v>
      </c>
      <c r="G62" s="75" t="n">
        <v>0.112903225806452</v>
      </c>
      <c r="H62" s="75" t="n">
        <v>0.112903225806452</v>
      </c>
      <c r="I62" s="75" t="n">
        <v>0</v>
      </c>
      <c r="J62" s="75" t="n">
        <v>0.032258064516129</v>
      </c>
    </row>
    <row r="63" customFormat="false" ht="15" hidden="false" customHeight="true" outlineLevel="0" collapsed="false">
      <c r="A63" s="30" t="s">
        <v>495</v>
      </c>
      <c r="B63" s="74"/>
      <c r="C63" s="74"/>
      <c r="D63" s="76" t="s">
        <v>283</v>
      </c>
      <c r="E63" s="76" t="s">
        <v>283</v>
      </c>
      <c r="F63" s="39" t="s">
        <v>284</v>
      </c>
      <c r="G63" s="76" t="s">
        <v>284</v>
      </c>
      <c r="H63" s="76" t="s">
        <v>284</v>
      </c>
      <c r="I63" s="76" t="s">
        <v>284</v>
      </c>
      <c r="J63" s="76" t="s">
        <v>284</v>
      </c>
    </row>
    <row r="64" customFormat="false" ht="15" hidden="false" customHeight="true" outlineLevel="0" collapsed="false">
      <c r="A64" s="34" t="s">
        <v>489</v>
      </c>
      <c r="B64" s="35" t="n">
        <v>0.775</v>
      </c>
      <c r="C64" s="36"/>
      <c r="D64" s="36"/>
      <c r="E64" s="36"/>
      <c r="F64" s="36"/>
      <c r="G64" s="36"/>
      <c r="H64" s="36"/>
      <c r="I64" s="36"/>
      <c r="J64" s="36"/>
    </row>
    <row r="65" customFormat="false" ht="15" hidden="false" customHeight="true" outlineLevel="0" collapsed="false">
      <c r="A65" s="34" t="s">
        <v>490</v>
      </c>
      <c r="B65" s="35" t="n">
        <v>0.992852852852853</v>
      </c>
      <c r="C65" s="36"/>
      <c r="D65" s="36"/>
      <c r="E65" s="36"/>
      <c r="F65" s="36"/>
      <c r="G65" s="36"/>
      <c r="H65" s="36"/>
      <c r="I65" s="36"/>
      <c r="J65" s="36"/>
    </row>
    <row r="66" customFormat="false" ht="15" hidden="false" customHeight="true" outlineLevel="0" collapsed="false">
      <c r="A66" s="34" t="s">
        <v>492</v>
      </c>
      <c r="B66" s="35" t="n">
        <v>0.769460960960961</v>
      </c>
      <c r="C66" s="36"/>
      <c r="D66" s="36"/>
      <c r="E66" s="36"/>
      <c r="F66" s="36"/>
      <c r="G66" s="36"/>
      <c r="H66" s="36"/>
      <c r="I66" s="36"/>
      <c r="J66" s="36"/>
    </row>
    <row r="68" customFormat="false" ht="24" hidden="false" customHeight="true" outlineLevel="0" collapsed="false">
      <c r="A68" s="65" t="s">
        <v>409</v>
      </c>
      <c r="B68" s="65"/>
      <c r="C68" s="65"/>
      <c r="D68" s="65"/>
      <c r="E68" s="65"/>
      <c r="F68" s="65"/>
      <c r="G68" s="65"/>
      <c r="H68" s="65"/>
      <c r="I68" s="65"/>
      <c r="J68" s="65"/>
      <c r="K68" s="65"/>
      <c r="L68" s="65"/>
      <c r="M68" s="65"/>
      <c r="N68" s="65"/>
      <c r="O68" s="65"/>
      <c r="P68" s="65"/>
      <c r="Q68" s="65"/>
      <c r="R68" s="65"/>
    </row>
    <row r="69" customFormat="false" ht="27.75" hidden="false" customHeight="true" outlineLevel="0" collapsed="false">
      <c r="B69" s="69" t="s">
        <v>486</v>
      </c>
      <c r="C69" s="69"/>
      <c r="D69" s="69"/>
      <c r="E69" s="70" t="s">
        <v>499</v>
      </c>
      <c r="F69" s="70"/>
      <c r="G69" s="70"/>
      <c r="H69" s="70"/>
      <c r="I69" s="70"/>
      <c r="J69" s="70"/>
      <c r="K69" s="70"/>
      <c r="L69" s="70"/>
      <c r="M69" s="70"/>
      <c r="N69" s="70"/>
      <c r="O69" s="70"/>
      <c r="P69" s="70"/>
      <c r="Q69" s="70"/>
      <c r="R69" s="70"/>
    </row>
    <row r="70" customFormat="false" ht="6" hidden="false" customHeight="true" outlineLevel="0" collapsed="false">
      <c r="B70" s="71"/>
      <c r="C70" s="72"/>
      <c r="D70" s="73"/>
      <c r="E70" s="71"/>
      <c r="F70" s="72"/>
      <c r="G70" s="72"/>
      <c r="H70" s="72"/>
      <c r="I70" s="72"/>
      <c r="J70" s="72"/>
      <c r="K70" s="72"/>
      <c r="L70" s="72"/>
      <c r="M70" s="72"/>
      <c r="N70" s="72"/>
      <c r="O70" s="72"/>
      <c r="P70" s="72"/>
      <c r="Q70" s="72"/>
      <c r="R70" s="73"/>
    </row>
    <row r="71" customFormat="false" ht="15" hidden="false" customHeight="true" outlineLevel="0" collapsed="false">
      <c r="A71" s="12" t="s">
        <v>275</v>
      </c>
      <c r="B71" s="37" t="n">
        <v>1</v>
      </c>
      <c r="C71" s="37" t="n">
        <v>2</v>
      </c>
      <c r="D71" s="37" t="n">
        <v>3</v>
      </c>
      <c r="E71" s="37" t="n">
        <v>4</v>
      </c>
      <c r="F71" s="37" t="n">
        <v>5</v>
      </c>
      <c r="G71" s="37" t="n">
        <v>6</v>
      </c>
      <c r="H71" s="37" t="n">
        <v>7</v>
      </c>
      <c r="I71" s="37" t="n">
        <v>8</v>
      </c>
      <c r="J71" s="37" t="n">
        <v>9</v>
      </c>
      <c r="K71" s="37" t="n">
        <v>10</v>
      </c>
      <c r="L71" s="37" t="n">
        <v>11</v>
      </c>
      <c r="M71" s="37" t="n">
        <v>12</v>
      </c>
      <c r="N71" s="37" t="n">
        <v>13</v>
      </c>
      <c r="O71" s="37" t="n">
        <v>14</v>
      </c>
      <c r="P71" s="37" t="n">
        <v>15</v>
      </c>
      <c r="Q71" s="37" t="n">
        <v>16</v>
      </c>
      <c r="R71" s="37" t="n">
        <v>17</v>
      </c>
    </row>
    <row r="72" customFormat="false" ht="15" hidden="false" customHeight="true" outlineLevel="0" collapsed="false">
      <c r="A72" s="30" t="s">
        <v>447</v>
      </c>
      <c r="B72" s="74" t="n">
        <v>248</v>
      </c>
      <c r="C72" s="74" t="n">
        <v>167</v>
      </c>
      <c r="D72" s="74" t="n">
        <v>132</v>
      </c>
      <c r="E72" s="74" t="n">
        <v>154</v>
      </c>
      <c r="F72" s="74" t="n">
        <v>133</v>
      </c>
      <c r="G72" s="74" t="n">
        <v>111</v>
      </c>
      <c r="H72" s="74" t="n">
        <v>74</v>
      </c>
      <c r="I72" s="74" t="n">
        <v>43</v>
      </c>
      <c r="J72" s="74" t="n">
        <v>24</v>
      </c>
      <c r="K72" s="74" t="n">
        <v>11</v>
      </c>
      <c r="L72" s="74" t="n">
        <v>5</v>
      </c>
      <c r="M72" s="74" t="n">
        <v>7</v>
      </c>
      <c r="N72" s="74" t="n">
        <v>4</v>
      </c>
      <c r="O72" s="74" t="n">
        <v>3</v>
      </c>
      <c r="P72" s="74" t="n">
        <v>2</v>
      </c>
      <c r="Q72" s="74" t="n">
        <v>1</v>
      </c>
      <c r="R72" s="74" t="n">
        <v>1</v>
      </c>
    </row>
    <row r="73" customFormat="false" ht="15" hidden="false" customHeight="true" outlineLevel="0" collapsed="false">
      <c r="A73" s="30" t="s">
        <v>488</v>
      </c>
      <c r="B73" s="75" t="n">
        <v>1</v>
      </c>
      <c r="C73" s="75" t="n">
        <v>0.673387096774194</v>
      </c>
      <c r="D73" s="75" t="n">
        <v>0.532258064516129</v>
      </c>
      <c r="E73" s="75" t="n">
        <v>1.16666666666667</v>
      </c>
      <c r="F73" s="75" t="n">
        <v>1.00757575757576</v>
      </c>
      <c r="G73" s="75" t="n">
        <v>0.840909090909091</v>
      </c>
      <c r="H73" s="75" t="n">
        <v>0.560606060606061</v>
      </c>
      <c r="I73" s="75" t="n">
        <v>0.325757575757576</v>
      </c>
      <c r="J73" s="75" t="n">
        <v>0.181818181818182</v>
      </c>
      <c r="K73" s="75" t="n">
        <v>0.0833333333333333</v>
      </c>
      <c r="L73" s="75" t="n">
        <v>0.0378787878787879</v>
      </c>
      <c r="M73" s="75" t="n">
        <v>0.053030303030303</v>
      </c>
      <c r="N73" s="75" t="n">
        <v>0.0303030303030303</v>
      </c>
      <c r="O73" s="75" t="n">
        <v>0.0227272727272727</v>
      </c>
      <c r="P73" s="75" t="n">
        <v>0.0151515151515152</v>
      </c>
      <c r="Q73" s="75" t="n">
        <v>0.00757575757575758</v>
      </c>
      <c r="R73" s="75" t="n">
        <v>0.00757575757575758</v>
      </c>
    </row>
    <row r="74" customFormat="false" ht="15" hidden="false" customHeight="true" outlineLevel="0" collapsed="false">
      <c r="A74" s="30" t="s">
        <v>495</v>
      </c>
      <c r="B74" s="74"/>
      <c r="C74" s="74"/>
      <c r="D74" s="76" t="s">
        <v>283</v>
      </c>
      <c r="E74" s="76" t="s">
        <v>283</v>
      </c>
      <c r="F74" s="76" t="s">
        <v>283</v>
      </c>
      <c r="G74" s="76" t="s">
        <v>283</v>
      </c>
      <c r="H74" s="76" t="s">
        <v>283</v>
      </c>
      <c r="I74" s="76" t="s">
        <v>283</v>
      </c>
      <c r="J74" s="39" t="s">
        <v>284</v>
      </c>
      <c r="K74" s="76" t="s">
        <v>284</v>
      </c>
      <c r="L74" s="76" t="s">
        <v>284</v>
      </c>
      <c r="M74" s="76" t="s">
        <v>284</v>
      </c>
      <c r="N74" s="76" t="s">
        <v>284</v>
      </c>
      <c r="O74" s="76" t="s">
        <v>284</v>
      </c>
      <c r="P74" s="76" t="s">
        <v>284</v>
      </c>
      <c r="Q74" s="76" t="s">
        <v>284</v>
      </c>
      <c r="R74" s="76" t="s">
        <v>284</v>
      </c>
    </row>
    <row r="75" customFormat="false" ht="15" hidden="false" customHeight="true" outlineLevel="0" collapsed="false">
      <c r="A75" s="34" t="s">
        <v>489</v>
      </c>
      <c r="B75" s="35" t="n">
        <v>0.532258064516129</v>
      </c>
      <c r="C75" s="36"/>
      <c r="D75" s="36"/>
      <c r="E75" s="36"/>
      <c r="F75" s="36"/>
      <c r="G75" s="36"/>
      <c r="H75" s="36"/>
      <c r="I75" s="36"/>
      <c r="J75" s="36"/>
      <c r="K75" s="36"/>
      <c r="L75" s="36"/>
      <c r="M75" s="36"/>
      <c r="N75" s="36"/>
      <c r="O75" s="36"/>
      <c r="P75" s="36"/>
      <c r="Q75" s="36"/>
      <c r="R75" s="36"/>
    </row>
    <row r="76" customFormat="false" ht="15" hidden="false" customHeight="true" outlineLevel="0" collapsed="false">
      <c r="A76" s="34" t="s">
        <v>490</v>
      </c>
      <c r="B76" s="35" t="n">
        <v>0.836271100744058</v>
      </c>
      <c r="C76" s="36"/>
      <c r="D76" s="36"/>
      <c r="E76" s="36"/>
      <c r="F76" s="36"/>
      <c r="G76" s="36"/>
      <c r="H76" s="36"/>
      <c r="I76" s="36"/>
      <c r="J76" s="36"/>
      <c r="K76" s="36"/>
      <c r="L76" s="36"/>
      <c r="M76" s="36"/>
      <c r="N76" s="36"/>
      <c r="O76" s="36"/>
      <c r="P76" s="36"/>
      <c r="Q76" s="36"/>
      <c r="R76" s="36"/>
    </row>
    <row r="77" customFormat="false" ht="15" hidden="false" customHeight="true" outlineLevel="0" collapsed="false">
      <c r="A77" s="34" t="s">
        <v>492</v>
      </c>
      <c r="B77" s="35" t="n">
        <v>0.445112037492805</v>
      </c>
      <c r="C77" s="36"/>
      <c r="D77" s="36"/>
      <c r="E77" s="36"/>
      <c r="F77" s="36"/>
      <c r="G77" s="36"/>
      <c r="H77" s="36"/>
      <c r="I77" s="36"/>
      <c r="J77" s="36"/>
      <c r="K77" s="36"/>
      <c r="L77" s="36"/>
      <c r="M77" s="36"/>
      <c r="N77" s="36"/>
      <c r="O77" s="36"/>
      <c r="P77" s="36"/>
      <c r="Q77" s="36"/>
      <c r="R77" s="36"/>
    </row>
    <row r="79" customFormat="false" ht="24" hidden="false" customHeight="true" outlineLevel="0" collapsed="false">
      <c r="A79" s="65" t="s">
        <v>410</v>
      </c>
      <c r="B79" s="65"/>
      <c r="C79" s="65"/>
      <c r="D79" s="65"/>
      <c r="E79" s="65"/>
      <c r="F79" s="65"/>
      <c r="G79" s="65"/>
      <c r="H79" s="65"/>
      <c r="I79" s="65"/>
      <c r="J79" s="65"/>
      <c r="K79" s="65"/>
      <c r="L79" s="65"/>
      <c r="M79" s="65"/>
      <c r="N79" s="65"/>
      <c r="O79" s="65"/>
      <c r="P79" s="65"/>
    </row>
    <row r="80" customFormat="false" ht="27.75" hidden="false" customHeight="true" outlineLevel="0" collapsed="false">
      <c r="B80" s="69" t="s">
        <v>486</v>
      </c>
      <c r="C80" s="69"/>
      <c r="D80" s="69"/>
      <c r="E80" s="70" t="s">
        <v>500</v>
      </c>
      <c r="F80" s="70"/>
      <c r="G80" s="70"/>
      <c r="H80" s="70"/>
      <c r="I80" s="70"/>
      <c r="J80" s="70"/>
      <c r="K80" s="70"/>
      <c r="L80" s="70"/>
      <c r="M80" s="70"/>
      <c r="N80" s="70"/>
      <c r="O80" s="70"/>
      <c r="P80" s="70"/>
    </row>
    <row r="81" customFormat="false" ht="6" hidden="false" customHeight="true" outlineLevel="0" collapsed="false">
      <c r="B81" s="71"/>
      <c r="C81" s="72"/>
      <c r="D81" s="73"/>
      <c r="E81" s="71"/>
      <c r="F81" s="72"/>
      <c r="G81" s="72"/>
      <c r="H81" s="72"/>
      <c r="I81" s="72"/>
      <c r="J81" s="72"/>
      <c r="K81" s="72"/>
      <c r="L81" s="72"/>
      <c r="M81" s="72"/>
      <c r="N81" s="72"/>
      <c r="O81" s="72"/>
      <c r="P81" s="73"/>
    </row>
    <row r="82" customFormat="false" ht="15" hidden="false" customHeight="true" outlineLevel="0" collapsed="false">
      <c r="A82" s="12" t="s">
        <v>275</v>
      </c>
      <c r="B82" s="37" t="n">
        <v>1</v>
      </c>
      <c r="C82" s="37" t="n">
        <v>2</v>
      </c>
      <c r="D82" s="37" t="n">
        <v>3</v>
      </c>
      <c r="E82" s="37" t="n">
        <v>4</v>
      </c>
      <c r="F82" s="37" t="n">
        <v>5</v>
      </c>
      <c r="G82" s="37" t="n">
        <v>6</v>
      </c>
      <c r="H82" s="37" t="n">
        <v>7</v>
      </c>
      <c r="I82" s="37" t="n">
        <v>8</v>
      </c>
      <c r="J82" s="37" t="n">
        <v>9</v>
      </c>
      <c r="K82" s="37" t="n">
        <v>10</v>
      </c>
      <c r="L82" s="37" t="n">
        <v>11</v>
      </c>
      <c r="M82" s="37" t="n">
        <v>12</v>
      </c>
      <c r="N82" s="37" t="n">
        <v>13</v>
      </c>
      <c r="O82" s="37" t="n">
        <v>14</v>
      </c>
      <c r="P82" s="37" t="n">
        <v>15</v>
      </c>
    </row>
    <row r="83" customFormat="false" ht="15" hidden="false" customHeight="true" outlineLevel="0" collapsed="false">
      <c r="A83" s="30" t="s">
        <v>447</v>
      </c>
      <c r="B83" s="74" t="n">
        <v>474</v>
      </c>
      <c r="C83" s="74" t="n">
        <v>366</v>
      </c>
      <c r="D83" s="74" t="n">
        <v>310</v>
      </c>
      <c r="E83" s="74" t="n">
        <v>311</v>
      </c>
      <c r="F83" s="74" t="n">
        <v>276</v>
      </c>
      <c r="G83" s="74" t="n">
        <v>235</v>
      </c>
      <c r="H83" s="74" t="n">
        <v>105</v>
      </c>
      <c r="I83" s="74" t="n">
        <v>67</v>
      </c>
      <c r="J83" s="74" t="n">
        <v>32</v>
      </c>
      <c r="K83" s="74" t="n">
        <v>21</v>
      </c>
      <c r="L83" s="74" t="n">
        <v>15</v>
      </c>
      <c r="M83" s="74" t="n">
        <v>6</v>
      </c>
      <c r="N83" s="74" t="n">
        <v>6</v>
      </c>
      <c r="O83" s="74" t="n">
        <v>2</v>
      </c>
      <c r="P83" s="74" t="n">
        <v>1</v>
      </c>
    </row>
    <row r="84" customFormat="false" ht="15" hidden="false" customHeight="true" outlineLevel="0" collapsed="false">
      <c r="A84" s="30" t="s">
        <v>488</v>
      </c>
      <c r="B84" s="75" t="n">
        <v>1</v>
      </c>
      <c r="C84" s="75" t="n">
        <v>0.772151898734177</v>
      </c>
      <c r="D84" s="75" t="n">
        <v>0.654008438818565</v>
      </c>
      <c r="E84" s="75" t="n">
        <v>1.00322580645161</v>
      </c>
      <c r="F84" s="75" t="n">
        <v>0.890322580645161</v>
      </c>
      <c r="G84" s="75" t="n">
        <v>0.758064516129032</v>
      </c>
      <c r="H84" s="75" t="n">
        <v>0.338709677419355</v>
      </c>
      <c r="I84" s="75" t="n">
        <v>0.216129032258065</v>
      </c>
      <c r="J84" s="75" t="n">
        <v>0.103225806451613</v>
      </c>
      <c r="K84" s="75" t="n">
        <v>0.067741935483871</v>
      </c>
      <c r="L84" s="75" t="n">
        <v>0.0483870967741936</v>
      </c>
      <c r="M84" s="75" t="n">
        <v>0.0193548387096774</v>
      </c>
      <c r="N84" s="75" t="n">
        <v>0.0193548387096774</v>
      </c>
      <c r="O84" s="75" t="n">
        <v>0.00645161290322581</v>
      </c>
      <c r="P84" s="75" t="n">
        <v>0.0032258064516129</v>
      </c>
    </row>
    <row r="85" customFormat="false" ht="15" hidden="false" customHeight="true" outlineLevel="0" collapsed="false">
      <c r="A85" s="30" t="s">
        <v>495</v>
      </c>
      <c r="B85" s="74"/>
      <c r="C85" s="74"/>
      <c r="D85" s="76" t="s">
        <v>283</v>
      </c>
      <c r="E85" s="76" t="s">
        <v>283</v>
      </c>
      <c r="F85" s="76" t="s">
        <v>283</v>
      </c>
      <c r="G85" s="76" t="s">
        <v>283</v>
      </c>
      <c r="H85" s="76" t="s">
        <v>283</v>
      </c>
      <c r="I85" s="76" t="s">
        <v>283</v>
      </c>
      <c r="J85" s="39" t="s">
        <v>284</v>
      </c>
      <c r="K85" s="76" t="s">
        <v>284</v>
      </c>
      <c r="L85" s="76" t="s">
        <v>284</v>
      </c>
      <c r="M85" s="76" t="s">
        <v>284</v>
      </c>
      <c r="N85" s="76" t="s">
        <v>284</v>
      </c>
      <c r="O85" s="76" t="s">
        <v>284</v>
      </c>
      <c r="P85" s="76" t="s">
        <v>284</v>
      </c>
    </row>
    <row r="86" customFormat="false" ht="15" hidden="false" customHeight="true" outlineLevel="0" collapsed="false">
      <c r="A86" s="34" t="s">
        <v>489</v>
      </c>
      <c r="B86" s="35" t="n">
        <v>0.654008438818565</v>
      </c>
      <c r="C86" s="36"/>
      <c r="D86" s="36"/>
      <c r="E86" s="36"/>
      <c r="F86" s="36"/>
      <c r="G86" s="36"/>
      <c r="H86" s="36"/>
      <c r="I86" s="36"/>
      <c r="J86" s="36"/>
      <c r="K86" s="36"/>
      <c r="L86" s="36"/>
      <c r="M86" s="36"/>
      <c r="N86" s="36"/>
      <c r="O86" s="36"/>
      <c r="P86" s="36"/>
    </row>
    <row r="87" customFormat="false" ht="15" hidden="false" customHeight="true" outlineLevel="0" collapsed="false">
      <c r="A87" s="34" t="s">
        <v>490</v>
      </c>
      <c r="B87" s="35" t="n">
        <v>0.738743218519983</v>
      </c>
      <c r="C87" s="36"/>
      <c r="D87" s="36"/>
      <c r="E87" s="36"/>
      <c r="F87" s="36"/>
      <c r="G87" s="36"/>
      <c r="H87" s="36"/>
      <c r="I87" s="36"/>
      <c r="J87" s="36"/>
      <c r="K87" s="36"/>
      <c r="L87" s="36"/>
      <c r="M87" s="36"/>
      <c r="N87" s="36"/>
      <c r="O87" s="36"/>
      <c r="P87" s="36"/>
    </row>
    <row r="88" customFormat="false" ht="15" hidden="false" customHeight="true" outlineLevel="0" collapsed="false">
      <c r="A88" s="34" t="s">
        <v>492</v>
      </c>
      <c r="B88" s="35" t="n">
        <v>0.483144299032056</v>
      </c>
      <c r="C88" s="36"/>
      <c r="D88" s="36"/>
      <c r="E88" s="36"/>
      <c r="F88" s="36"/>
      <c r="G88" s="36"/>
      <c r="H88" s="36"/>
      <c r="I88" s="36"/>
      <c r="J88" s="36"/>
      <c r="K88" s="36"/>
      <c r="L88" s="36"/>
      <c r="M88" s="36"/>
      <c r="N88" s="36"/>
      <c r="O88" s="36"/>
      <c r="P88" s="36"/>
    </row>
    <row r="90" customFormat="false" ht="24" hidden="false" customHeight="true" outlineLevel="0" collapsed="false">
      <c r="A90" s="65" t="s">
        <v>411</v>
      </c>
      <c r="B90" s="65"/>
      <c r="C90" s="65"/>
      <c r="D90" s="65"/>
      <c r="E90" s="65"/>
      <c r="F90" s="65"/>
      <c r="G90" s="65"/>
      <c r="H90" s="65"/>
      <c r="I90" s="65"/>
      <c r="J90" s="65"/>
      <c r="K90" s="65"/>
      <c r="L90" s="65"/>
      <c r="M90" s="65"/>
      <c r="N90" s="65"/>
      <c r="O90" s="65"/>
      <c r="P90" s="65"/>
      <c r="Q90" s="65"/>
      <c r="R90" s="65"/>
    </row>
    <row r="91" customFormat="false" ht="27.75" hidden="false" customHeight="true" outlineLevel="0" collapsed="false">
      <c r="B91" s="69" t="s">
        <v>486</v>
      </c>
      <c r="C91" s="69"/>
      <c r="D91" s="69"/>
      <c r="E91" s="70" t="s">
        <v>499</v>
      </c>
      <c r="F91" s="70"/>
      <c r="G91" s="70"/>
      <c r="H91" s="70"/>
      <c r="I91" s="70"/>
      <c r="J91" s="70"/>
      <c r="K91" s="70"/>
      <c r="L91" s="70"/>
      <c r="M91" s="70"/>
      <c r="N91" s="70"/>
      <c r="O91" s="70"/>
      <c r="P91" s="70"/>
      <c r="Q91" s="70"/>
      <c r="R91" s="70"/>
    </row>
    <row r="92" customFormat="false" ht="6" hidden="false" customHeight="true" outlineLevel="0" collapsed="false">
      <c r="B92" s="71"/>
      <c r="C92" s="72"/>
      <c r="D92" s="73"/>
      <c r="E92" s="71"/>
      <c r="F92" s="72"/>
      <c r="G92" s="72"/>
      <c r="H92" s="72"/>
      <c r="I92" s="72"/>
      <c r="J92" s="72"/>
      <c r="K92" s="72"/>
      <c r="L92" s="72"/>
      <c r="M92" s="72"/>
      <c r="N92" s="72"/>
      <c r="O92" s="72"/>
      <c r="P92" s="72"/>
      <c r="Q92" s="72"/>
      <c r="R92" s="73"/>
    </row>
    <row r="93" customFormat="false" ht="15" hidden="false" customHeight="true" outlineLevel="0" collapsed="false">
      <c r="A93" s="12" t="s">
        <v>275</v>
      </c>
      <c r="B93" s="37" t="n">
        <v>1</v>
      </c>
      <c r="C93" s="37" t="n">
        <v>2</v>
      </c>
      <c r="D93" s="37" t="n">
        <v>3</v>
      </c>
      <c r="E93" s="37" t="n">
        <v>4</v>
      </c>
      <c r="F93" s="37" t="n">
        <v>5</v>
      </c>
      <c r="G93" s="37" t="n">
        <v>6</v>
      </c>
      <c r="H93" s="37" t="n">
        <v>7</v>
      </c>
      <c r="I93" s="37" t="n">
        <v>8</v>
      </c>
      <c r="J93" s="37" t="n">
        <v>9</v>
      </c>
      <c r="K93" s="37" t="n">
        <v>10</v>
      </c>
      <c r="L93" s="37" t="n">
        <v>11</v>
      </c>
      <c r="M93" s="37" t="n">
        <v>12</v>
      </c>
      <c r="N93" s="37" t="n">
        <v>13</v>
      </c>
      <c r="O93" s="37" t="n">
        <v>14</v>
      </c>
      <c r="P93" s="37" t="n">
        <v>15</v>
      </c>
      <c r="Q93" s="37" t="n">
        <v>16</v>
      </c>
      <c r="R93" s="37" t="n">
        <v>17</v>
      </c>
    </row>
    <row r="94" customFormat="false" ht="15" hidden="false" customHeight="true" outlineLevel="0" collapsed="false">
      <c r="A94" s="30" t="s">
        <v>447</v>
      </c>
      <c r="B94" s="74" t="n">
        <v>505</v>
      </c>
      <c r="C94" s="74" t="n">
        <v>346</v>
      </c>
      <c r="D94" s="74" t="n">
        <v>288</v>
      </c>
      <c r="E94" s="74" t="n">
        <v>277</v>
      </c>
      <c r="F94" s="74" t="n">
        <v>245</v>
      </c>
      <c r="G94" s="74" t="n">
        <v>171</v>
      </c>
      <c r="H94" s="74" t="n">
        <v>114</v>
      </c>
      <c r="I94" s="74" t="n">
        <v>64</v>
      </c>
      <c r="J94" s="74" t="n">
        <v>48</v>
      </c>
      <c r="K94" s="74" t="n">
        <v>33</v>
      </c>
      <c r="L94" s="74" t="n">
        <v>18</v>
      </c>
      <c r="M94" s="74" t="n">
        <v>11</v>
      </c>
      <c r="N94" s="74" t="n">
        <v>8</v>
      </c>
      <c r="O94" s="74" t="n">
        <v>5</v>
      </c>
      <c r="P94" s="74" t="n">
        <v>6</v>
      </c>
      <c r="Q94" s="74" t="n">
        <v>4</v>
      </c>
      <c r="R94" s="74" t="n">
        <v>1</v>
      </c>
    </row>
    <row r="95" customFormat="false" ht="15" hidden="false" customHeight="true" outlineLevel="0" collapsed="false">
      <c r="A95" s="30" t="s">
        <v>488</v>
      </c>
      <c r="B95" s="75" t="n">
        <v>1</v>
      </c>
      <c r="C95" s="75" t="n">
        <v>0.685148514851485</v>
      </c>
      <c r="D95" s="75" t="n">
        <v>0.57029702970297</v>
      </c>
      <c r="E95" s="75" t="n">
        <v>0.961805555555556</v>
      </c>
      <c r="F95" s="75" t="n">
        <v>0.850694444444444</v>
      </c>
      <c r="G95" s="75" t="n">
        <v>0.59375</v>
      </c>
      <c r="H95" s="75" t="n">
        <v>0.395833333333333</v>
      </c>
      <c r="I95" s="75" t="n">
        <v>0.222222222222222</v>
      </c>
      <c r="J95" s="75" t="n">
        <v>0.166666666666667</v>
      </c>
      <c r="K95" s="75" t="n">
        <v>0.114583333333333</v>
      </c>
      <c r="L95" s="75" t="n">
        <v>0.0625</v>
      </c>
      <c r="M95" s="75" t="n">
        <v>0.0381944444444445</v>
      </c>
      <c r="N95" s="75" t="n">
        <v>0.0277777777777778</v>
      </c>
      <c r="O95" s="75" t="n">
        <v>0.0173611111111111</v>
      </c>
      <c r="P95" s="75" t="n">
        <v>0.0208333333333333</v>
      </c>
      <c r="Q95" s="75" t="n">
        <v>0.0138888888888889</v>
      </c>
      <c r="R95" s="75" t="n">
        <v>0.00347222222222222</v>
      </c>
    </row>
    <row r="96" customFormat="false" ht="15" hidden="false" customHeight="true" outlineLevel="0" collapsed="false">
      <c r="A96" s="30" t="s">
        <v>495</v>
      </c>
      <c r="B96" s="74"/>
      <c r="C96" s="74"/>
      <c r="D96" s="76" t="s">
        <v>283</v>
      </c>
      <c r="E96" s="76" t="s">
        <v>283</v>
      </c>
      <c r="F96" s="76" t="s">
        <v>283</v>
      </c>
      <c r="G96" s="76" t="s">
        <v>283</v>
      </c>
      <c r="H96" s="76" t="s">
        <v>283</v>
      </c>
      <c r="I96" s="76" t="s">
        <v>283</v>
      </c>
      <c r="J96" s="39" t="s">
        <v>284</v>
      </c>
      <c r="K96" s="76" t="s">
        <v>284</v>
      </c>
      <c r="L96" s="76" t="s">
        <v>284</v>
      </c>
      <c r="M96" s="76" t="s">
        <v>284</v>
      </c>
      <c r="N96" s="76" t="s">
        <v>284</v>
      </c>
      <c r="O96" s="76" t="s">
        <v>284</v>
      </c>
      <c r="P96" s="76" t="s">
        <v>284</v>
      </c>
      <c r="Q96" s="76" t="s">
        <v>284</v>
      </c>
      <c r="R96" s="76" t="s">
        <v>284</v>
      </c>
    </row>
    <row r="97" customFormat="false" ht="15" hidden="false" customHeight="true" outlineLevel="0" collapsed="false">
      <c r="A97" s="34" t="s">
        <v>489</v>
      </c>
      <c r="B97" s="35" t="n">
        <v>0.57029702970297</v>
      </c>
      <c r="C97" s="36"/>
      <c r="D97" s="36"/>
      <c r="E97" s="36"/>
      <c r="F97" s="36"/>
      <c r="G97" s="36"/>
      <c r="H97" s="36"/>
      <c r="I97" s="36"/>
      <c r="J97" s="36"/>
      <c r="K97" s="36"/>
      <c r="L97" s="36"/>
      <c r="M97" s="36"/>
      <c r="N97" s="36"/>
      <c r="O97" s="36"/>
      <c r="P97" s="36"/>
      <c r="Q97" s="36"/>
      <c r="R97" s="36"/>
    </row>
    <row r="98" customFormat="false" ht="15" hidden="false" customHeight="true" outlineLevel="0" collapsed="false">
      <c r="A98" s="34" t="s">
        <v>490</v>
      </c>
      <c r="B98" s="35" t="n">
        <v>0.692573695222994</v>
      </c>
      <c r="C98" s="36"/>
      <c r="D98" s="36"/>
      <c r="E98" s="36"/>
      <c r="F98" s="36"/>
      <c r="G98" s="36"/>
      <c r="H98" s="36"/>
      <c r="I98" s="36"/>
      <c r="J98" s="36"/>
      <c r="K98" s="36"/>
      <c r="L98" s="36"/>
      <c r="M98" s="36"/>
      <c r="N98" s="36"/>
      <c r="O98" s="36"/>
      <c r="P98" s="36"/>
      <c r="Q98" s="36"/>
      <c r="R98" s="36"/>
    </row>
    <row r="99" customFormat="false" ht="15" hidden="false" customHeight="true" outlineLevel="0" collapsed="false">
      <c r="A99" s="34" t="s">
        <v>492</v>
      </c>
      <c r="B99" s="35" t="n">
        <v>0.394972721236084</v>
      </c>
      <c r="C99" s="36"/>
      <c r="D99" s="36"/>
      <c r="E99" s="36"/>
      <c r="F99" s="36"/>
      <c r="G99" s="36"/>
      <c r="H99" s="36"/>
      <c r="I99" s="36"/>
      <c r="J99" s="36"/>
      <c r="K99" s="36"/>
      <c r="L99" s="36"/>
      <c r="M99" s="36"/>
      <c r="N99" s="36"/>
      <c r="O99" s="36"/>
      <c r="P99" s="36"/>
      <c r="Q99" s="36"/>
      <c r="R99" s="36"/>
    </row>
    <row r="101" customFormat="false" ht="24" hidden="false" customHeight="true" outlineLevel="0" collapsed="false">
      <c r="A101" s="65" t="s">
        <v>412</v>
      </c>
      <c r="B101" s="65"/>
      <c r="C101" s="65"/>
      <c r="D101" s="65"/>
      <c r="E101" s="65"/>
      <c r="F101" s="65"/>
      <c r="G101" s="65"/>
      <c r="H101" s="65"/>
      <c r="I101" s="65"/>
      <c r="J101" s="65"/>
      <c r="K101" s="65"/>
      <c r="L101" s="65"/>
      <c r="M101" s="65"/>
      <c r="N101" s="65"/>
      <c r="O101" s="65"/>
      <c r="P101" s="65"/>
      <c r="Q101" s="65"/>
    </row>
    <row r="102" customFormat="false" ht="27.75" hidden="false" customHeight="true" outlineLevel="0" collapsed="false">
      <c r="B102" s="69" t="s">
        <v>486</v>
      </c>
      <c r="C102" s="69"/>
      <c r="D102" s="69"/>
      <c r="E102" s="70" t="s">
        <v>496</v>
      </c>
      <c r="F102" s="70"/>
      <c r="G102" s="70"/>
      <c r="H102" s="70"/>
      <c r="I102" s="70"/>
      <c r="J102" s="70"/>
      <c r="K102" s="70"/>
      <c r="L102" s="70"/>
      <c r="M102" s="70"/>
      <c r="N102" s="70"/>
      <c r="O102" s="70"/>
      <c r="P102" s="70"/>
      <c r="Q102" s="70"/>
    </row>
    <row r="103" customFormat="false" ht="6" hidden="false" customHeight="true" outlineLevel="0" collapsed="false">
      <c r="B103" s="71"/>
      <c r="C103" s="72"/>
      <c r="D103" s="73"/>
      <c r="E103" s="71"/>
      <c r="F103" s="72"/>
      <c r="G103" s="72"/>
      <c r="H103" s="72"/>
      <c r="I103" s="72"/>
      <c r="J103" s="72"/>
      <c r="K103" s="72"/>
      <c r="L103" s="72"/>
      <c r="M103" s="72"/>
      <c r="N103" s="72"/>
      <c r="O103" s="72"/>
      <c r="P103" s="72"/>
      <c r="Q103" s="73"/>
    </row>
    <row r="104" customFormat="false" ht="15" hidden="false" customHeight="true" outlineLevel="0" collapsed="false">
      <c r="A104" s="12" t="s">
        <v>275</v>
      </c>
      <c r="B104" s="37" t="n">
        <v>1</v>
      </c>
      <c r="C104" s="37" t="n">
        <v>2</v>
      </c>
      <c r="D104" s="37" t="n">
        <v>3</v>
      </c>
      <c r="E104" s="37" t="n">
        <v>4</v>
      </c>
      <c r="F104" s="37" t="n">
        <v>5</v>
      </c>
      <c r="G104" s="37" t="n">
        <v>6</v>
      </c>
      <c r="H104" s="37" t="n">
        <v>7</v>
      </c>
      <c r="I104" s="37" t="n">
        <v>8</v>
      </c>
      <c r="J104" s="37" t="n">
        <v>9</v>
      </c>
      <c r="K104" s="37" t="n">
        <v>10</v>
      </c>
      <c r="L104" s="37" t="n">
        <v>11</v>
      </c>
      <c r="M104" s="37" t="n">
        <v>12</v>
      </c>
      <c r="N104" s="37" t="n">
        <v>13</v>
      </c>
      <c r="O104" s="37" t="n">
        <v>14</v>
      </c>
      <c r="P104" s="37" t="n">
        <v>15</v>
      </c>
      <c r="Q104" s="37" t="n">
        <v>16</v>
      </c>
    </row>
    <row r="105" customFormat="false" ht="15" hidden="false" customHeight="true" outlineLevel="0" collapsed="false">
      <c r="A105" s="30" t="s">
        <v>447</v>
      </c>
      <c r="B105" s="74" t="n">
        <v>256</v>
      </c>
      <c r="C105" s="74" t="n">
        <v>218</v>
      </c>
      <c r="D105" s="74" t="n">
        <v>208</v>
      </c>
      <c r="E105" s="74" t="n">
        <v>207</v>
      </c>
      <c r="F105" s="74" t="n">
        <v>204</v>
      </c>
      <c r="G105" s="74" t="n">
        <v>35</v>
      </c>
      <c r="H105" s="74" t="n">
        <v>16</v>
      </c>
      <c r="I105" s="74" t="n">
        <v>16</v>
      </c>
      <c r="J105" s="74" t="n">
        <v>11</v>
      </c>
      <c r="K105" s="74" t="n">
        <v>6</v>
      </c>
      <c r="L105" s="74" t="n">
        <v>3</v>
      </c>
      <c r="M105" s="74" t="n">
        <v>2</v>
      </c>
      <c r="N105" s="74" t="n">
        <v>3</v>
      </c>
      <c r="O105" s="74" t="n">
        <v>3</v>
      </c>
      <c r="P105" s="74" t="n">
        <v>1</v>
      </c>
      <c r="Q105" s="74" t="n">
        <v>1</v>
      </c>
    </row>
    <row r="106" customFormat="false" ht="15" hidden="false" customHeight="true" outlineLevel="0" collapsed="false">
      <c r="A106" s="30" t="s">
        <v>488</v>
      </c>
      <c r="B106" s="75" t="n">
        <v>1</v>
      </c>
      <c r="C106" s="75" t="n">
        <v>0.8515625</v>
      </c>
      <c r="D106" s="75" t="n">
        <v>0.8125</v>
      </c>
      <c r="E106" s="75" t="n">
        <v>0.995192307692308</v>
      </c>
      <c r="F106" s="75" t="n">
        <v>0.980769230769231</v>
      </c>
      <c r="G106" s="75" t="n">
        <v>0.168269230769231</v>
      </c>
      <c r="H106" s="75" t="n">
        <v>0.0769230769230769</v>
      </c>
      <c r="I106" s="75" t="n">
        <v>0.0769230769230769</v>
      </c>
      <c r="J106" s="75" t="n">
        <v>0.0528846153846154</v>
      </c>
      <c r="K106" s="75" t="n">
        <v>0.0288461538461539</v>
      </c>
      <c r="L106" s="75" t="n">
        <v>0.0144230769230769</v>
      </c>
      <c r="M106" s="75" t="n">
        <v>0.00961538461538462</v>
      </c>
      <c r="N106" s="75" t="n">
        <v>0.0144230769230769</v>
      </c>
      <c r="O106" s="75" t="n">
        <v>0.0144230769230769</v>
      </c>
      <c r="P106" s="75" t="n">
        <v>0.00480769230769231</v>
      </c>
      <c r="Q106" s="75" t="n">
        <v>0.00480769230769231</v>
      </c>
    </row>
    <row r="107" customFormat="false" ht="15" hidden="false" customHeight="true" outlineLevel="0" collapsed="false">
      <c r="A107" s="30" t="s">
        <v>495</v>
      </c>
      <c r="B107" s="74"/>
      <c r="C107" s="74"/>
      <c r="D107" s="76" t="s">
        <v>283</v>
      </c>
      <c r="E107" s="76" t="s">
        <v>283</v>
      </c>
      <c r="F107" s="76" t="s">
        <v>283</v>
      </c>
      <c r="G107" s="39" t="s">
        <v>284</v>
      </c>
      <c r="H107" s="76" t="s">
        <v>284</v>
      </c>
      <c r="I107" s="76" t="s">
        <v>284</v>
      </c>
      <c r="J107" s="76" t="s">
        <v>284</v>
      </c>
      <c r="K107" s="76" t="s">
        <v>284</v>
      </c>
      <c r="L107" s="76" t="s">
        <v>284</v>
      </c>
      <c r="M107" s="76" t="s">
        <v>284</v>
      </c>
      <c r="N107" s="76" t="s">
        <v>284</v>
      </c>
      <c r="O107" s="76" t="s">
        <v>284</v>
      </c>
      <c r="P107" s="76" t="s">
        <v>284</v>
      </c>
      <c r="Q107" s="76" t="s">
        <v>284</v>
      </c>
    </row>
    <row r="108" customFormat="false" ht="15" hidden="false" customHeight="true" outlineLevel="0" collapsed="false">
      <c r="A108" s="34" t="s">
        <v>489</v>
      </c>
      <c r="B108" s="35" t="n">
        <v>0.8125</v>
      </c>
      <c r="C108" s="36"/>
      <c r="D108" s="36"/>
      <c r="E108" s="36"/>
      <c r="F108" s="36"/>
      <c r="G108" s="36"/>
      <c r="H108" s="36"/>
      <c r="I108" s="36"/>
      <c r="J108" s="36"/>
      <c r="K108" s="36"/>
      <c r="L108" s="36"/>
      <c r="M108" s="36"/>
      <c r="N108" s="36"/>
      <c r="O108" s="36"/>
      <c r="P108" s="36"/>
      <c r="Q108" s="36"/>
    </row>
    <row r="109" customFormat="false" ht="15" hidden="false" customHeight="true" outlineLevel="0" collapsed="false">
      <c r="A109" s="34" t="s">
        <v>490</v>
      </c>
      <c r="B109" s="35" t="n">
        <v>0.992148210554413</v>
      </c>
      <c r="C109" s="36"/>
      <c r="D109" s="36"/>
      <c r="E109" s="36"/>
      <c r="F109" s="36"/>
      <c r="G109" s="36"/>
      <c r="H109" s="36"/>
      <c r="I109" s="36"/>
      <c r="J109" s="36"/>
      <c r="K109" s="36"/>
      <c r="L109" s="36"/>
      <c r="M109" s="36"/>
      <c r="N109" s="36"/>
      <c r="O109" s="36"/>
      <c r="P109" s="36"/>
      <c r="Q109" s="36"/>
    </row>
    <row r="110" customFormat="false" ht="15" hidden="false" customHeight="true" outlineLevel="0" collapsed="false">
      <c r="A110" s="34" t="s">
        <v>492</v>
      </c>
      <c r="B110" s="35" t="n">
        <v>0.806120421075461</v>
      </c>
      <c r="C110" s="36"/>
      <c r="D110" s="36"/>
      <c r="E110" s="36"/>
      <c r="F110" s="36"/>
      <c r="G110" s="36"/>
      <c r="H110" s="36"/>
      <c r="I110" s="36"/>
      <c r="J110" s="36"/>
      <c r="K110" s="36"/>
      <c r="L110" s="36"/>
      <c r="M110" s="36"/>
      <c r="N110" s="36"/>
      <c r="O110" s="36"/>
      <c r="P110" s="36"/>
      <c r="Q110" s="36"/>
    </row>
    <row r="112" customFormat="false" ht="24" hidden="false" customHeight="true" outlineLevel="0" collapsed="false">
      <c r="A112" s="65" t="s">
        <v>413</v>
      </c>
      <c r="B112" s="65"/>
      <c r="C112" s="65"/>
      <c r="D112" s="65"/>
      <c r="E112" s="65"/>
      <c r="F112" s="65"/>
      <c r="G112" s="65"/>
      <c r="H112" s="65"/>
      <c r="I112" s="65"/>
      <c r="J112" s="65"/>
      <c r="K112" s="65"/>
      <c r="L112" s="65"/>
      <c r="M112" s="65"/>
    </row>
    <row r="113" customFormat="false" ht="27.75" hidden="false" customHeight="true" outlineLevel="0" collapsed="false">
      <c r="B113" s="69" t="s">
        <v>486</v>
      </c>
      <c r="C113" s="69"/>
      <c r="D113" s="69"/>
      <c r="E113" s="70" t="s">
        <v>501</v>
      </c>
      <c r="F113" s="70"/>
      <c r="G113" s="70"/>
      <c r="H113" s="70"/>
      <c r="I113" s="70"/>
      <c r="J113" s="70"/>
      <c r="K113" s="70"/>
      <c r="L113" s="70"/>
      <c r="M113" s="70"/>
    </row>
    <row r="114" customFormat="false" ht="6" hidden="false" customHeight="true" outlineLevel="0" collapsed="false">
      <c r="B114" s="71"/>
      <c r="C114" s="72"/>
      <c r="D114" s="73"/>
      <c r="E114" s="71"/>
      <c r="F114" s="72"/>
      <c r="G114" s="72"/>
      <c r="H114" s="72"/>
      <c r="I114" s="72"/>
      <c r="J114" s="72"/>
      <c r="K114" s="72"/>
      <c r="L114" s="72"/>
      <c r="M114" s="73"/>
    </row>
    <row r="115" customFormat="false" ht="15" hidden="false" customHeight="true" outlineLevel="0" collapsed="false">
      <c r="A115" s="12" t="s">
        <v>275</v>
      </c>
      <c r="B115" s="37" t="n">
        <v>1</v>
      </c>
      <c r="C115" s="37" t="n">
        <v>2</v>
      </c>
      <c r="D115" s="37" t="n">
        <v>3</v>
      </c>
      <c r="E115" s="37" t="n">
        <v>4</v>
      </c>
      <c r="F115" s="37" t="n">
        <v>5</v>
      </c>
      <c r="G115" s="37" t="n">
        <v>6</v>
      </c>
      <c r="H115" s="37" t="n">
        <v>7</v>
      </c>
      <c r="I115" s="37" t="n">
        <v>8</v>
      </c>
      <c r="J115" s="37" t="n">
        <v>9</v>
      </c>
      <c r="K115" s="37" t="n">
        <v>10</v>
      </c>
      <c r="L115" s="37" t="n">
        <v>11</v>
      </c>
      <c r="M115" s="37" t="n">
        <v>12</v>
      </c>
    </row>
    <row r="116" customFormat="false" ht="15" hidden="false" customHeight="true" outlineLevel="0" collapsed="false">
      <c r="A116" s="30" t="s">
        <v>447</v>
      </c>
      <c r="B116" s="74" t="n">
        <v>240</v>
      </c>
      <c r="C116" s="74" t="n">
        <v>201</v>
      </c>
      <c r="D116" s="74" t="n">
        <v>189</v>
      </c>
      <c r="E116" s="74" t="n">
        <v>179</v>
      </c>
      <c r="F116" s="74" t="n">
        <v>175</v>
      </c>
      <c r="G116" s="74" t="n">
        <v>164</v>
      </c>
      <c r="H116" s="74" t="n">
        <v>158</v>
      </c>
      <c r="I116" s="74" t="n">
        <v>161</v>
      </c>
      <c r="J116" s="74" t="n">
        <v>35</v>
      </c>
      <c r="K116" s="74" t="n">
        <v>19</v>
      </c>
      <c r="L116" s="74" t="n">
        <v>7</v>
      </c>
      <c r="M116" s="74" t="n">
        <v>1</v>
      </c>
    </row>
    <row r="117" customFormat="false" ht="15" hidden="false" customHeight="true" outlineLevel="0" collapsed="false">
      <c r="A117" s="30" t="s">
        <v>488</v>
      </c>
      <c r="B117" s="75" t="n">
        <v>1</v>
      </c>
      <c r="C117" s="75" t="n">
        <v>0.8375</v>
      </c>
      <c r="D117" s="75" t="n">
        <v>0.7875</v>
      </c>
      <c r="E117" s="75" t="n">
        <v>0.947089947089947</v>
      </c>
      <c r="F117" s="75" t="n">
        <v>0.925925925925926</v>
      </c>
      <c r="G117" s="75" t="n">
        <v>0.867724867724868</v>
      </c>
      <c r="H117" s="75" t="n">
        <v>0.835978835978836</v>
      </c>
      <c r="I117" s="75" t="n">
        <v>0.851851851851852</v>
      </c>
      <c r="J117" s="75" t="n">
        <v>0.185185185185185</v>
      </c>
      <c r="K117" s="75" t="n">
        <v>0.100529100529101</v>
      </c>
      <c r="L117" s="75" t="n">
        <v>0.037037037037037</v>
      </c>
      <c r="M117" s="75" t="n">
        <v>0.00529100529100529</v>
      </c>
    </row>
    <row r="118" customFormat="false" ht="15" hidden="false" customHeight="true" outlineLevel="0" collapsed="false">
      <c r="A118" s="30" t="s">
        <v>495</v>
      </c>
      <c r="B118" s="74"/>
      <c r="C118" s="74"/>
      <c r="D118" s="76" t="s">
        <v>283</v>
      </c>
      <c r="E118" s="76" t="s">
        <v>283</v>
      </c>
      <c r="F118" s="76" t="s">
        <v>283</v>
      </c>
      <c r="G118" s="76" t="s">
        <v>283</v>
      </c>
      <c r="H118" s="76" t="s">
        <v>283</v>
      </c>
      <c r="I118" s="76" t="s">
        <v>283</v>
      </c>
      <c r="J118" s="39" t="s">
        <v>284</v>
      </c>
      <c r="K118" s="76" t="s">
        <v>284</v>
      </c>
      <c r="L118" s="76" t="s">
        <v>284</v>
      </c>
      <c r="M118" s="76" t="s">
        <v>284</v>
      </c>
    </row>
    <row r="119" customFormat="false" ht="15" hidden="false" customHeight="true" outlineLevel="0" collapsed="false">
      <c r="A119" s="34" t="s">
        <v>489</v>
      </c>
      <c r="B119" s="35" t="n">
        <v>0.7875</v>
      </c>
      <c r="C119" s="36"/>
      <c r="D119" s="36"/>
      <c r="E119" s="36"/>
      <c r="F119" s="36"/>
      <c r="G119" s="36"/>
      <c r="H119" s="36"/>
      <c r="I119" s="36"/>
      <c r="J119" s="36"/>
      <c r="K119" s="36"/>
      <c r="L119" s="36"/>
      <c r="M119" s="36"/>
    </row>
    <row r="120" customFormat="false" ht="15" hidden="false" customHeight="true" outlineLevel="0" collapsed="false">
      <c r="A120" s="34" t="s">
        <v>490</v>
      </c>
      <c r="B120" s="35" t="n">
        <v>0.909714365176696</v>
      </c>
      <c r="C120" s="36"/>
      <c r="D120" s="36"/>
      <c r="E120" s="36"/>
      <c r="F120" s="36"/>
      <c r="G120" s="36"/>
      <c r="H120" s="36"/>
      <c r="I120" s="36"/>
      <c r="J120" s="36"/>
      <c r="K120" s="36"/>
      <c r="L120" s="36"/>
      <c r="M120" s="36"/>
    </row>
    <row r="121" customFormat="false" ht="15" hidden="false" customHeight="true" outlineLevel="0" collapsed="false">
      <c r="A121" s="34" t="s">
        <v>492</v>
      </c>
      <c r="B121" s="35" t="n">
        <v>0.716400062576648</v>
      </c>
      <c r="C121" s="36"/>
      <c r="D121" s="36"/>
      <c r="E121" s="36"/>
      <c r="F121" s="36"/>
      <c r="G121" s="36"/>
      <c r="H121" s="36"/>
      <c r="I121" s="36"/>
      <c r="J121" s="36"/>
      <c r="K121" s="36"/>
      <c r="L121" s="36"/>
      <c r="M121" s="36"/>
    </row>
    <row r="123" customFormat="false" ht="24" hidden="false" customHeight="true" outlineLevel="0" collapsed="false">
      <c r="A123" s="65" t="s">
        <v>414</v>
      </c>
      <c r="B123" s="65"/>
      <c r="C123" s="65"/>
      <c r="D123" s="65"/>
      <c r="E123" s="65"/>
      <c r="F123" s="65"/>
      <c r="G123" s="65"/>
      <c r="H123" s="65"/>
      <c r="I123" s="65"/>
      <c r="J123" s="65"/>
      <c r="K123" s="65"/>
      <c r="L123" s="65"/>
      <c r="M123" s="65"/>
      <c r="N123" s="65"/>
      <c r="O123" s="65"/>
      <c r="P123" s="65"/>
    </row>
    <row r="124" customFormat="false" ht="27.75" hidden="false" customHeight="true" outlineLevel="0" collapsed="false">
      <c r="B124" s="69" t="s">
        <v>486</v>
      </c>
      <c r="C124" s="69"/>
      <c r="D124" s="69"/>
      <c r="E124" s="70" t="s">
        <v>500</v>
      </c>
      <c r="F124" s="70"/>
      <c r="G124" s="70"/>
      <c r="H124" s="70"/>
      <c r="I124" s="70"/>
      <c r="J124" s="70"/>
      <c r="K124" s="70"/>
      <c r="L124" s="70"/>
      <c r="M124" s="70"/>
      <c r="N124" s="70"/>
      <c r="O124" s="70"/>
      <c r="P124" s="70"/>
    </row>
    <row r="125" customFormat="false" ht="6" hidden="false" customHeight="true" outlineLevel="0" collapsed="false">
      <c r="B125" s="71"/>
      <c r="C125" s="72"/>
      <c r="D125" s="73"/>
      <c r="E125" s="71"/>
      <c r="F125" s="72"/>
      <c r="G125" s="72"/>
      <c r="H125" s="72"/>
      <c r="I125" s="72"/>
      <c r="J125" s="72"/>
      <c r="K125" s="72"/>
      <c r="L125" s="72"/>
      <c r="M125" s="72"/>
      <c r="N125" s="72"/>
      <c r="O125" s="72"/>
      <c r="P125" s="73"/>
    </row>
    <row r="126" customFormat="false" ht="15" hidden="false" customHeight="true" outlineLevel="0" collapsed="false">
      <c r="A126" s="12" t="s">
        <v>275</v>
      </c>
      <c r="B126" s="37" t="n">
        <v>1</v>
      </c>
      <c r="C126" s="37" t="n">
        <v>2</v>
      </c>
      <c r="D126" s="37" t="n">
        <v>3</v>
      </c>
      <c r="E126" s="37" t="n">
        <v>4</v>
      </c>
      <c r="F126" s="37" t="n">
        <v>5</v>
      </c>
      <c r="G126" s="37" t="n">
        <v>6</v>
      </c>
      <c r="H126" s="37" t="n">
        <v>7</v>
      </c>
      <c r="I126" s="37" t="n">
        <v>8</v>
      </c>
      <c r="J126" s="37" t="n">
        <v>9</v>
      </c>
      <c r="K126" s="37" t="n">
        <v>10</v>
      </c>
      <c r="L126" s="37" t="n">
        <v>11</v>
      </c>
      <c r="M126" s="37" t="n">
        <v>12</v>
      </c>
      <c r="N126" s="37" t="n">
        <v>13</v>
      </c>
      <c r="O126" s="37" t="n">
        <v>14</v>
      </c>
      <c r="P126" s="37" t="n">
        <v>15</v>
      </c>
    </row>
    <row r="127" customFormat="false" ht="15" hidden="false" customHeight="true" outlineLevel="0" collapsed="false">
      <c r="A127" s="30" t="s">
        <v>447</v>
      </c>
      <c r="B127" s="74" t="n">
        <v>115</v>
      </c>
      <c r="C127" s="74" t="n">
        <v>102</v>
      </c>
      <c r="D127" s="74" t="n">
        <v>100</v>
      </c>
      <c r="E127" s="74" t="n">
        <v>95</v>
      </c>
      <c r="F127" s="74" t="n">
        <v>33</v>
      </c>
      <c r="G127" s="74" t="n">
        <v>22</v>
      </c>
      <c r="H127" s="74" t="n">
        <v>17</v>
      </c>
      <c r="I127" s="74" t="n">
        <v>2</v>
      </c>
      <c r="J127" s="74" t="n">
        <v>2</v>
      </c>
      <c r="K127" s="74" t="n">
        <v>1</v>
      </c>
      <c r="L127" s="74" t="n">
        <v>0</v>
      </c>
      <c r="M127" s="74" t="n">
        <v>1</v>
      </c>
      <c r="N127" s="74" t="n">
        <v>2</v>
      </c>
      <c r="O127" s="74" t="n">
        <v>1</v>
      </c>
      <c r="P127" s="74" t="n">
        <v>1</v>
      </c>
    </row>
    <row r="128" customFormat="false" ht="15" hidden="false" customHeight="true" outlineLevel="0" collapsed="false">
      <c r="A128" s="30" t="s">
        <v>488</v>
      </c>
      <c r="B128" s="75" t="n">
        <v>1</v>
      </c>
      <c r="C128" s="75" t="n">
        <v>0.88695652173913</v>
      </c>
      <c r="D128" s="75" t="n">
        <v>0.869565217391304</v>
      </c>
      <c r="E128" s="75" t="n">
        <v>0.95</v>
      </c>
      <c r="F128" s="75" t="n">
        <v>0.33</v>
      </c>
      <c r="G128" s="75" t="n">
        <v>0.22</v>
      </c>
      <c r="H128" s="75" t="n">
        <v>0.17</v>
      </c>
      <c r="I128" s="75" t="n">
        <v>0.02</v>
      </c>
      <c r="J128" s="75" t="n">
        <v>0.02</v>
      </c>
      <c r="K128" s="75" t="n">
        <v>0.01</v>
      </c>
      <c r="L128" s="75" t="n">
        <v>0</v>
      </c>
      <c r="M128" s="75" t="n">
        <v>0.01</v>
      </c>
      <c r="N128" s="75" t="n">
        <v>0.02</v>
      </c>
      <c r="O128" s="75" t="n">
        <v>0.01</v>
      </c>
      <c r="P128" s="75" t="n">
        <v>0.01</v>
      </c>
    </row>
    <row r="129" customFormat="false" ht="15" hidden="false" customHeight="true" outlineLevel="0" collapsed="false">
      <c r="A129" s="30" t="s">
        <v>495</v>
      </c>
      <c r="B129" s="74"/>
      <c r="C129" s="74"/>
      <c r="D129" s="76" t="s">
        <v>283</v>
      </c>
      <c r="E129" s="76" t="s">
        <v>283</v>
      </c>
      <c r="F129" s="76" t="s">
        <v>283</v>
      </c>
      <c r="G129" s="76" t="s">
        <v>283</v>
      </c>
      <c r="H129" s="39" t="s">
        <v>284</v>
      </c>
      <c r="I129" s="76" t="s">
        <v>284</v>
      </c>
      <c r="J129" s="76" t="s">
        <v>284</v>
      </c>
      <c r="K129" s="76" t="s">
        <v>284</v>
      </c>
      <c r="L129" s="76" t="s">
        <v>284</v>
      </c>
      <c r="M129" s="76" t="s">
        <v>284</v>
      </c>
      <c r="N129" s="76" t="s">
        <v>284</v>
      </c>
      <c r="O129" s="76" t="s">
        <v>284</v>
      </c>
      <c r="P129" s="76" t="s">
        <v>284</v>
      </c>
    </row>
    <row r="130" customFormat="false" ht="15" hidden="false" customHeight="true" outlineLevel="0" collapsed="false">
      <c r="A130" s="34" t="s">
        <v>489</v>
      </c>
      <c r="B130" s="35" t="n">
        <v>0.869565217391304</v>
      </c>
      <c r="C130" s="36"/>
      <c r="D130" s="36"/>
      <c r="E130" s="36"/>
      <c r="F130" s="36"/>
      <c r="G130" s="36"/>
      <c r="H130" s="36"/>
      <c r="I130" s="36"/>
      <c r="J130" s="36"/>
      <c r="K130" s="36"/>
      <c r="L130" s="36"/>
      <c r="M130" s="36"/>
      <c r="N130" s="36"/>
      <c r="O130" s="36"/>
      <c r="P130" s="36"/>
    </row>
    <row r="131" customFormat="false" ht="15" hidden="false" customHeight="true" outlineLevel="0" collapsed="false">
      <c r="A131" s="34" t="s">
        <v>490</v>
      </c>
      <c r="B131" s="35" t="n">
        <v>0.684604321219001</v>
      </c>
      <c r="C131" s="36"/>
      <c r="D131" s="36"/>
      <c r="E131" s="36"/>
      <c r="F131" s="36"/>
      <c r="G131" s="36"/>
      <c r="H131" s="36"/>
      <c r="I131" s="36"/>
      <c r="J131" s="36"/>
      <c r="K131" s="36"/>
      <c r="L131" s="36"/>
      <c r="M131" s="36"/>
      <c r="N131" s="36"/>
      <c r="O131" s="36"/>
      <c r="P131" s="36"/>
    </row>
    <row r="132" customFormat="false" ht="15" hidden="false" customHeight="true" outlineLevel="0" collapsed="false">
      <c r="A132" s="34" t="s">
        <v>492</v>
      </c>
      <c r="B132" s="35" t="n">
        <v>0.595308105407827</v>
      </c>
      <c r="C132" s="36"/>
      <c r="D132" s="36"/>
      <c r="E132" s="36"/>
      <c r="F132" s="36"/>
      <c r="G132" s="36"/>
      <c r="H132" s="36"/>
      <c r="I132" s="36"/>
      <c r="J132" s="36"/>
      <c r="K132" s="36"/>
      <c r="L132" s="36"/>
      <c r="M132" s="36"/>
      <c r="N132" s="36"/>
      <c r="O132" s="36"/>
      <c r="P132" s="36"/>
    </row>
    <row r="134" customFormat="false" ht="24" hidden="false" customHeight="true" outlineLevel="0" collapsed="false">
      <c r="A134" s="65" t="s">
        <v>415</v>
      </c>
      <c r="B134" s="65"/>
      <c r="C134" s="65"/>
      <c r="D134" s="65"/>
      <c r="E134" s="65"/>
      <c r="F134" s="65"/>
      <c r="G134" s="65"/>
      <c r="H134" s="65"/>
    </row>
    <row r="135" customFormat="false" ht="15" hidden="false" customHeight="true" outlineLevel="0" collapsed="false">
      <c r="A135" s="29" t="s">
        <v>272</v>
      </c>
      <c r="B135" s="29"/>
      <c r="C135" s="29"/>
      <c r="D135" s="29"/>
      <c r="E135" s="29"/>
      <c r="F135" s="29"/>
      <c r="G135" s="29"/>
      <c r="H135" s="29"/>
    </row>
    <row r="137" customFormat="false" ht="24" hidden="false" customHeight="true" outlineLevel="0" collapsed="false">
      <c r="A137" s="65" t="s">
        <v>416</v>
      </c>
      <c r="B137" s="65"/>
      <c r="C137" s="65"/>
      <c r="D137" s="65"/>
      <c r="E137" s="65"/>
      <c r="F137" s="65"/>
      <c r="G137" s="65"/>
      <c r="H137" s="65"/>
    </row>
    <row r="138" customFormat="false" ht="15" hidden="false" customHeight="true" outlineLevel="0" collapsed="false">
      <c r="A138" s="29" t="s">
        <v>272</v>
      </c>
      <c r="B138" s="29"/>
      <c r="C138" s="29"/>
      <c r="D138" s="29"/>
      <c r="E138" s="29"/>
      <c r="F138" s="29"/>
      <c r="G138" s="29"/>
      <c r="H138" s="29"/>
    </row>
    <row r="140" customFormat="false" ht="24" hidden="false" customHeight="true" outlineLevel="0" collapsed="false">
      <c r="A140" s="65" t="s">
        <v>417</v>
      </c>
      <c r="B140" s="65"/>
      <c r="C140" s="65"/>
      <c r="D140" s="65"/>
      <c r="E140" s="65"/>
      <c r="F140" s="65"/>
      <c r="G140" s="65"/>
      <c r="H140" s="65"/>
      <c r="I140" s="65"/>
      <c r="J140" s="65"/>
      <c r="K140" s="65"/>
      <c r="L140" s="65"/>
      <c r="M140" s="65"/>
      <c r="N140" s="65"/>
      <c r="O140" s="65"/>
      <c r="P140" s="65"/>
      <c r="Q140" s="65"/>
    </row>
    <row r="141" customFormat="false" ht="27.75" hidden="false" customHeight="true" outlineLevel="0" collapsed="false">
      <c r="B141" s="69" t="s">
        <v>486</v>
      </c>
      <c r="C141" s="69"/>
      <c r="D141" s="69"/>
      <c r="E141" s="70" t="s">
        <v>496</v>
      </c>
      <c r="F141" s="70"/>
      <c r="G141" s="70"/>
      <c r="H141" s="70"/>
      <c r="I141" s="70"/>
      <c r="J141" s="70"/>
      <c r="K141" s="70"/>
      <c r="L141" s="70"/>
      <c r="M141" s="70"/>
      <c r="N141" s="70"/>
      <c r="O141" s="70"/>
      <c r="P141" s="70"/>
      <c r="Q141" s="70"/>
    </row>
    <row r="142" customFormat="false" ht="6" hidden="false" customHeight="true" outlineLevel="0" collapsed="false">
      <c r="B142" s="71"/>
      <c r="C142" s="72"/>
      <c r="D142" s="73"/>
      <c r="E142" s="71"/>
      <c r="F142" s="72"/>
      <c r="G142" s="72"/>
      <c r="H142" s="72"/>
      <c r="I142" s="72"/>
      <c r="J142" s="72"/>
      <c r="K142" s="72"/>
      <c r="L142" s="72"/>
      <c r="M142" s="72"/>
      <c r="N142" s="72"/>
      <c r="O142" s="72"/>
      <c r="P142" s="72"/>
      <c r="Q142" s="73"/>
    </row>
    <row r="143" customFormat="false" ht="15" hidden="false" customHeight="true" outlineLevel="0" collapsed="false">
      <c r="A143" s="12" t="s">
        <v>275</v>
      </c>
      <c r="B143" s="37" t="n">
        <v>1</v>
      </c>
      <c r="C143" s="37" t="n">
        <v>2</v>
      </c>
      <c r="D143" s="37" t="n">
        <v>3</v>
      </c>
      <c r="E143" s="37" t="n">
        <v>4</v>
      </c>
      <c r="F143" s="37" t="n">
        <v>5</v>
      </c>
      <c r="G143" s="37" t="n">
        <v>6</v>
      </c>
      <c r="H143" s="37" t="n">
        <v>7</v>
      </c>
      <c r="I143" s="37" t="n">
        <v>8</v>
      </c>
      <c r="J143" s="37" t="n">
        <v>9</v>
      </c>
      <c r="K143" s="37" t="n">
        <v>10</v>
      </c>
      <c r="L143" s="37" t="n">
        <v>11</v>
      </c>
      <c r="M143" s="37" t="n">
        <v>12</v>
      </c>
      <c r="N143" s="37" t="n">
        <v>13</v>
      </c>
      <c r="O143" s="37" t="n">
        <v>14</v>
      </c>
      <c r="P143" s="37" t="n">
        <v>15</v>
      </c>
      <c r="Q143" s="37" t="n">
        <v>16</v>
      </c>
    </row>
    <row r="144" customFormat="false" ht="15" hidden="false" customHeight="true" outlineLevel="0" collapsed="false">
      <c r="A144" s="30" t="s">
        <v>447</v>
      </c>
      <c r="B144" s="74" t="n">
        <v>254</v>
      </c>
      <c r="C144" s="74" t="n">
        <v>201</v>
      </c>
      <c r="D144" s="74" t="n">
        <v>184</v>
      </c>
      <c r="E144" s="74" t="n">
        <v>181</v>
      </c>
      <c r="F144" s="74" t="n">
        <v>183</v>
      </c>
      <c r="G144" s="74" t="n">
        <v>48</v>
      </c>
      <c r="H144" s="74" t="n">
        <v>41</v>
      </c>
      <c r="I144" s="74" t="n">
        <v>31</v>
      </c>
      <c r="J144" s="74" t="n">
        <v>12</v>
      </c>
      <c r="K144" s="74" t="n">
        <v>11</v>
      </c>
      <c r="L144" s="74" t="n">
        <v>9</v>
      </c>
      <c r="M144" s="74" t="n">
        <v>2</v>
      </c>
      <c r="N144" s="74" t="n">
        <v>1</v>
      </c>
      <c r="O144" s="74" t="n">
        <v>1</v>
      </c>
      <c r="P144" s="74" t="n">
        <v>0</v>
      </c>
      <c r="Q144" s="74" t="n">
        <v>1</v>
      </c>
    </row>
    <row r="145" customFormat="false" ht="15" hidden="false" customHeight="true" outlineLevel="0" collapsed="false">
      <c r="A145" s="30" t="s">
        <v>488</v>
      </c>
      <c r="B145" s="75" t="n">
        <v>1</v>
      </c>
      <c r="C145" s="75" t="n">
        <v>0.791338582677165</v>
      </c>
      <c r="D145" s="75" t="n">
        <v>0.724409448818898</v>
      </c>
      <c r="E145" s="75" t="n">
        <v>0.983695652173913</v>
      </c>
      <c r="F145" s="75" t="n">
        <v>0.994565217391304</v>
      </c>
      <c r="G145" s="75" t="n">
        <v>0.260869565217391</v>
      </c>
      <c r="H145" s="75" t="n">
        <v>0.222826086956522</v>
      </c>
      <c r="I145" s="75" t="n">
        <v>0.168478260869565</v>
      </c>
      <c r="J145" s="75" t="n">
        <v>0.0652173913043478</v>
      </c>
      <c r="K145" s="75" t="n">
        <v>0.0597826086956522</v>
      </c>
      <c r="L145" s="75" t="n">
        <v>0.0489130434782609</v>
      </c>
      <c r="M145" s="75" t="n">
        <v>0.0108695652173913</v>
      </c>
      <c r="N145" s="75" t="n">
        <v>0.00543478260869565</v>
      </c>
      <c r="O145" s="75" t="n">
        <v>0.00543478260869565</v>
      </c>
      <c r="P145" s="75" t="n">
        <v>0</v>
      </c>
      <c r="Q145" s="75" t="n">
        <v>0.00543478260869565</v>
      </c>
    </row>
    <row r="146" customFormat="false" ht="15" hidden="false" customHeight="true" outlineLevel="0" collapsed="false">
      <c r="A146" s="30" t="s">
        <v>495</v>
      </c>
      <c r="B146" s="74"/>
      <c r="C146" s="74"/>
      <c r="D146" s="76" t="s">
        <v>283</v>
      </c>
      <c r="E146" s="76" t="s">
        <v>283</v>
      </c>
      <c r="F146" s="76" t="s">
        <v>283</v>
      </c>
      <c r="G146" s="76" t="s">
        <v>283</v>
      </c>
      <c r="H146" s="76" t="s">
        <v>283</v>
      </c>
      <c r="I146" s="39" t="s">
        <v>284</v>
      </c>
      <c r="J146" s="76" t="s">
        <v>284</v>
      </c>
      <c r="K146" s="76" t="s">
        <v>284</v>
      </c>
      <c r="L146" s="76" t="s">
        <v>284</v>
      </c>
      <c r="M146" s="76" t="s">
        <v>284</v>
      </c>
      <c r="N146" s="76" t="s">
        <v>284</v>
      </c>
      <c r="O146" s="76" t="s">
        <v>284</v>
      </c>
      <c r="P146" s="76" t="s">
        <v>284</v>
      </c>
      <c r="Q146" s="76" t="s">
        <v>284</v>
      </c>
    </row>
    <row r="147" customFormat="false" ht="15" hidden="false" customHeight="true" outlineLevel="0" collapsed="false">
      <c r="A147" s="34" t="s">
        <v>489</v>
      </c>
      <c r="B147" s="35" t="n">
        <v>0.724409448818898</v>
      </c>
      <c r="C147" s="36"/>
      <c r="D147" s="36"/>
      <c r="E147" s="36"/>
      <c r="F147" s="36"/>
      <c r="G147" s="36"/>
      <c r="H147" s="36"/>
      <c r="I147" s="36"/>
      <c r="J147" s="36"/>
      <c r="K147" s="36"/>
      <c r="L147" s="36"/>
      <c r="M147" s="36"/>
      <c r="N147" s="36"/>
      <c r="O147" s="36"/>
      <c r="P147" s="36"/>
      <c r="Q147" s="36"/>
    </row>
    <row r="148" customFormat="false" ht="15" hidden="false" customHeight="true" outlineLevel="0" collapsed="false">
      <c r="A148" s="34" t="s">
        <v>490</v>
      </c>
      <c r="B148" s="35" t="n">
        <v>0.745354182605885</v>
      </c>
      <c r="C148" s="36"/>
      <c r="D148" s="36"/>
      <c r="E148" s="36"/>
      <c r="F148" s="36"/>
      <c r="G148" s="36"/>
      <c r="H148" s="36"/>
      <c r="I148" s="36"/>
      <c r="J148" s="36"/>
      <c r="K148" s="36"/>
      <c r="L148" s="36"/>
      <c r="M148" s="36"/>
      <c r="N148" s="36"/>
      <c r="O148" s="36"/>
      <c r="P148" s="36"/>
      <c r="Q148" s="36"/>
    </row>
    <row r="149" customFormat="false" ht="15" hidden="false" customHeight="true" outlineLevel="0" collapsed="false">
      <c r="A149" s="34" t="s">
        <v>492</v>
      </c>
      <c r="B149" s="35" t="n">
        <v>0.539941612596389</v>
      </c>
      <c r="C149" s="36"/>
      <c r="D149" s="36"/>
      <c r="E149" s="36"/>
      <c r="F149" s="36"/>
      <c r="G149" s="36"/>
      <c r="H149" s="36"/>
      <c r="I149" s="36"/>
      <c r="J149" s="36"/>
      <c r="K149" s="36"/>
      <c r="L149" s="36"/>
      <c r="M149" s="36"/>
      <c r="N149" s="36"/>
      <c r="O149" s="36"/>
      <c r="P149" s="36"/>
      <c r="Q149" s="36"/>
    </row>
    <row r="151" customFormat="false" ht="24" hidden="false" customHeight="true" outlineLevel="0" collapsed="false">
      <c r="A151" s="65" t="s">
        <v>418</v>
      </c>
      <c r="B151" s="65"/>
      <c r="C151" s="65"/>
      <c r="D151" s="65"/>
      <c r="E151" s="65"/>
      <c r="F151" s="65"/>
      <c r="G151" s="65"/>
      <c r="H151" s="65"/>
      <c r="I151" s="65"/>
      <c r="J151" s="65"/>
      <c r="K151" s="65"/>
      <c r="L151" s="65"/>
      <c r="M151" s="65"/>
      <c r="N151" s="65"/>
    </row>
    <row r="152" customFormat="false" ht="27.75" hidden="false" customHeight="true" outlineLevel="0" collapsed="false">
      <c r="B152" s="69" t="s">
        <v>486</v>
      </c>
      <c r="C152" s="69"/>
      <c r="D152" s="69"/>
      <c r="E152" s="70" t="s">
        <v>497</v>
      </c>
      <c r="F152" s="70"/>
      <c r="G152" s="70"/>
      <c r="H152" s="70"/>
      <c r="I152" s="70"/>
      <c r="J152" s="70"/>
      <c r="K152" s="70"/>
      <c r="L152" s="70"/>
      <c r="M152" s="70"/>
      <c r="N152" s="70"/>
    </row>
    <row r="153" customFormat="false" ht="6" hidden="false" customHeight="true" outlineLevel="0" collapsed="false">
      <c r="B153" s="71"/>
      <c r="C153" s="72"/>
      <c r="D153" s="73"/>
      <c r="E153" s="71"/>
      <c r="F153" s="72"/>
      <c r="G153" s="72"/>
      <c r="H153" s="72"/>
      <c r="I153" s="72"/>
      <c r="J153" s="72"/>
      <c r="K153" s="72"/>
      <c r="L153" s="72"/>
      <c r="M153" s="72"/>
      <c r="N153" s="73"/>
    </row>
    <row r="154" customFormat="false" ht="15" hidden="false" customHeight="true" outlineLevel="0" collapsed="false">
      <c r="A154" s="12" t="s">
        <v>275</v>
      </c>
      <c r="B154" s="37" t="n">
        <v>1</v>
      </c>
      <c r="C154" s="37" t="n">
        <v>2</v>
      </c>
      <c r="D154" s="37" t="n">
        <v>3</v>
      </c>
      <c r="E154" s="37" t="n">
        <v>4</v>
      </c>
      <c r="F154" s="37" t="n">
        <v>5</v>
      </c>
      <c r="G154" s="37" t="n">
        <v>6</v>
      </c>
      <c r="H154" s="37" t="n">
        <v>7</v>
      </c>
      <c r="I154" s="37" t="n">
        <v>8</v>
      </c>
      <c r="J154" s="37" t="n">
        <v>9</v>
      </c>
      <c r="K154" s="37" t="n">
        <v>10</v>
      </c>
      <c r="L154" s="37" t="n">
        <v>11</v>
      </c>
      <c r="M154" s="37" t="n">
        <v>12</v>
      </c>
      <c r="N154" s="37" t="n">
        <v>13</v>
      </c>
    </row>
    <row r="155" customFormat="false" ht="15" hidden="false" customHeight="true" outlineLevel="0" collapsed="false">
      <c r="A155" s="30" t="s">
        <v>447</v>
      </c>
      <c r="B155" s="74" t="n">
        <v>82</v>
      </c>
      <c r="C155" s="74" t="n">
        <v>63</v>
      </c>
      <c r="D155" s="74" t="n">
        <v>58</v>
      </c>
      <c r="E155" s="74" t="n">
        <v>56</v>
      </c>
      <c r="F155" s="74" t="n">
        <v>4</v>
      </c>
      <c r="G155" s="74" t="n">
        <v>6</v>
      </c>
      <c r="H155" s="74" t="n">
        <v>6</v>
      </c>
      <c r="I155" s="74" t="n">
        <v>3</v>
      </c>
      <c r="J155" s="74" t="n">
        <v>3</v>
      </c>
      <c r="K155" s="74" t="n">
        <v>1</v>
      </c>
      <c r="L155" s="74" t="n">
        <v>2</v>
      </c>
      <c r="M155" s="74" t="n">
        <v>1</v>
      </c>
      <c r="N155" s="74" t="n">
        <v>1</v>
      </c>
    </row>
    <row r="156" customFormat="false" ht="15" hidden="false" customHeight="true" outlineLevel="0" collapsed="false">
      <c r="A156" s="30" t="s">
        <v>488</v>
      </c>
      <c r="B156" s="75" t="n">
        <v>1</v>
      </c>
      <c r="C156" s="75" t="n">
        <v>0.768292682926829</v>
      </c>
      <c r="D156" s="75" t="n">
        <v>0.707317073170732</v>
      </c>
      <c r="E156" s="75" t="n">
        <v>0.96551724137931</v>
      </c>
      <c r="F156" s="75" t="n">
        <v>0.0689655172413793</v>
      </c>
      <c r="G156" s="75" t="n">
        <v>0.103448275862069</v>
      </c>
      <c r="H156" s="75" t="n">
        <v>0.103448275862069</v>
      </c>
      <c r="I156" s="75" t="n">
        <v>0.0517241379310345</v>
      </c>
      <c r="J156" s="75" t="n">
        <v>0.0517241379310345</v>
      </c>
      <c r="K156" s="75" t="n">
        <v>0.0172413793103448</v>
      </c>
      <c r="L156" s="75" t="n">
        <v>0.0344827586206897</v>
      </c>
      <c r="M156" s="75" t="n">
        <v>0.0172413793103448</v>
      </c>
      <c r="N156" s="75" t="n">
        <v>0.0172413793103448</v>
      </c>
    </row>
    <row r="157" customFormat="false" ht="15" hidden="false" customHeight="true" outlineLevel="0" collapsed="false">
      <c r="A157" s="30" t="s">
        <v>495</v>
      </c>
      <c r="B157" s="74"/>
      <c r="C157" s="74"/>
      <c r="D157" s="76" t="s">
        <v>283</v>
      </c>
      <c r="E157" s="76" t="s">
        <v>283</v>
      </c>
      <c r="F157" s="39" t="s">
        <v>284</v>
      </c>
      <c r="G157" s="76" t="s">
        <v>284</v>
      </c>
      <c r="H157" s="76" t="s">
        <v>284</v>
      </c>
      <c r="I157" s="76" t="s">
        <v>284</v>
      </c>
      <c r="J157" s="76" t="s">
        <v>284</v>
      </c>
      <c r="K157" s="76" t="s">
        <v>284</v>
      </c>
      <c r="L157" s="76" t="s">
        <v>284</v>
      </c>
      <c r="M157" s="76" t="s">
        <v>284</v>
      </c>
      <c r="N157" s="76" t="s">
        <v>284</v>
      </c>
    </row>
    <row r="158" customFormat="false" ht="15" hidden="false" customHeight="true" outlineLevel="0" collapsed="false">
      <c r="A158" s="34" t="s">
        <v>489</v>
      </c>
      <c r="B158" s="35" t="n">
        <v>0.707317073170732</v>
      </c>
      <c r="C158" s="36"/>
      <c r="D158" s="36"/>
      <c r="E158" s="36"/>
      <c r="F158" s="36"/>
      <c r="G158" s="36"/>
      <c r="H158" s="36"/>
      <c r="I158" s="36"/>
      <c r="J158" s="36"/>
      <c r="K158" s="36"/>
      <c r="L158" s="36"/>
      <c r="M158" s="36"/>
      <c r="N158" s="36"/>
    </row>
    <row r="159" customFormat="false" ht="15" hidden="false" customHeight="true" outlineLevel="0" collapsed="false">
      <c r="A159" s="34" t="s">
        <v>490</v>
      </c>
      <c r="B159" s="35" t="n">
        <v>0.982573940847322</v>
      </c>
      <c r="C159" s="36"/>
      <c r="D159" s="36"/>
      <c r="E159" s="36"/>
      <c r="F159" s="36"/>
      <c r="G159" s="36"/>
      <c r="H159" s="36"/>
      <c r="I159" s="36"/>
      <c r="J159" s="36"/>
      <c r="K159" s="36"/>
      <c r="L159" s="36"/>
      <c r="M159" s="36"/>
      <c r="N159" s="36"/>
    </row>
    <row r="160" customFormat="false" ht="15" hidden="false" customHeight="true" outlineLevel="0" collapsed="false">
      <c r="A160" s="34" t="s">
        <v>492</v>
      </c>
      <c r="B160" s="35" t="n">
        <v>0.69499132401396</v>
      </c>
      <c r="C160" s="36"/>
      <c r="D160" s="36"/>
      <c r="E160" s="36"/>
      <c r="F160" s="36"/>
      <c r="G160" s="36"/>
      <c r="H160" s="36"/>
      <c r="I160" s="36"/>
      <c r="J160" s="36"/>
      <c r="K160" s="36"/>
      <c r="L160" s="36"/>
      <c r="M160" s="36"/>
      <c r="N160" s="36"/>
    </row>
    <row r="162" customFormat="false" ht="24" hidden="false" customHeight="true" outlineLevel="0" collapsed="false">
      <c r="A162" s="65" t="s">
        <v>419</v>
      </c>
      <c r="B162" s="65"/>
      <c r="C162" s="65"/>
      <c r="D162" s="65"/>
      <c r="E162" s="65"/>
      <c r="F162" s="65"/>
      <c r="G162" s="65"/>
      <c r="H162" s="65"/>
    </row>
    <row r="163" customFormat="false" ht="15" hidden="false" customHeight="true" outlineLevel="0" collapsed="false">
      <c r="A163" s="29" t="s">
        <v>272</v>
      </c>
      <c r="B163" s="29"/>
      <c r="C163" s="29"/>
      <c r="D163" s="29"/>
      <c r="E163" s="29"/>
      <c r="F163" s="29"/>
      <c r="G163" s="29"/>
      <c r="H163" s="29"/>
    </row>
    <row r="165" customFormat="false" ht="24" hidden="false" customHeight="true" outlineLevel="0" collapsed="false">
      <c r="A165" s="65" t="s">
        <v>420</v>
      </c>
      <c r="B165" s="65"/>
      <c r="C165" s="65"/>
      <c r="D165" s="65"/>
      <c r="E165" s="65"/>
      <c r="F165" s="65"/>
      <c r="G165" s="65"/>
      <c r="H165" s="65"/>
      <c r="I165" s="65"/>
      <c r="J165" s="65"/>
      <c r="K165" s="65"/>
      <c r="L165" s="65"/>
      <c r="M165" s="65"/>
      <c r="N165" s="65"/>
    </row>
    <row r="166" customFormat="false" ht="27.75" hidden="false" customHeight="true" outlineLevel="0" collapsed="false">
      <c r="B166" s="69" t="s">
        <v>486</v>
      </c>
      <c r="C166" s="69"/>
      <c r="D166" s="69"/>
      <c r="E166" s="70" t="s">
        <v>497</v>
      </c>
      <c r="F166" s="70"/>
      <c r="G166" s="70"/>
      <c r="H166" s="70"/>
      <c r="I166" s="70"/>
      <c r="J166" s="70"/>
      <c r="K166" s="70"/>
      <c r="L166" s="70"/>
      <c r="M166" s="70"/>
      <c r="N166" s="70"/>
    </row>
    <row r="167" customFormat="false" ht="6" hidden="false" customHeight="true" outlineLevel="0" collapsed="false">
      <c r="B167" s="71"/>
      <c r="C167" s="72"/>
      <c r="D167" s="73"/>
      <c r="E167" s="71"/>
      <c r="F167" s="72"/>
      <c r="G167" s="72"/>
      <c r="H167" s="72"/>
      <c r="I167" s="72"/>
      <c r="J167" s="72"/>
      <c r="K167" s="72"/>
      <c r="L167" s="72"/>
      <c r="M167" s="72"/>
      <c r="N167" s="73"/>
    </row>
    <row r="168" customFormat="false" ht="15" hidden="false" customHeight="true" outlineLevel="0" collapsed="false">
      <c r="A168" s="12" t="s">
        <v>275</v>
      </c>
      <c r="B168" s="37" t="n">
        <v>1</v>
      </c>
      <c r="C168" s="37" t="n">
        <v>2</v>
      </c>
      <c r="D168" s="37" t="n">
        <v>3</v>
      </c>
      <c r="E168" s="37" t="n">
        <v>4</v>
      </c>
      <c r="F168" s="37" t="n">
        <v>5</v>
      </c>
      <c r="G168" s="37" t="n">
        <v>6</v>
      </c>
      <c r="H168" s="37" t="n">
        <v>7</v>
      </c>
      <c r="I168" s="37" t="n">
        <v>8</v>
      </c>
      <c r="J168" s="37" t="n">
        <v>9</v>
      </c>
      <c r="K168" s="37" t="n">
        <v>10</v>
      </c>
      <c r="L168" s="37" t="n">
        <v>11</v>
      </c>
      <c r="M168" s="37" t="n">
        <v>12</v>
      </c>
      <c r="N168" s="37" t="n">
        <v>13</v>
      </c>
    </row>
    <row r="169" customFormat="false" ht="15" hidden="false" customHeight="true" outlineLevel="0" collapsed="false">
      <c r="A169" s="30" t="s">
        <v>447</v>
      </c>
      <c r="B169" s="74" t="n">
        <v>428</v>
      </c>
      <c r="C169" s="74" t="n">
        <v>351</v>
      </c>
      <c r="D169" s="74" t="n">
        <v>314</v>
      </c>
      <c r="E169" s="74" t="n">
        <v>319</v>
      </c>
      <c r="F169" s="74" t="n">
        <v>74</v>
      </c>
      <c r="G169" s="74" t="n">
        <v>32</v>
      </c>
      <c r="H169" s="74" t="n">
        <v>21</v>
      </c>
      <c r="I169" s="74" t="n">
        <v>16</v>
      </c>
      <c r="J169" s="74" t="n">
        <v>7</v>
      </c>
      <c r="K169" s="74" t="n">
        <v>6</v>
      </c>
      <c r="L169" s="74" t="n">
        <v>2</v>
      </c>
      <c r="M169" s="74" t="n">
        <v>1</v>
      </c>
      <c r="N169" s="74" t="n">
        <v>1</v>
      </c>
    </row>
    <row r="170" customFormat="false" ht="15" hidden="false" customHeight="true" outlineLevel="0" collapsed="false">
      <c r="A170" s="30" t="s">
        <v>488</v>
      </c>
      <c r="B170" s="75" t="n">
        <v>1</v>
      </c>
      <c r="C170" s="75" t="n">
        <v>0.820093457943925</v>
      </c>
      <c r="D170" s="75" t="n">
        <v>0.733644859813084</v>
      </c>
      <c r="E170" s="75" t="n">
        <v>1.01592356687898</v>
      </c>
      <c r="F170" s="75" t="n">
        <v>0.235668789808917</v>
      </c>
      <c r="G170" s="75" t="n">
        <v>0.101910828025478</v>
      </c>
      <c r="H170" s="75" t="n">
        <v>0.0668789808917197</v>
      </c>
      <c r="I170" s="75" t="n">
        <v>0.0509554140127389</v>
      </c>
      <c r="J170" s="75" t="n">
        <v>0.0222929936305733</v>
      </c>
      <c r="K170" s="75" t="n">
        <v>0.0191082802547771</v>
      </c>
      <c r="L170" s="75" t="n">
        <v>0.00636942675159236</v>
      </c>
      <c r="M170" s="75" t="n">
        <v>0.00318471337579618</v>
      </c>
      <c r="N170" s="75" t="n">
        <v>0.00318471337579618</v>
      </c>
    </row>
    <row r="171" customFormat="false" ht="15" hidden="false" customHeight="true" outlineLevel="0" collapsed="false">
      <c r="A171" s="30" t="s">
        <v>495</v>
      </c>
      <c r="B171" s="74"/>
      <c r="C171" s="74"/>
      <c r="D171" s="76" t="s">
        <v>283</v>
      </c>
      <c r="E171" s="76" t="s">
        <v>283</v>
      </c>
      <c r="F171" s="76" t="s">
        <v>283</v>
      </c>
      <c r="G171" s="39" t="s">
        <v>284</v>
      </c>
      <c r="H171" s="76" t="s">
        <v>284</v>
      </c>
      <c r="I171" s="76" t="s">
        <v>284</v>
      </c>
      <c r="J171" s="76" t="s">
        <v>284</v>
      </c>
      <c r="K171" s="76" t="s">
        <v>284</v>
      </c>
      <c r="L171" s="76" t="s">
        <v>284</v>
      </c>
      <c r="M171" s="76" t="s">
        <v>284</v>
      </c>
      <c r="N171" s="76" t="s">
        <v>284</v>
      </c>
    </row>
    <row r="172" customFormat="false" ht="15" hidden="false" customHeight="true" outlineLevel="0" collapsed="false">
      <c r="A172" s="34" t="s">
        <v>489</v>
      </c>
      <c r="B172" s="35" t="n">
        <v>0.733644859813084</v>
      </c>
      <c r="C172" s="36"/>
      <c r="D172" s="36"/>
      <c r="E172" s="36"/>
      <c r="F172" s="36"/>
      <c r="G172" s="36"/>
      <c r="H172" s="36"/>
      <c r="I172" s="36"/>
      <c r="J172" s="36"/>
      <c r="K172" s="36"/>
      <c r="L172" s="36"/>
      <c r="M172" s="36"/>
      <c r="N172" s="36"/>
    </row>
    <row r="173" customFormat="false" ht="15" hidden="false" customHeight="true" outlineLevel="0" collapsed="false">
      <c r="A173" s="34" t="s">
        <v>490</v>
      </c>
      <c r="B173" s="35" t="n">
        <v>0.791279205764268</v>
      </c>
      <c r="C173" s="36"/>
      <c r="D173" s="36"/>
      <c r="E173" s="36"/>
      <c r="F173" s="36"/>
      <c r="G173" s="36"/>
      <c r="H173" s="36"/>
      <c r="I173" s="36"/>
      <c r="J173" s="36"/>
      <c r="K173" s="36"/>
      <c r="L173" s="36"/>
      <c r="M173" s="36"/>
      <c r="N173" s="36"/>
    </row>
    <row r="174" customFormat="false" ht="15" hidden="false" customHeight="true" outlineLevel="0" collapsed="false">
      <c r="A174" s="34" t="s">
        <v>492</v>
      </c>
      <c r="B174" s="35" t="n">
        <v>0.580517921985935</v>
      </c>
      <c r="C174" s="36"/>
      <c r="D174" s="36"/>
      <c r="E174" s="36"/>
      <c r="F174" s="36"/>
      <c r="G174" s="36"/>
      <c r="H174" s="36"/>
      <c r="I174" s="36"/>
      <c r="J174" s="36"/>
      <c r="K174" s="36"/>
      <c r="L174" s="36"/>
      <c r="M174" s="36"/>
      <c r="N174" s="36"/>
    </row>
    <row r="176" customFormat="false" ht="24" hidden="false" customHeight="true" outlineLevel="0" collapsed="false">
      <c r="A176" s="65" t="s">
        <v>421</v>
      </c>
      <c r="B176" s="65"/>
      <c r="C176" s="65"/>
      <c r="D176" s="65"/>
      <c r="E176" s="65"/>
      <c r="F176" s="65"/>
      <c r="G176" s="65"/>
      <c r="H176" s="65"/>
      <c r="I176" s="65"/>
      <c r="J176" s="65"/>
      <c r="K176" s="65"/>
      <c r="L176" s="65"/>
      <c r="M176" s="65"/>
      <c r="N176" s="65"/>
      <c r="O176" s="65"/>
      <c r="P176" s="65"/>
      <c r="Q176" s="65"/>
      <c r="R176" s="65"/>
      <c r="S176" s="65"/>
    </row>
    <row r="177" customFormat="false" ht="27.75" hidden="false" customHeight="true" outlineLevel="0" collapsed="false">
      <c r="B177" s="69" t="s">
        <v>486</v>
      </c>
      <c r="C177" s="69"/>
      <c r="D177" s="69"/>
      <c r="E177" s="70" t="s">
        <v>487</v>
      </c>
      <c r="F177" s="70"/>
      <c r="G177" s="70"/>
      <c r="H177" s="70"/>
      <c r="I177" s="70"/>
      <c r="J177" s="70"/>
      <c r="K177" s="70"/>
      <c r="L177" s="70"/>
      <c r="M177" s="70"/>
      <c r="N177" s="70"/>
      <c r="O177" s="70"/>
      <c r="P177" s="70"/>
      <c r="Q177" s="70"/>
      <c r="R177" s="70"/>
      <c r="S177" s="70"/>
    </row>
    <row r="178" customFormat="false" ht="6" hidden="false" customHeight="true" outlineLevel="0" collapsed="false">
      <c r="B178" s="71"/>
      <c r="C178" s="72"/>
      <c r="D178" s="73"/>
      <c r="E178" s="71"/>
      <c r="F178" s="72"/>
      <c r="G178" s="72"/>
      <c r="H178" s="72"/>
      <c r="I178" s="72"/>
      <c r="J178" s="72"/>
      <c r="K178" s="72"/>
      <c r="L178" s="72"/>
      <c r="M178" s="72"/>
      <c r="N178" s="72"/>
      <c r="O178" s="72"/>
      <c r="P178" s="72"/>
      <c r="Q178" s="72"/>
      <c r="R178" s="72"/>
      <c r="S178" s="73"/>
    </row>
    <row r="179" customFormat="false" ht="15" hidden="false" customHeight="true" outlineLevel="0" collapsed="false">
      <c r="A179" s="12" t="s">
        <v>275</v>
      </c>
      <c r="B179" s="37" t="n">
        <v>1</v>
      </c>
      <c r="C179" s="37" t="n">
        <v>2</v>
      </c>
      <c r="D179" s="37" t="n">
        <v>3</v>
      </c>
      <c r="E179" s="37" t="n">
        <v>4</v>
      </c>
      <c r="F179" s="37" t="n">
        <v>5</v>
      </c>
      <c r="G179" s="37" t="n">
        <v>6</v>
      </c>
      <c r="H179" s="37" t="n">
        <v>7</v>
      </c>
      <c r="I179" s="37" t="n">
        <v>8</v>
      </c>
      <c r="J179" s="37" t="n">
        <v>9</v>
      </c>
      <c r="K179" s="37" t="n">
        <v>10</v>
      </c>
      <c r="L179" s="37" t="n">
        <v>11</v>
      </c>
      <c r="M179" s="37" t="n">
        <v>12</v>
      </c>
      <c r="N179" s="37" t="n">
        <v>13</v>
      </c>
      <c r="O179" s="37" t="n">
        <v>14</v>
      </c>
      <c r="P179" s="37" t="n">
        <v>15</v>
      </c>
      <c r="Q179" s="37" t="n">
        <v>16</v>
      </c>
      <c r="R179" s="37" t="n">
        <v>17</v>
      </c>
      <c r="S179" s="37" t="n">
        <v>18</v>
      </c>
    </row>
    <row r="180" customFormat="false" ht="15" hidden="false" customHeight="true" outlineLevel="0" collapsed="false">
      <c r="A180" s="30" t="s">
        <v>447</v>
      </c>
      <c r="B180" s="74" t="n">
        <v>566</v>
      </c>
      <c r="C180" s="74" t="n">
        <v>448</v>
      </c>
      <c r="D180" s="74" t="n">
        <v>384</v>
      </c>
      <c r="E180" s="74" t="n">
        <v>387</v>
      </c>
      <c r="F180" s="74" t="n">
        <v>89</v>
      </c>
      <c r="G180" s="74" t="n">
        <v>44</v>
      </c>
      <c r="H180" s="74" t="n">
        <v>35</v>
      </c>
      <c r="I180" s="74" t="n">
        <v>16</v>
      </c>
      <c r="J180" s="74" t="n">
        <v>7</v>
      </c>
      <c r="K180" s="74" t="n">
        <v>7</v>
      </c>
      <c r="L180" s="74" t="n">
        <v>6</v>
      </c>
      <c r="M180" s="74" t="n">
        <v>3</v>
      </c>
      <c r="N180" s="74" t="n">
        <v>2</v>
      </c>
      <c r="O180" s="74" t="n">
        <v>2</v>
      </c>
      <c r="P180" s="74" t="n">
        <v>1</v>
      </c>
      <c r="Q180" s="74" t="n">
        <v>1</v>
      </c>
      <c r="R180" s="74" t="n">
        <v>2</v>
      </c>
      <c r="S180" s="74" t="n">
        <v>1</v>
      </c>
    </row>
    <row r="181" customFormat="false" ht="15" hidden="false" customHeight="true" outlineLevel="0" collapsed="false">
      <c r="A181" s="30" t="s">
        <v>488</v>
      </c>
      <c r="B181" s="75" t="n">
        <v>1</v>
      </c>
      <c r="C181" s="75" t="n">
        <v>0.791519434628975</v>
      </c>
      <c r="D181" s="75" t="n">
        <v>0.678445229681979</v>
      </c>
      <c r="E181" s="75" t="n">
        <v>1.0078125</v>
      </c>
      <c r="F181" s="75" t="n">
        <v>0.231770833333333</v>
      </c>
      <c r="G181" s="75" t="n">
        <v>0.114583333333333</v>
      </c>
      <c r="H181" s="75" t="n">
        <v>0.0911458333333333</v>
      </c>
      <c r="I181" s="75" t="n">
        <v>0.0416666666666667</v>
      </c>
      <c r="J181" s="75" t="n">
        <v>0.0182291666666667</v>
      </c>
      <c r="K181" s="75" t="n">
        <v>0.0182291666666667</v>
      </c>
      <c r="L181" s="75" t="n">
        <v>0.015625</v>
      </c>
      <c r="M181" s="75" t="n">
        <v>0.0078125</v>
      </c>
      <c r="N181" s="75" t="n">
        <v>0.00520833333333333</v>
      </c>
      <c r="O181" s="75" t="n">
        <v>0.00520833333333333</v>
      </c>
      <c r="P181" s="75" t="n">
        <v>0.00260416666666667</v>
      </c>
      <c r="Q181" s="75" t="n">
        <v>0.00260416666666667</v>
      </c>
      <c r="R181" s="75" t="n">
        <v>0.00520833333333333</v>
      </c>
      <c r="S181" s="75" t="n">
        <v>0.00260416666666667</v>
      </c>
    </row>
    <row r="182" customFormat="false" ht="15" hidden="false" customHeight="true" outlineLevel="0" collapsed="false">
      <c r="A182" s="30" t="s">
        <v>495</v>
      </c>
      <c r="B182" s="74"/>
      <c r="C182" s="74"/>
      <c r="D182" s="76" t="s">
        <v>283</v>
      </c>
      <c r="E182" s="76" t="s">
        <v>283</v>
      </c>
      <c r="F182" s="76" t="s">
        <v>283</v>
      </c>
      <c r="G182" s="39" t="s">
        <v>284</v>
      </c>
      <c r="H182" s="76" t="s">
        <v>284</v>
      </c>
      <c r="I182" s="76" t="s">
        <v>284</v>
      </c>
      <c r="J182" s="76" t="s">
        <v>284</v>
      </c>
      <c r="K182" s="76" t="s">
        <v>284</v>
      </c>
      <c r="L182" s="76" t="s">
        <v>284</v>
      </c>
      <c r="M182" s="76" t="s">
        <v>284</v>
      </c>
      <c r="N182" s="76" t="s">
        <v>284</v>
      </c>
      <c r="O182" s="76" t="s">
        <v>284</v>
      </c>
      <c r="P182" s="76" t="s">
        <v>284</v>
      </c>
      <c r="Q182" s="76" t="s">
        <v>284</v>
      </c>
      <c r="R182" s="76" t="s">
        <v>284</v>
      </c>
      <c r="S182" s="76" t="s">
        <v>284</v>
      </c>
    </row>
    <row r="183" customFormat="false" ht="15" hidden="false" customHeight="true" outlineLevel="0" collapsed="false">
      <c r="A183" s="34" t="s">
        <v>489</v>
      </c>
      <c r="B183" s="35" t="n">
        <v>0.678445229681979</v>
      </c>
      <c r="C183" s="36"/>
      <c r="D183" s="36"/>
      <c r="E183" s="36"/>
      <c r="F183" s="36"/>
      <c r="G183" s="36"/>
      <c r="H183" s="36"/>
      <c r="I183" s="36"/>
      <c r="J183" s="36"/>
      <c r="K183" s="36"/>
      <c r="L183" s="36"/>
      <c r="M183" s="36"/>
      <c r="N183" s="36"/>
      <c r="O183" s="36"/>
      <c r="P183" s="36"/>
      <c r="Q183" s="36"/>
      <c r="R183" s="36"/>
      <c r="S183" s="36"/>
    </row>
    <row r="184" customFormat="false" ht="15" hidden="false" customHeight="true" outlineLevel="0" collapsed="false">
      <c r="A184" s="34" t="s">
        <v>490</v>
      </c>
      <c r="B184" s="35" t="n">
        <v>0.782441988895989</v>
      </c>
      <c r="C184" s="36"/>
      <c r="D184" s="36"/>
      <c r="E184" s="36"/>
      <c r="F184" s="36"/>
      <c r="G184" s="36"/>
      <c r="H184" s="36"/>
      <c r="I184" s="36"/>
      <c r="J184" s="36"/>
      <c r="K184" s="36"/>
      <c r="L184" s="36"/>
      <c r="M184" s="36"/>
      <c r="N184" s="36"/>
      <c r="O184" s="36"/>
      <c r="P184" s="36"/>
      <c r="Q184" s="36"/>
      <c r="R184" s="36"/>
      <c r="S184" s="36"/>
    </row>
    <row r="185" customFormat="false" ht="15" hidden="false" customHeight="true" outlineLevel="0" collapsed="false">
      <c r="A185" s="34" t="s">
        <v>492</v>
      </c>
      <c r="B185" s="35" t="n">
        <v>0.530844034869364</v>
      </c>
      <c r="C185" s="36"/>
      <c r="D185" s="36"/>
      <c r="E185" s="36"/>
      <c r="F185" s="36"/>
      <c r="G185" s="36"/>
      <c r="H185" s="36"/>
      <c r="I185" s="36"/>
      <c r="J185" s="36"/>
      <c r="K185" s="36"/>
      <c r="L185" s="36"/>
      <c r="M185" s="36"/>
      <c r="N185" s="36"/>
      <c r="O185" s="36"/>
      <c r="P185" s="36"/>
      <c r="Q185" s="36"/>
      <c r="R185" s="36"/>
      <c r="S185" s="36"/>
    </row>
    <row r="187" customFormat="false" ht="24" hidden="false" customHeight="true" outlineLevel="0" collapsed="false">
      <c r="A187" s="65" t="s">
        <v>422</v>
      </c>
      <c r="B187" s="65"/>
      <c r="C187" s="65"/>
      <c r="D187" s="65"/>
      <c r="E187" s="65"/>
      <c r="F187" s="65"/>
      <c r="G187" s="65"/>
      <c r="H187" s="65"/>
      <c r="I187" s="65"/>
      <c r="J187" s="65"/>
      <c r="K187" s="65"/>
    </row>
    <row r="188" customFormat="false" ht="27.75" hidden="false" customHeight="true" outlineLevel="0" collapsed="false">
      <c r="B188" s="69" t="s">
        <v>486</v>
      </c>
      <c r="C188" s="69"/>
      <c r="D188" s="69"/>
      <c r="E188" s="70" t="s">
        <v>502</v>
      </c>
      <c r="F188" s="70"/>
      <c r="G188" s="70"/>
      <c r="H188" s="70"/>
      <c r="I188" s="70"/>
      <c r="J188" s="70"/>
      <c r="K188" s="70"/>
    </row>
    <row r="189" customFormat="false" ht="6" hidden="false" customHeight="true" outlineLevel="0" collapsed="false">
      <c r="B189" s="71"/>
      <c r="C189" s="72"/>
      <c r="D189" s="73"/>
      <c r="E189" s="71"/>
      <c r="F189" s="72"/>
      <c r="G189" s="72"/>
      <c r="H189" s="72"/>
      <c r="I189" s="72"/>
      <c r="J189" s="72"/>
      <c r="K189" s="73"/>
    </row>
    <row r="190" customFormat="false" ht="15" hidden="false" customHeight="true" outlineLevel="0" collapsed="false">
      <c r="A190" s="12" t="s">
        <v>275</v>
      </c>
      <c r="B190" s="37" t="n">
        <v>1</v>
      </c>
      <c r="C190" s="37" t="n">
        <v>2</v>
      </c>
      <c r="D190" s="37" t="n">
        <v>3</v>
      </c>
      <c r="E190" s="37" t="n">
        <v>4</v>
      </c>
      <c r="F190" s="37" t="n">
        <v>5</v>
      </c>
      <c r="G190" s="37" t="n">
        <v>6</v>
      </c>
      <c r="H190" s="37" t="n">
        <v>7</v>
      </c>
      <c r="I190" s="37" t="n">
        <v>8</v>
      </c>
      <c r="J190" s="37" t="n">
        <v>9</v>
      </c>
      <c r="K190" s="37" t="n">
        <v>10</v>
      </c>
    </row>
    <row r="191" customFormat="false" ht="15" hidden="false" customHeight="true" outlineLevel="0" collapsed="false">
      <c r="A191" s="30" t="s">
        <v>447</v>
      </c>
      <c r="B191" s="74" t="n">
        <v>68</v>
      </c>
      <c r="C191" s="74" t="n">
        <v>52</v>
      </c>
      <c r="D191" s="74" t="n">
        <v>48</v>
      </c>
      <c r="E191" s="74" t="n">
        <v>48</v>
      </c>
      <c r="F191" s="74" t="n">
        <v>11</v>
      </c>
      <c r="G191" s="74" t="n">
        <v>5</v>
      </c>
      <c r="H191" s="74" t="n">
        <v>5</v>
      </c>
      <c r="I191" s="74" t="n">
        <v>2</v>
      </c>
      <c r="J191" s="74" t="n">
        <v>1</v>
      </c>
      <c r="K191" s="74" t="n">
        <v>1</v>
      </c>
    </row>
    <row r="192" customFormat="false" ht="15" hidden="false" customHeight="true" outlineLevel="0" collapsed="false">
      <c r="A192" s="30" t="s">
        <v>488</v>
      </c>
      <c r="B192" s="75" t="n">
        <v>1</v>
      </c>
      <c r="C192" s="75" t="n">
        <v>0.764705882352941</v>
      </c>
      <c r="D192" s="75" t="n">
        <v>0.705882352941177</v>
      </c>
      <c r="E192" s="75" t="n">
        <v>1</v>
      </c>
      <c r="F192" s="75" t="n">
        <v>0.229166666666667</v>
      </c>
      <c r="G192" s="75" t="n">
        <v>0.104166666666667</v>
      </c>
      <c r="H192" s="75" t="n">
        <v>0.104166666666667</v>
      </c>
      <c r="I192" s="75" t="n">
        <v>0.0416666666666667</v>
      </c>
      <c r="J192" s="75" t="n">
        <v>0.0208333333333333</v>
      </c>
      <c r="K192" s="75" t="n">
        <v>0.0208333333333333</v>
      </c>
    </row>
    <row r="193" customFormat="false" ht="15" hidden="false" customHeight="true" outlineLevel="0" collapsed="false">
      <c r="A193" s="30" t="s">
        <v>495</v>
      </c>
      <c r="B193" s="74"/>
      <c r="C193" s="74"/>
      <c r="D193" s="76" t="s">
        <v>283</v>
      </c>
      <c r="E193" s="76" t="s">
        <v>283</v>
      </c>
      <c r="F193" s="76" t="s">
        <v>283</v>
      </c>
      <c r="G193" s="39" t="s">
        <v>284</v>
      </c>
      <c r="H193" s="76" t="s">
        <v>284</v>
      </c>
      <c r="I193" s="76" t="s">
        <v>284</v>
      </c>
      <c r="J193" s="76" t="s">
        <v>284</v>
      </c>
      <c r="K193" s="76" t="s">
        <v>284</v>
      </c>
    </row>
    <row r="194" customFormat="false" ht="15" hidden="false" customHeight="true" outlineLevel="0" collapsed="false">
      <c r="A194" s="34" t="s">
        <v>489</v>
      </c>
      <c r="B194" s="35" t="n">
        <v>0.705882352941177</v>
      </c>
      <c r="C194" s="36"/>
      <c r="D194" s="36"/>
      <c r="E194" s="36"/>
      <c r="F194" s="36"/>
      <c r="G194" s="36"/>
      <c r="H194" s="36"/>
      <c r="I194" s="36"/>
      <c r="J194" s="36"/>
      <c r="K194" s="36"/>
    </row>
    <row r="195" customFormat="false" ht="15" hidden="false" customHeight="true" outlineLevel="0" collapsed="false">
      <c r="A195" s="34" t="s">
        <v>490</v>
      </c>
      <c r="B195" s="35" t="n">
        <v>0.842728468778464</v>
      </c>
      <c r="C195" s="36"/>
      <c r="D195" s="36"/>
      <c r="E195" s="36"/>
      <c r="F195" s="36"/>
      <c r="G195" s="36"/>
      <c r="H195" s="36"/>
      <c r="I195" s="36"/>
      <c r="J195" s="36"/>
      <c r="K195" s="36"/>
    </row>
    <row r="196" customFormat="false" ht="15" hidden="false" customHeight="true" outlineLevel="0" collapsed="false">
      <c r="A196" s="34" t="s">
        <v>492</v>
      </c>
      <c r="B196" s="35" t="n">
        <v>0.594867154431857</v>
      </c>
      <c r="C196" s="36"/>
      <c r="D196" s="36"/>
      <c r="E196" s="36"/>
      <c r="F196" s="36"/>
      <c r="G196" s="36"/>
      <c r="H196" s="36"/>
      <c r="I196" s="36"/>
      <c r="J196" s="36"/>
      <c r="K196" s="36"/>
    </row>
    <row r="198" customFormat="false" ht="24" hidden="false" customHeight="true" outlineLevel="0" collapsed="false">
      <c r="A198" s="65" t="s">
        <v>423</v>
      </c>
      <c r="B198" s="65"/>
      <c r="C198" s="65"/>
      <c r="D198" s="65"/>
      <c r="E198" s="65"/>
      <c r="F198" s="65"/>
      <c r="G198" s="65"/>
      <c r="H198" s="65"/>
    </row>
    <row r="199" customFormat="false" ht="15" hidden="false" customHeight="true" outlineLevel="0" collapsed="false">
      <c r="A199" s="29" t="s">
        <v>272</v>
      </c>
      <c r="B199" s="29"/>
      <c r="C199" s="29"/>
      <c r="D199" s="29"/>
      <c r="E199" s="29"/>
      <c r="F199" s="29"/>
      <c r="G199" s="29"/>
      <c r="H199" s="29"/>
    </row>
    <row r="201" customFormat="false" ht="24" hidden="false" customHeight="true" outlineLevel="0" collapsed="false">
      <c r="A201" s="65" t="s">
        <v>424</v>
      </c>
      <c r="B201" s="65"/>
      <c r="C201" s="65"/>
      <c r="D201" s="65"/>
      <c r="E201" s="65"/>
      <c r="F201" s="65"/>
      <c r="G201" s="65"/>
      <c r="H201" s="65"/>
      <c r="I201" s="65"/>
      <c r="J201" s="65"/>
    </row>
    <row r="202" customFormat="false" ht="27.75" hidden="false" customHeight="true" outlineLevel="0" collapsed="false">
      <c r="B202" s="69" t="s">
        <v>486</v>
      </c>
      <c r="C202" s="69"/>
      <c r="D202" s="69"/>
      <c r="E202" s="70" t="s">
        <v>498</v>
      </c>
      <c r="F202" s="70"/>
      <c r="G202" s="70"/>
      <c r="H202" s="70"/>
      <c r="I202" s="70"/>
      <c r="J202" s="70"/>
    </row>
    <row r="203" customFormat="false" ht="6" hidden="false" customHeight="true" outlineLevel="0" collapsed="false">
      <c r="B203" s="71"/>
      <c r="C203" s="72"/>
      <c r="D203" s="73"/>
      <c r="E203" s="71"/>
      <c r="F203" s="72"/>
      <c r="G203" s="72"/>
      <c r="H203" s="72"/>
      <c r="I203" s="72"/>
      <c r="J203" s="73"/>
    </row>
    <row r="204" customFormat="false" ht="15" hidden="false" customHeight="true" outlineLevel="0" collapsed="false">
      <c r="A204" s="12" t="s">
        <v>275</v>
      </c>
      <c r="B204" s="37" t="n">
        <v>1</v>
      </c>
      <c r="C204" s="37" t="n">
        <v>2</v>
      </c>
      <c r="D204" s="37" t="n">
        <v>3</v>
      </c>
      <c r="E204" s="37" t="n">
        <v>4</v>
      </c>
      <c r="F204" s="37" t="n">
        <v>5</v>
      </c>
      <c r="G204" s="37" t="n">
        <v>6</v>
      </c>
      <c r="H204" s="37" t="n">
        <v>7</v>
      </c>
      <c r="I204" s="37" t="n">
        <v>8</v>
      </c>
      <c r="J204" s="37" t="n">
        <v>9</v>
      </c>
    </row>
    <row r="205" customFormat="false" ht="15" hidden="false" customHeight="true" outlineLevel="0" collapsed="false">
      <c r="A205" s="30" t="s">
        <v>447</v>
      </c>
      <c r="B205" s="74" t="n">
        <v>49</v>
      </c>
      <c r="C205" s="74" t="n">
        <v>27</v>
      </c>
      <c r="D205" s="74" t="n">
        <v>21</v>
      </c>
      <c r="E205" s="74" t="n">
        <v>21</v>
      </c>
      <c r="F205" s="74" t="n">
        <v>19</v>
      </c>
      <c r="G205" s="74" t="n">
        <v>6</v>
      </c>
      <c r="H205" s="74" t="n">
        <v>6</v>
      </c>
      <c r="I205" s="74" t="n">
        <v>2</v>
      </c>
      <c r="J205" s="74" t="n">
        <v>2</v>
      </c>
    </row>
    <row r="206" customFormat="false" ht="15" hidden="false" customHeight="true" outlineLevel="0" collapsed="false">
      <c r="A206" s="30" t="s">
        <v>488</v>
      </c>
      <c r="B206" s="75" t="n">
        <v>1</v>
      </c>
      <c r="C206" s="75" t="n">
        <v>0.551020408163265</v>
      </c>
      <c r="D206" s="75" t="n">
        <v>0.428571428571429</v>
      </c>
      <c r="E206" s="75" t="n">
        <v>1</v>
      </c>
      <c r="F206" s="75" t="n">
        <v>0.904761904761905</v>
      </c>
      <c r="G206" s="75" t="n">
        <v>0.285714285714286</v>
      </c>
      <c r="H206" s="75" t="n">
        <v>0.285714285714286</v>
      </c>
      <c r="I206" s="75" t="n">
        <v>0.0952380952380952</v>
      </c>
      <c r="J206" s="75" t="n">
        <v>0.0952380952380952</v>
      </c>
    </row>
    <row r="207" customFormat="false" ht="15" hidden="false" customHeight="true" outlineLevel="0" collapsed="false">
      <c r="A207" s="30" t="s">
        <v>495</v>
      </c>
      <c r="B207" s="74"/>
      <c r="C207" s="74"/>
      <c r="D207" s="76" t="s">
        <v>283</v>
      </c>
      <c r="E207" s="76" t="s">
        <v>283</v>
      </c>
      <c r="F207" s="76" t="s">
        <v>283</v>
      </c>
      <c r="G207" s="76" t="s">
        <v>283</v>
      </c>
      <c r="H207" s="76" t="s">
        <v>283</v>
      </c>
      <c r="I207" s="39" t="s">
        <v>284</v>
      </c>
      <c r="J207" s="76" t="s">
        <v>284</v>
      </c>
    </row>
    <row r="208" customFormat="false" ht="15" hidden="false" customHeight="true" outlineLevel="0" collapsed="false">
      <c r="A208" s="34" t="s">
        <v>489</v>
      </c>
      <c r="B208" s="35" t="n">
        <v>0.428571428571429</v>
      </c>
      <c r="C208" s="36"/>
      <c r="D208" s="36"/>
      <c r="E208" s="36"/>
      <c r="F208" s="36"/>
      <c r="G208" s="36"/>
      <c r="H208" s="36"/>
      <c r="I208" s="36"/>
      <c r="J208" s="36"/>
    </row>
    <row r="209" customFormat="false" ht="15" hidden="false" customHeight="true" outlineLevel="0" collapsed="false">
      <c r="A209" s="34" t="s">
        <v>490</v>
      </c>
      <c r="B209" s="35" t="n">
        <v>0.718371303926321</v>
      </c>
      <c r="C209" s="36"/>
      <c r="D209" s="36"/>
      <c r="E209" s="36"/>
      <c r="F209" s="36"/>
      <c r="G209" s="36"/>
      <c r="H209" s="36"/>
      <c r="I209" s="36"/>
      <c r="J209" s="36"/>
    </row>
    <row r="210" customFormat="false" ht="15" hidden="false" customHeight="true" outlineLevel="0" collapsed="false">
      <c r="A210" s="34" t="s">
        <v>492</v>
      </c>
      <c r="B210" s="35" t="n">
        <v>0.307873415968423</v>
      </c>
      <c r="C210" s="36"/>
      <c r="D210" s="36"/>
      <c r="E210" s="36"/>
      <c r="F210" s="36"/>
      <c r="G210" s="36"/>
      <c r="H210" s="36"/>
      <c r="I210" s="36"/>
      <c r="J210" s="36"/>
    </row>
    <row r="212" customFormat="false" ht="24" hidden="false" customHeight="true" outlineLevel="0" collapsed="false">
      <c r="A212" s="65" t="s">
        <v>425</v>
      </c>
      <c r="B212" s="65"/>
      <c r="C212" s="65"/>
      <c r="D212" s="65"/>
      <c r="E212" s="65"/>
      <c r="F212" s="65"/>
      <c r="G212" s="65"/>
      <c r="H212" s="65"/>
      <c r="I212" s="65"/>
      <c r="J212" s="65"/>
      <c r="K212" s="65"/>
    </row>
    <row r="213" customFormat="false" ht="27.75" hidden="false" customHeight="true" outlineLevel="0" collapsed="false">
      <c r="B213" s="69" t="s">
        <v>486</v>
      </c>
      <c r="C213" s="69"/>
      <c r="D213" s="69"/>
      <c r="E213" s="70" t="s">
        <v>502</v>
      </c>
      <c r="F213" s="70"/>
      <c r="G213" s="70"/>
      <c r="H213" s="70"/>
      <c r="I213" s="70"/>
      <c r="J213" s="70"/>
      <c r="K213" s="70"/>
    </row>
    <row r="214" customFormat="false" ht="6" hidden="false" customHeight="true" outlineLevel="0" collapsed="false">
      <c r="B214" s="71"/>
      <c r="C214" s="72"/>
      <c r="D214" s="73"/>
      <c r="E214" s="71"/>
      <c r="F214" s="72"/>
      <c r="G214" s="72"/>
      <c r="H214" s="72"/>
      <c r="I214" s="72"/>
      <c r="J214" s="72"/>
      <c r="K214" s="73"/>
    </row>
    <row r="215" customFormat="false" ht="15" hidden="false" customHeight="true" outlineLevel="0" collapsed="false">
      <c r="A215" s="12" t="s">
        <v>275</v>
      </c>
      <c r="B215" s="37" t="n">
        <v>1</v>
      </c>
      <c r="C215" s="37" t="n">
        <v>2</v>
      </c>
      <c r="D215" s="37" t="n">
        <v>3</v>
      </c>
      <c r="E215" s="37" t="n">
        <v>4</v>
      </c>
      <c r="F215" s="37" t="n">
        <v>5</v>
      </c>
      <c r="G215" s="37" t="n">
        <v>6</v>
      </c>
      <c r="H215" s="37" t="n">
        <v>7</v>
      </c>
      <c r="I215" s="37" t="n">
        <v>8</v>
      </c>
      <c r="J215" s="37" t="n">
        <v>9</v>
      </c>
      <c r="K215" s="37" t="n">
        <v>10</v>
      </c>
    </row>
    <row r="216" customFormat="false" ht="15" hidden="false" customHeight="true" outlineLevel="0" collapsed="false">
      <c r="A216" s="30" t="s">
        <v>447</v>
      </c>
      <c r="B216" s="74" t="n">
        <v>77</v>
      </c>
      <c r="C216" s="74" t="n">
        <v>57</v>
      </c>
      <c r="D216" s="74" t="n">
        <v>47</v>
      </c>
      <c r="E216" s="74" t="n">
        <v>49</v>
      </c>
      <c r="F216" s="74" t="n">
        <v>13</v>
      </c>
      <c r="G216" s="74" t="n">
        <v>6</v>
      </c>
      <c r="H216" s="74" t="n">
        <v>5</v>
      </c>
      <c r="I216" s="74" t="n">
        <v>5</v>
      </c>
      <c r="J216" s="74" t="n">
        <v>4</v>
      </c>
      <c r="K216" s="74" t="n">
        <v>1</v>
      </c>
    </row>
    <row r="217" customFormat="false" ht="15" hidden="false" customHeight="true" outlineLevel="0" collapsed="false">
      <c r="A217" s="30" t="s">
        <v>488</v>
      </c>
      <c r="B217" s="75" t="n">
        <v>1</v>
      </c>
      <c r="C217" s="75" t="n">
        <v>0.74025974025974</v>
      </c>
      <c r="D217" s="75" t="n">
        <v>0.61038961038961</v>
      </c>
      <c r="E217" s="75" t="n">
        <v>1.04255319148936</v>
      </c>
      <c r="F217" s="75" t="n">
        <v>0.276595744680851</v>
      </c>
      <c r="G217" s="75" t="n">
        <v>0.127659574468085</v>
      </c>
      <c r="H217" s="75" t="n">
        <v>0.106382978723404</v>
      </c>
      <c r="I217" s="75" t="n">
        <v>0.106382978723404</v>
      </c>
      <c r="J217" s="75" t="n">
        <v>0.0851063829787234</v>
      </c>
      <c r="K217" s="75" t="n">
        <v>0.0212765957446809</v>
      </c>
    </row>
    <row r="218" customFormat="false" ht="15" hidden="false" customHeight="true" outlineLevel="0" collapsed="false">
      <c r="A218" s="30" t="s">
        <v>495</v>
      </c>
      <c r="B218" s="74"/>
      <c r="C218" s="74"/>
      <c r="D218" s="76" t="s">
        <v>283</v>
      </c>
      <c r="E218" s="76" t="s">
        <v>283</v>
      </c>
      <c r="F218" s="76" t="s">
        <v>283</v>
      </c>
      <c r="G218" s="39" t="s">
        <v>284</v>
      </c>
      <c r="H218" s="76" t="s">
        <v>284</v>
      </c>
      <c r="I218" s="76" t="s">
        <v>284</v>
      </c>
      <c r="J218" s="76" t="s">
        <v>284</v>
      </c>
      <c r="K218" s="76" t="s">
        <v>284</v>
      </c>
    </row>
    <row r="219" customFormat="false" ht="15" hidden="false" customHeight="true" outlineLevel="0" collapsed="false">
      <c r="A219" s="34" t="s">
        <v>489</v>
      </c>
      <c r="B219" s="35" t="n">
        <v>0.61038961038961</v>
      </c>
      <c r="C219" s="36"/>
      <c r="D219" s="36"/>
      <c r="E219" s="36"/>
      <c r="F219" s="36"/>
      <c r="G219" s="36"/>
      <c r="H219" s="36"/>
      <c r="I219" s="36"/>
      <c r="J219" s="36"/>
      <c r="K219" s="36"/>
    </row>
    <row r="220" customFormat="false" ht="15" hidden="false" customHeight="true" outlineLevel="0" collapsed="false">
      <c r="A220" s="34" t="s">
        <v>490</v>
      </c>
      <c r="B220" s="35" t="n">
        <v>0.815504389812775</v>
      </c>
      <c r="C220" s="36"/>
      <c r="D220" s="36"/>
      <c r="E220" s="36"/>
      <c r="F220" s="36"/>
      <c r="G220" s="36"/>
      <c r="H220" s="36"/>
      <c r="I220" s="36"/>
      <c r="J220" s="36"/>
      <c r="K220" s="36"/>
    </row>
    <row r="221" customFormat="false" ht="15" hidden="false" customHeight="true" outlineLevel="0" collapsed="false">
      <c r="A221" s="34" t="s">
        <v>492</v>
      </c>
      <c r="B221" s="35" t="n">
        <v>0.497775406768837</v>
      </c>
      <c r="C221" s="36"/>
      <c r="D221" s="36"/>
      <c r="E221" s="36"/>
      <c r="F221" s="36"/>
      <c r="G221" s="36"/>
      <c r="H221" s="36"/>
      <c r="I221" s="36"/>
      <c r="J221" s="36"/>
      <c r="K221" s="36"/>
    </row>
    <row r="223" customFormat="false" ht="24" hidden="false" customHeight="true" outlineLevel="0" collapsed="false">
      <c r="A223" s="65" t="s">
        <v>426</v>
      </c>
      <c r="B223" s="65"/>
      <c r="C223" s="65"/>
      <c r="D223" s="65"/>
      <c r="E223" s="65"/>
      <c r="F223" s="65"/>
      <c r="G223" s="65"/>
      <c r="H223" s="65"/>
      <c r="I223" s="65"/>
      <c r="J223" s="65"/>
      <c r="K223" s="65"/>
      <c r="L223" s="65"/>
      <c r="M223" s="65"/>
      <c r="N223" s="65"/>
      <c r="O223" s="65"/>
      <c r="P223" s="65"/>
      <c r="Q223" s="65"/>
    </row>
    <row r="224" customFormat="false" ht="27.75" hidden="false" customHeight="true" outlineLevel="0" collapsed="false">
      <c r="B224" s="69" t="s">
        <v>486</v>
      </c>
      <c r="C224" s="69"/>
      <c r="D224" s="69"/>
      <c r="E224" s="70" t="s">
        <v>496</v>
      </c>
      <c r="F224" s="70"/>
      <c r="G224" s="70"/>
      <c r="H224" s="70"/>
      <c r="I224" s="70"/>
      <c r="J224" s="70"/>
      <c r="K224" s="70"/>
      <c r="L224" s="70"/>
      <c r="M224" s="70"/>
      <c r="N224" s="70"/>
      <c r="O224" s="70"/>
      <c r="P224" s="70"/>
      <c r="Q224" s="70"/>
    </row>
    <row r="225" customFormat="false" ht="6" hidden="false" customHeight="true" outlineLevel="0" collapsed="false">
      <c r="B225" s="71"/>
      <c r="C225" s="72"/>
      <c r="D225" s="73"/>
      <c r="E225" s="71"/>
      <c r="F225" s="72"/>
      <c r="G225" s="72"/>
      <c r="H225" s="72"/>
      <c r="I225" s="72"/>
      <c r="J225" s="72"/>
      <c r="K225" s="72"/>
      <c r="L225" s="72"/>
      <c r="M225" s="72"/>
      <c r="N225" s="72"/>
      <c r="O225" s="72"/>
      <c r="P225" s="72"/>
      <c r="Q225" s="73"/>
    </row>
    <row r="226" customFormat="false" ht="15" hidden="false" customHeight="true" outlineLevel="0" collapsed="false">
      <c r="A226" s="12" t="s">
        <v>275</v>
      </c>
      <c r="B226" s="37" t="n">
        <v>1</v>
      </c>
      <c r="C226" s="37" t="n">
        <v>2</v>
      </c>
      <c r="D226" s="37" t="n">
        <v>3</v>
      </c>
      <c r="E226" s="37" t="n">
        <v>4</v>
      </c>
      <c r="F226" s="37" t="n">
        <v>5</v>
      </c>
      <c r="G226" s="37" t="n">
        <v>6</v>
      </c>
      <c r="H226" s="37" t="n">
        <v>7</v>
      </c>
      <c r="I226" s="37" t="n">
        <v>8</v>
      </c>
      <c r="J226" s="37" t="n">
        <v>9</v>
      </c>
      <c r="K226" s="37" t="n">
        <v>10</v>
      </c>
      <c r="L226" s="37" t="n">
        <v>11</v>
      </c>
      <c r="M226" s="37" t="n">
        <v>12</v>
      </c>
      <c r="N226" s="37" t="n">
        <v>13</v>
      </c>
      <c r="O226" s="37" t="n">
        <v>14</v>
      </c>
      <c r="P226" s="37" t="n">
        <v>15</v>
      </c>
      <c r="Q226" s="37" t="n">
        <v>16</v>
      </c>
    </row>
    <row r="227" customFormat="false" ht="15" hidden="false" customHeight="true" outlineLevel="0" collapsed="false">
      <c r="A227" s="30" t="s">
        <v>447</v>
      </c>
      <c r="B227" s="74" t="n">
        <v>145</v>
      </c>
      <c r="C227" s="74" t="n">
        <v>121</v>
      </c>
      <c r="D227" s="74" t="n">
        <v>121</v>
      </c>
      <c r="E227" s="74" t="n">
        <v>111</v>
      </c>
      <c r="F227" s="74" t="n">
        <v>80</v>
      </c>
      <c r="G227" s="74" t="n">
        <v>43</v>
      </c>
      <c r="H227" s="74" t="n">
        <v>18</v>
      </c>
      <c r="I227" s="74" t="n">
        <v>17</v>
      </c>
      <c r="J227" s="74" t="n">
        <v>8</v>
      </c>
      <c r="K227" s="74" t="n">
        <v>5</v>
      </c>
      <c r="L227" s="74" t="n">
        <v>4</v>
      </c>
      <c r="M227" s="74" t="n">
        <v>2</v>
      </c>
      <c r="N227" s="74" t="n">
        <v>1</v>
      </c>
      <c r="O227" s="74" t="n">
        <v>0</v>
      </c>
      <c r="P227" s="74" t="n">
        <v>1</v>
      </c>
      <c r="Q227" s="74" t="n">
        <v>1</v>
      </c>
    </row>
    <row r="228" customFormat="false" ht="15" hidden="false" customHeight="true" outlineLevel="0" collapsed="false">
      <c r="A228" s="30" t="s">
        <v>488</v>
      </c>
      <c r="B228" s="75" t="n">
        <v>1</v>
      </c>
      <c r="C228" s="75" t="n">
        <v>0.83448275862069</v>
      </c>
      <c r="D228" s="75" t="n">
        <v>0.83448275862069</v>
      </c>
      <c r="E228" s="75" t="n">
        <v>0.917355371900827</v>
      </c>
      <c r="F228" s="75" t="n">
        <v>0.661157024793388</v>
      </c>
      <c r="G228" s="75" t="n">
        <v>0.355371900826446</v>
      </c>
      <c r="H228" s="75" t="n">
        <v>0.148760330578512</v>
      </c>
      <c r="I228" s="75" t="n">
        <v>0.140495867768595</v>
      </c>
      <c r="J228" s="75" t="n">
        <v>0.0661157024793388</v>
      </c>
      <c r="K228" s="75" t="n">
        <v>0.0413223140495868</v>
      </c>
      <c r="L228" s="75" t="n">
        <v>0.0330578512396694</v>
      </c>
      <c r="M228" s="75" t="n">
        <v>0.0165289256198347</v>
      </c>
      <c r="N228" s="75" t="n">
        <v>0.00826446280991736</v>
      </c>
      <c r="O228" s="75" t="n">
        <v>0</v>
      </c>
      <c r="P228" s="75" t="n">
        <v>0.00826446280991736</v>
      </c>
      <c r="Q228" s="75" t="n">
        <v>0.00826446280991736</v>
      </c>
    </row>
    <row r="229" customFormat="false" ht="15" hidden="false" customHeight="true" outlineLevel="0" collapsed="false">
      <c r="A229" s="30" t="s">
        <v>495</v>
      </c>
      <c r="B229" s="74"/>
      <c r="C229" s="74"/>
      <c r="D229" s="76" t="s">
        <v>283</v>
      </c>
      <c r="E229" s="76" t="s">
        <v>283</v>
      </c>
      <c r="F229" s="76" t="s">
        <v>283</v>
      </c>
      <c r="G229" s="76" t="s">
        <v>283</v>
      </c>
      <c r="H229" s="39" t="s">
        <v>284</v>
      </c>
      <c r="I229" s="76" t="s">
        <v>284</v>
      </c>
      <c r="J229" s="76" t="s">
        <v>284</v>
      </c>
      <c r="K229" s="76" t="s">
        <v>284</v>
      </c>
      <c r="L229" s="76" t="s">
        <v>284</v>
      </c>
      <c r="M229" s="76" t="s">
        <v>284</v>
      </c>
      <c r="N229" s="76" t="s">
        <v>284</v>
      </c>
      <c r="O229" s="76" t="s">
        <v>284</v>
      </c>
      <c r="P229" s="76" t="s">
        <v>284</v>
      </c>
      <c r="Q229" s="76" t="s">
        <v>284</v>
      </c>
    </row>
    <row r="230" customFormat="false" ht="15" hidden="false" customHeight="true" outlineLevel="0" collapsed="false">
      <c r="A230" s="34" t="s">
        <v>489</v>
      </c>
      <c r="B230" s="35" t="n">
        <v>0.83448275862069</v>
      </c>
      <c r="C230" s="36"/>
      <c r="D230" s="36"/>
      <c r="E230" s="36"/>
      <c r="F230" s="36"/>
      <c r="G230" s="36"/>
      <c r="H230" s="36"/>
      <c r="I230" s="36"/>
      <c r="J230" s="36"/>
      <c r="K230" s="36"/>
      <c r="L230" s="36"/>
      <c r="M230" s="36"/>
      <c r="N230" s="36"/>
      <c r="O230" s="36"/>
      <c r="P230" s="36"/>
      <c r="Q230" s="36"/>
    </row>
    <row r="231" customFormat="false" ht="15" hidden="false" customHeight="true" outlineLevel="0" collapsed="false">
      <c r="A231" s="34" t="s">
        <v>490</v>
      </c>
      <c r="B231" s="35" t="n">
        <v>0.740095881223752</v>
      </c>
      <c r="C231" s="36"/>
      <c r="D231" s="36"/>
      <c r="E231" s="36"/>
      <c r="F231" s="36"/>
      <c r="G231" s="36"/>
      <c r="H231" s="36"/>
      <c r="I231" s="36"/>
      <c r="J231" s="36"/>
      <c r="K231" s="36"/>
      <c r="L231" s="36"/>
      <c r="M231" s="36"/>
      <c r="N231" s="36"/>
      <c r="O231" s="36"/>
      <c r="P231" s="36"/>
      <c r="Q231" s="36"/>
    </row>
    <row r="232" customFormat="false" ht="15" hidden="false" customHeight="true" outlineLevel="0" collapsed="false">
      <c r="A232" s="34" t="s">
        <v>492</v>
      </c>
      <c r="B232" s="35" t="n">
        <v>0.617597252607407</v>
      </c>
      <c r="C232" s="36"/>
      <c r="D232" s="36"/>
      <c r="E232" s="36"/>
      <c r="F232" s="36"/>
      <c r="G232" s="36"/>
      <c r="H232" s="36"/>
      <c r="I232" s="36"/>
      <c r="J232" s="36"/>
      <c r="K232" s="36"/>
      <c r="L232" s="36"/>
      <c r="M232" s="36"/>
      <c r="N232" s="36"/>
      <c r="O232" s="36"/>
      <c r="P232" s="36"/>
      <c r="Q232" s="36"/>
    </row>
    <row r="234" customFormat="false" ht="24" hidden="false" customHeight="true" outlineLevel="0" collapsed="false">
      <c r="A234" s="65" t="s">
        <v>427</v>
      </c>
      <c r="B234" s="65"/>
      <c r="C234" s="65"/>
      <c r="D234" s="65"/>
      <c r="E234" s="65"/>
      <c r="F234" s="65"/>
      <c r="G234" s="65"/>
      <c r="H234" s="65"/>
      <c r="I234" s="65"/>
      <c r="J234" s="65"/>
      <c r="K234" s="65"/>
      <c r="L234" s="65"/>
      <c r="M234" s="65"/>
      <c r="N234" s="65"/>
    </row>
    <row r="235" customFormat="false" ht="27.75" hidden="false" customHeight="true" outlineLevel="0" collapsed="false">
      <c r="B235" s="69" t="s">
        <v>486</v>
      </c>
      <c r="C235" s="69"/>
      <c r="D235" s="69"/>
      <c r="E235" s="70" t="s">
        <v>497</v>
      </c>
      <c r="F235" s="70"/>
      <c r="G235" s="70"/>
      <c r="H235" s="70"/>
      <c r="I235" s="70"/>
      <c r="J235" s="70"/>
      <c r="K235" s="70"/>
      <c r="L235" s="70"/>
      <c r="M235" s="70"/>
      <c r="N235" s="70"/>
    </row>
    <row r="236" customFormat="false" ht="6" hidden="false" customHeight="true" outlineLevel="0" collapsed="false">
      <c r="B236" s="71"/>
      <c r="C236" s="72"/>
      <c r="D236" s="73"/>
      <c r="E236" s="71"/>
      <c r="F236" s="72"/>
      <c r="G236" s="72"/>
      <c r="H236" s="72"/>
      <c r="I236" s="72"/>
      <c r="J236" s="72"/>
      <c r="K236" s="72"/>
      <c r="L236" s="72"/>
      <c r="M236" s="72"/>
      <c r="N236" s="73"/>
    </row>
    <row r="237" customFormat="false" ht="15" hidden="false" customHeight="true" outlineLevel="0" collapsed="false">
      <c r="A237" s="12" t="s">
        <v>275</v>
      </c>
      <c r="B237" s="37" t="n">
        <v>1</v>
      </c>
      <c r="C237" s="37" t="n">
        <v>2</v>
      </c>
      <c r="D237" s="37" t="n">
        <v>3</v>
      </c>
      <c r="E237" s="37" t="n">
        <v>4</v>
      </c>
      <c r="F237" s="37" t="n">
        <v>5</v>
      </c>
      <c r="G237" s="37" t="n">
        <v>6</v>
      </c>
      <c r="H237" s="37" t="n">
        <v>7</v>
      </c>
      <c r="I237" s="37" t="n">
        <v>8</v>
      </c>
      <c r="J237" s="37" t="n">
        <v>9</v>
      </c>
      <c r="K237" s="37" t="n">
        <v>10</v>
      </c>
      <c r="L237" s="37" t="n">
        <v>11</v>
      </c>
      <c r="M237" s="37" t="n">
        <v>12</v>
      </c>
      <c r="N237" s="37" t="n">
        <v>13</v>
      </c>
    </row>
    <row r="238" customFormat="false" ht="15" hidden="false" customHeight="true" outlineLevel="0" collapsed="false">
      <c r="A238" s="30" t="s">
        <v>447</v>
      </c>
      <c r="B238" s="74" t="n">
        <v>218</v>
      </c>
      <c r="C238" s="74" t="n">
        <v>153</v>
      </c>
      <c r="D238" s="74" t="n">
        <v>121</v>
      </c>
      <c r="E238" s="74" t="n">
        <v>116</v>
      </c>
      <c r="F238" s="74" t="n">
        <v>104</v>
      </c>
      <c r="G238" s="74" t="n">
        <v>69</v>
      </c>
      <c r="H238" s="74" t="n">
        <v>45</v>
      </c>
      <c r="I238" s="74" t="n">
        <v>22</v>
      </c>
      <c r="J238" s="74" t="n">
        <v>11</v>
      </c>
      <c r="K238" s="74" t="n">
        <v>8</v>
      </c>
      <c r="L238" s="74" t="n">
        <v>9</v>
      </c>
      <c r="M238" s="74" t="n">
        <v>4</v>
      </c>
      <c r="N238" s="74" t="n">
        <v>1</v>
      </c>
    </row>
    <row r="239" customFormat="false" ht="15" hidden="false" customHeight="true" outlineLevel="0" collapsed="false">
      <c r="A239" s="30" t="s">
        <v>488</v>
      </c>
      <c r="B239" s="75" t="n">
        <v>1</v>
      </c>
      <c r="C239" s="75" t="n">
        <v>0.701834862385321</v>
      </c>
      <c r="D239" s="75" t="n">
        <v>0.555045871559633</v>
      </c>
      <c r="E239" s="75" t="n">
        <v>0.958677685950413</v>
      </c>
      <c r="F239" s="75" t="n">
        <v>0.859504132231405</v>
      </c>
      <c r="G239" s="75" t="n">
        <v>0.570247933884298</v>
      </c>
      <c r="H239" s="75" t="n">
        <v>0.371900826446281</v>
      </c>
      <c r="I239" s="75" t="n">
        <v>0.181818181818182</v>
      </c>
      <c r="J239" s="75" t="n">
        <v>0.0909090909090909</v>
      </c>
      <c r="K239" s="75" t="n">
        <v>0.0661157024793388</v>
      </c>
      <c r="L239" s="75" t="n">
        <v>0.0743801652892562</v>
      </c>
      <c r="M239" s="75" t="n">
        <v>0.0330578512396694</v>
      </c>
      <c r="N239" s="75" t="n">
        <v>0.00826446280991736</v>
      </c>
    </row>
    <row r="240" customFormat="false" ht="15" hidden="false" customHeight="true" outlineLevel="0" collapsed="false">
      <c r="A240" s="30" t="s">
        <v>495</v>
      </c>
      <c r="B240" s="74"/>
      <c r="C240" s="74"/>
      <c r="D240" s="76" t="s">
        <v>283</v>
      </c>
      <c r="E240" s="76" t="s">
        <v>283</v>
      </c>
      <c r="F240" s="76" t="s">
        <v>283</v>
      </c>
      <c r="G240" s="76" t="s">
        <v>283</v>
      </c>
      <c r="H240" s="76" t="s">
        <v>283</v>
      </c>
      <c r="I240" s="39" t="s">
        <v>284</v>
      </c>
      <c r="J240" s="76" t="s">
        <v>284</v>
      </c>
      <c r="K240" s="76" t="s">
        <v>284</v>
      </c>
      <c r="L240" s="76" t="s">
        <v>284</v>
      </c>
      <c r="M240" s="76" t="s">
        <v>284</v>
      </c>
      <c r="N240" s="76" t="s">
        <v>284</v>
      </c>
    </row>
    <row r="241" customFormat="false" ht="15" hidden="false" customHeight="true" outlineLevel="0" collapsed="false">
      <c r="A241" s="34" t="s">
        <v>489</v>
      </c>
      <c r="B241" s="35" t="n">
        <v>0.555045871559633</v>
      </c>
      <c r="C241" s="36"/>
      <c r="D241" s="36"/>
      <c r="E241" s="36"/>
      <c r="F241" s="36"/>
      <c r="G241" s="36"/>
      <c r="H241" s="36"/>
      <c r="I241" s="36"/>
      <c r="J241" s="36"/>
      <c r="K241" s="36"/>
      <c r="L241" s="36"/>
      <c r="M241" s="36"/>
      <c r="N241" s="36"/>
    </row>
    <row r="242" customFormat="false" ht="15" hidden="false" customHeight="true" outlineLevel="0" collapsed="false">
      <c r="A242" s="34" t="s">
        <v>490</v>
      </c>
      <c r="B242" s="35" t="n">
        <v>0.774315058068223</v>
      </c>
      <c r="C242" s="36"/>
      <c r="D242" s="36"/>
      <c r="E242" s="36"/>
      <c r="F242" s="36"/>
      <c r="G242" s="36"/>
      <c r="H242" s="36"/>
      <c r="I242" s="36"/>
      <c r="J242" s="36"/>
      <c r="K242" s="36"/>
      <c r="L242" s="36"/>
      <c r="M242" s="36"/>
      <c r="N242" s="36"/>
    </row>
    <row r="243" customFormat="false" ht="15" hidden="false" customHeight="true" outlineLevel="0" collapsed="false">
      <c r="A243" s="34" t="s">
        <v>492</v>
      </c>
      <c r="B243" s="35" t="n">
        <v>0.429780376267225</v>
      </c>
      <c r="C243" s="36"/>
      <c r="D243" s="36"/>
      <c r="E243" s="36"/>
      <c r="F243" s="36"/>
      <c r="G243" s="36"/>
      <c r="H243" s="36"/>
      <c r="I243" s="36"/>
      <c r="J243" s="36"/>
      <c r="K243" s="36"/>
      <c r="L243" s="36"/>
      <c r="M243" s="36"/>
      <c r="N243" s="36"/>
    </row>
    <row r="245" customFormat="false" ht="24" hidden="false" customHeight="true" outlineLevel="0" collapsed="false">
      <c r="A245" s="65" t="s">
        <v>428</v>
      </c>
      <c r="B245" s="65"/>
      <c r="C245" s="65"/>
      <c r="D245" s="65"/>
      <c r="E245" s="65"/>
      <c r="F245" s="65"/>
      <c r="G245" s="65"/>
      <c r="H245" s="65"/>
    </row>
    <row r="246" customFormat="false" ht="15" hidden="false" customHeight="true" outlineLevel="0" collapsed="false">
      <c r="A246" s="29" t="s">
        <v>272</v>
      </c>
      <c r="B246" s="29"/>
      <c r="C246" s="29"/>
      <c r="D246" s="29"/>
      <c r="E246" s="29"/>
      <c r="F246" s="29"/>
      <c r="G246" s="29"/>
      <c r="H246" s="29"/>
    </row>
    <row r="248" customFormat="false" ht="24" hidden="false" customHeight="true" outlineLevel="0" collapsed="false">
      <c r="A248" s="65" t="s">
        <v>429</v>
      </c>
      <c r="B248" s="65"/>
      <c r="C248" s="65"/>
      <c r="D248" s="65"/>
      <c r="E248" s="65"/>
      <c r="F248" s="65"/>
      <c r="G248" s="65"/>
      <c r="H248" s="65"/>
    </row>
    <row r="249" customFormat="false" ht="27.75" hidden="false" customHeight="true" outlineLevel="0" collapsed="false">
      <c r="B249" s="69" t="s">
        <v>486</v>
      </c>
      <c r="C249" s="69"/>
      <c r="D249" s="69"/>
      <c r="E249" s="70" t="s">
        <v>503</v>
      </c>
      <c r="F249" s="70"/>
      <c r="G249" s="70"/>
      <c r="H249" s="70"/>
    </row>
    <row r="250" customFormat="false" ht="6" hidden="false" customHeight="true" outlineLevel="0" collapsed="false">
      <c r="B250" s="71"/>
      <c r="C250" s="72"/>
      <c r="D250" s="73"/>
      <c r="E250" s="71"/>
      <c r="F250" s="72"/>
      <c r="G250" s="72"/>
      <c r="H250" s="73"/>
    </row>
    <row r="251" customFormat="false" ht="15" hidden="false" customHeight="true" outlineLevel="0" collapsed="false">
      <c r="A251" s="12" t="s">
        <v>275</v>
      </c>
      <c r="B251" s="37" t="n">
        <v>1</v>
      </c>
      <c r="C251" s="37" t="n">
        <v>2</v>
      </c>
      <c r="D251" s="37" t="n">
        <v>3</v>
      </c>
      <c r="E251" s="37" t="n">
        <v>4</v>
      </c>
      <c r="F251" s="37" t="n">
        <v>5</v>
      </c>
      <c r="G251" s="37" t="n">
        <v>6</v>
      </c>
      <c r="H251" s="37" t="n">
        <v>7</v>
      </c>
    </row>
    <row r="252" customFormat="false" ht="15" hidden="false" customHeight="true" outlineLevel="0" collapsed="false">
      <c r="A252" s="30" t="s">
        <v>447</v>
      </c>
      <c r="B252" s="74" t="n">
        <v>24</v>
      </c>
      <c r="C252" s="74" t="n">
        <v>20</v>
      </c>
      <c r="D252" s="74" t="n">
        <v>19</v>
      </c>
      <c r="E252" s="74" t="n">
        <v>12</v>
      </c>
      <c r="F252" s="74" t="n">
        <v>12</v>
      </c>
      <c r="G252" s="74" t="n">
        <v>0</v>
      </c>
      <c r="H252" s="74" t="n">
        <v>0</v>
      </c>
    </row>
    <row r="253" customFormat="false" ht="15" hidden="false" customHeight="true" outlineLevel="0" collapsed="false">
      <c r="A253" s="30" t="s">
        <v>488</v>
      </c>
      <c r="B253" s="75" t="n">
        <v>1</v>
      </c>
      <c r="C253" s="75" t="n">
        <v>0.833333333333333</v>
      </c>
      <c r="D253" s="75" t="n">
        <v>0.791666666666667</v>
      </c>
      <c r="E253" s="75" t="n">
        <v>0.631578947368421</v>
      </c>
      <c r="F253" s="75" t="n">
        <v>0.631578947368421</v>
      </c>
      <c r="G253" s="75" t="n">
        <v>0</v>
      </c>
      <c r="H253" s="75" t="n">
        <v>0</v>
      </c>
    </row>
    <row r="254" customFormat="false" ht="15" hidden="false" customHeight="true" outlineLevel="0" collapsed="false">
      <c r="A254" s="30" t="s">
        <v>495</v>
      </c>
      <c r="B254" s="74"/>
      <c r="C254" s="74"/>
      <c r="D254" s="76" t="s">
        <v>283</v>
      </c>
      <c r="E254" s="76" t="s">
        <v>283</v>
      </c>
      <c r="F254" s="76" t="s">
        <v>283</v>
      </c>
      <c r="G254" s="39" t="s">
        <v>284</v>
      </c>
      <c r="H254" s="76" t="s">
        <v>284</v>
      </c>
    </row>
    <row r="255" customFormat="false" ht="15" hidden="false" customHeight="true" outlineLevel="0" collapsed="false">
      <c r="A255" s="34" t="s">
        <v>489</v>
      </c>
      <c r="B255" s="35" t="n">
        <v>0.791666666666667</v>
      </c>
      <c r="C255" s="36"/>
      <c r="D255" s="36"/>
      <c r="E255" s="36"/>
      <c r="F255" s="36"/>
      <c r="G255" s="36"/>
      <c r="H255" s="36"/>
    </row>
    <row r="256" customFormat="false" ht="15" hidden="false" customHeight="true" outlineLevel="0" collapsed="false">
      <c r="A256" s="34" t="s">
        <v>490</v>
      </c>
      <c r="B256" s="35" t="n">
        <v>0.786026200873363</v>
      </c>
      <c r="C256" s="36"/>
      <c r="D256" s="36"/>
      <c r="E256" s="36"/>
      <c r="F256" s="36"/>
      <c r="G256" s="36"/>
      <c r="H256" s="36"/>
    </row>
    <row r="257" customFormat="false" ht="15" hidden="false" customHeight="true" outlineLevel="0" collapsed="false">
      <c r="A257" s="34" t="s">
        <v>492</v>
      </c>
      <c r="B257" s="35" t="n">
        <v>0.622270742358079</v>
      </c>
      <c r="C257" s="36"/>
      <c r="D257" s="36"/>
      <c r="E257" s="36"/>
      <c r="F257" s="36"/>
      <c r="G257" s="36"/>
      <c r="H257" s="36"/>
    </row>
    <row r="259" customFormat="false" ht="24" hidden="false" customHeight="true" outlineLevel="0" collapsed="false">
      <c r="A259" s="65" t="s">
        <v>430</v>
      </c>
      <c r="B259" s="65"/>
      <c r="C259" s="65"/>
      <c r="D259" s="65"/>
      <c r="E259" s="65"/>
      <c r="F259" s="65"/>
      <c r="G259" s="65"/>
      <c r="H259" s="65"/>
      <c r="I259" s="65"/>
      <c r="J259" s="65"/>
      <c r="K259" s="65"/>
      <c r="L259" s="65"/>
      <c r="M259" s="65"/>
      <c r="N259" s="65"/>
      <c r="O259" s="65"/>
    </row>
    <row r="260" customFormat="false" ht="27.75" hidden="false" customHeight="true" outlineLevel="0" collapsed="false">
      <c r="B260" s="69" t="s">
        <v>486</v>
      </c>
      <c r="C260" s="69"/>
      <c r="D260" s="69"/>
      <c r="E260" s="70" t="s">
        <v>504</v>
      </c>
      <c r="F260" s="70"/>
      <c r="G260" s="70"/>
      <c r="H260" s="70"/>
      <c r="I260" s="70"/>
      <c r="J260" s="70"/>
      <c r="K260" s="70"/>
      <c r="L260" s="70"/>
      <c r="M260" s="70"/>
      <c r="N260" s="70"/>
      <c r="O260" s="70"/>
    </row>
    <row r="261" customFormat="false" ht="6" hidden="false" customHeight="true" outlineLevel="0" collapsed="false">
      <c r="B261" s="71"/>
      <c r="C261" s="72"/>
      <c r="D261" s="73"/>
      <c r="E261" s="71"/>
      <c r="F261" s="72"/>
      <c r="G261" s="72"/>
      <c r="H261" s="72"/>
      <c r="I261" s="72"/>
      <c r="J261" s="72"/>
      <c r="K261" s="72"/>
      <c r="L261" s="72"/>
      <c r="M261" s="72"/>
      <c r="N261" s="72"/>
      <c r="O261" s="73"/>
    </row>
    <row r="262" customFormat="false" ht="15" hidden="false" customHeight="true" outlineLevel="0" collapsed="false">
      <c r="A262" s="12" t="s">
        <v>275</v>
      </c>
      <c r="B262" s="37" t="n">
        <v>1</v>
      </c>
      <c r="C262" s="37" t="n">
        <v>2</v>
      </c>
      <c r="D262" s="37" t="n">
        <v>3</v>
      </c>
      <c r="E262" s="37" t="n">
        <v>4</v>
      </c>
      <c r="F262" s="37" t="n">
        <v>5</v>
      </c>
      <c r="G262" s="37" t="n">
        <v>6</v>
      </c>
      <c r="H262" s="37" t="n">
        <v>7</v>
      </c>
      <c r="I262" s="37" t="n">
        <v>8</v>
      </c>
      <c r="J262" s="37" t="n">
        <v>9</v>
      </c>
      <c r="K262" s="37" t="n">
        <v>10</v>
      </c>
      <c r="L262" s="37" t="n">
        <v>11</v>
      </c>
      <c r="M262" s="37" t="n">
        <v>12</v>
      </c>
      <c r="N262" s="37" t="n">
        <v>13</v>
      </c>
      <c r="O262" s="37" t="n">
        <v>14</v>
      </c>
    </row>
    <row r="263" customFormat="false" ht="15" hidden="false" customHeight="true" outlineLevel="0" collapsed="false">
      <c r="A263" s="30" t="s">
        <v>447</v>
      </c>
      <c r="B263" s="74" t="n">
        <v>262</v>
      </c>
      <c r="C263" s="74" t="n">
        <v>214</v>
      </c>
      <c r="D263" s="74" t="n">
        <v>195</v>
      </c>
      <c r="E263" s="74" t="n">
        <v>176</v>
      </c>
      <c r="F263" s="74" t="n">
        <v>44</v>
      </c>
      <c r="G263" s="74" t="n">
        <v>26</v>
      </c>
      <c r="H263" s="74" t="n">
        <v>21</v>
      </c>
      <c r="I263" s="74" t="n">
        <v>12</v>
      </c>
      <c r="J263" s="74" t="n">
        <v>7</v>
      </c>
      <c r="K263" s="74" t="n">
        <v>6</v>
      </c>
      <c r="L263" s="74" t="n">
        <v>5</v>
      </c>
      <c r="M263" s="74" t="n">
        <v>3</v>
      </c>
      <c r="N263" s="74" t="n">
        <v>2</v>
      </c>
      <c r="O263" s="74" t="n">
        <v>1</v>
      </c>
    </row>
    <row r="264" customFormat="false" ht="15" hidden="false" customHeight="true" outlineLevel="0" collapsed="false">
      <c r="A264" s="30" t="s">
        <v>488</v>
      </c>
      <c r="B264" s="75" t="n">
        <v>1</v>
      </c>
      <c r="C264" s="75" t="n">
        <v>0.816793893129771</v>
      </c>
      <c r="D264" s="75" t="n">
        <v>0.744274809160305</v>
      </c>
      <c r="E264" s="75" t="n">
        <v>0.902564102564103</v>
      </c>
      <c r="F264" s="75" t="n">
        <v>0.225641025641026</v>
      </c>
      <c r="G264" s="75" t="n">
        <v>0.133333333333333</v>
      </c>
      <c r="H264" s="75" t="n">
        <v>0.107692307692308</v>
      </c>
      <c r="I264" s="75" t="n">
        <v>0.0615384615384615</v>
      </c>
      <c r="J264" s="75" t="n">
        <v>0.0358974358974359</v>
      </c>
      <c r="K264" s="75" t="n">
        <v>0.0307692307692308</v>
      </c>
      <c r="L264" s="75" t="n">
        <v>0.0256410256410256</v>
      </c>
      <c r="M264" s="75" t="n">
        <v>0.0153846153846154</v>
      </c>
      <c r="N264" s="75" t="n">
        <v>0.0102564102564103</v>
      </c>
      <c r="O264" s="75" t="n">
        <v>0.00512820512820513</v>
      </c>
    </row>
    <row r="265" customFormat="false" ht="15" hidden="false" customHeight="true" outlineLevel="0" collapsed="false">
      <c r="A265" s="30" t="s">
        <v>495</v>
      </c>
      <c r="B265" s="74"/>
      <c r="C265" s="74"/>
      <c r="D265" s="76" t="s">
        <v>283</v>
      </c>
      <c r="E265" s="76" t="s">
        <v>283</v>
      </c>
      <c r="F265" s="76" t="s">
        <v>283</v>
      </c>
      <c r="G265" s="39" t="s">
        <v>284</v>
      </c>
      <c r="H265" s="76" t="s">
        <v>284</v>
      </c>
      <c r="I265" s="76" t="s">
        <v>284</v>
      </c>
      <c r="J265" s="76" t="s">
        <v>284</v>
      </c>
      <c r="K265" s="76" t="s">
        <v>284</v>
      </c>
      <c r="L265" s="76" t="s">
        <v>284</v>
      </c>
      <c r="M265" s="76" t="s">
        <v>284</v>
      </c>
      <c r="N265" s="76" t="s">
        <v>284</v>
      </c>
      <c r="O265" s="76" t="s">
        <v>284</v>
      </c>
    </row>
    <row r="266" customFormat="false" ht="15" hidden="false" customHeight="true" outlineLevel="0" collapsed="false">
      <c r="A266" s="34" t="s">
        <v>489</v>
      </c>
      <c r="B266" s="35" t="n">
        <v>0.744274809160305</v>
      </c>
      <c r="C266" s="36"/>
      <c r="D266" s="36"/>
      <c r="E266" s="36"/>
      <c r="F266" s="36"/>
      <c r="G266" s="36"/>
      <c r="H266" s="36"/>
      <c r="I266" s="36"/>
      <c r="J266" s="36"/>
      <c r="K266" s="36"/>
      <c r="L266" s="36"/>
      <c r="M266" s="36"/>
      <c r="N266" s="36"/>
      <c r="O266" s="36"/>
    </row>
    <row r="267" customFormat="false" ht="15" hidden="false" customHeight="true" outlineLevel="0" collapsed="false">
      <c r="A267" s="34" t="s">
        <v>490</v>
      </c>
      <c r="B267" s="35" t="n">
        <v>0.758291441398716</v>
      </c>
      <c r="C267" s="36"/>
      <c r="D267" s="36"/>
      <c r="E267" s="36"/>
      <c r="F267" s="36"/>
      <c r="G267" s="36"/>
      <c r="H267" s="36"/>
      <c r="I267" s="36"/>
      <c r="J267" s="36"/>
      <c r="K267" s="36"/>
      <c r="L267" s="36"/>
      <c r="M267" s="36"/>
      <c r="N267" s="36"/>
      <c r="O267" s="36"/>
    </row>
    <row r="268" customFormat="false" ht="15" hidden="false" customHeight="true" outlineLevel="0" collapsed="false">
      <c r="A268" s="34" t="s">
        <v>492</v>
      </c>
      <c r="B268" s="35" t="n">
        <v>0.564377217834923</v>
      </c>
      <c r="C268" s="36"/>
      <c r="D268" s="36"/>
      <c r="E268" s="36"/>
      <c r="F268" s="36"/>
      <c r="G268" s="36"/>
      <c r="H268" s="36"/>
      <c r="I268" s="36"/>
      <c r="J268" s="36"/>
      <c r="K268" s="36"/>
      <c r="L268" s="36"/>
      <c r="M268" s="36"/>
      <c r="N268" s="36"/>
      <c r="O268" s="36"/>
    </row>
    <row r="270" customFormat="false" ht="24" hidden="false" customHeight="true" outlineLevel="0" collapsed="false">
      <c r="A270" s="65" t="s">
        <v>431</v>
      </c>
      <c r="B270" s="65"/>
      <c r="C270" s="65"/>
      <c r="D270" s="65"/>
      <c r="E270" s="65"/>
      <c r="F270" s="65"/>
      <c r="G270" s="65"/>
      <c r="H270" s="65"/>
      <c r="I270" s="65"/>
      <c r="J270" s="65"/>
      <c r="K270" s="65"/>
      <c r="L270" s="65"/>
    </row>
    <row r="271" customFormat="false" ht="27.75" hidden="false" customHeight="true" outlineLevel="0" collapsed="false">
      <c r="B271" s="69" t="s">
        <v>486</v>
      </c>
      <c r="C271" s="69"/>
      <c r="D271" s="69"/>
      <c r="E271" s="70" t="s">
        <v>494</v>
      </c>
      <c r="F271" s="70"/>
      <c r="G271" s="70"/>
      <c r="H271" s="70"/>
      <c r="I271" s="70"/>
      <c r="J271" s="70"/>
      <c r="K271" s="70"/>
      <c r="L271" s="70"/>
    </row>
    <row r="272" customFormat="false" ht="6" hidden="false" customHeight="true" outlineLevel="0" collapsed="false">
      <c r="B272" s="71"/>
      <c r="C272" s="72"/>
      <c r="D272" s="73"/>
      <c r="E272" s="71"/>
      <c r="F272" s="72"/>
      <c r="G272" s="72"/>
      <c r="H272" s="72"/>
      <c r="I272" s="72"/>
      <c r="J272" s="72"/>
      <c r="K272" s="72"/>
      <c r="L272" s="73"/>
    </row>
    <row r="273" customFormat="false" ht="15" hidden="false" customHeight="true" outlineLevel="0" collapsed="false">
      <c r="A273" s="12" t="s">
        <v>275</v>
      </c>
      <c r="B273" s="37" t="n">
        <v>1</v>
      </c>
      <c r="C273" s="37" t="n">
        <v>2</v>
      </c>
      <c r="D273" s="37" t="n">
        <v>3</v>
      </c>
      <c r="E273" s="37" t="n">
        <v>4</v>
      </c>
      <c r="F273" s="37" t="n">
        <v>5</v>
      </c>
      <c r="G273" s="37" t="n">
        <v>6</v>
      </c>
      <c r="H273" s="37" t="n">
        <v>7</v>
      </c>
      <c r="I273" s="37" t="n">
        <v>8</v>
      </c>
      <c r="J273" s="37" t="n">
        <v>9</v>
      </c>
      <c r="K273" s="37" t="n">
        <v>10</v>
      </c>
      <c r="L273" s="37" t="n">
        <v>11</v>
      </c>
    </row>
    <row r="274" customFormat="false" ht="15" hidden="false" customHeight="true" outlineLevel="0" collapsed="false">
      <c r="A274" s="30" t="s">
        <v>447</v>
      </c>
      <c r="B274" s="74" t="n">
        <v>103</v>
      </c>
      <c r="C274" s="74" t="n">
        <v>86</v>
      </c>
      <c r="D274" s="74" t="n">
        <v>72</v>
      </c>
      <c r="E274" s="74" t="n">
        <v>70</v>
      </c>
      <c r="F274" s="74" t="n">
        <v>70</v>
      </c>
      <c r="G274" s="74" t="n">
        <v>18</v>
      </c>
      <c r="H274" s="74" t="n">
        <v>12</v>
      </c>
      <c r="I274" s="74" t="n">
        <v>6</v>
      </c>
      <c r="J274" s="74" t="n">
        <v>2</v>
      </c>
      <c r="K274" s="74" t="n">
        <v>2</v>
      </c>
      <c r="L274" s="74" t="n">
        <v>2</v>
      </c>
    </row>
    <row r="275" customFormat="false" ht="15" hidden="false" customHeight="true" outlineLevel="0" collapsed="false">
      <c r="A275" s="30" t="s">
        <v>488</v>
      </c>
      <c r="B275" s="75" t="n">
        <v>1</v>
      </c>
      <c r="C275" s="75" t="n">
        <v>0.83495145631068</v>
      </c>
      <c r="D275" s="75" t="n">
        <v>0.699029126213592</v>
      </c>
      <c r="E275" s="75" t="n">
        <v>0.972222222222222</v>
      </c>
      <c r="F275" s="75" t="n">
        <v>0.972222222222222</v>
      </c>
      <c r="G275" s="75" t="n">
        <v>0.25</v>
      </c>
      <c r="H275" s="75" t="n">
        <v>0.166666666666667</v>
      </c>
      <c r="I275" s="75" t="n">
        <v>0.0833333333333333</v>
      </c>
      <c r="J275" s="75" t="n">
        <v>0.0277777777777778</v>
      </c>
      <c r="K275" s="75" t="n">
        <v>0.0277777777777778</v>
      </c>
      <c r="L275" s="75" t="n">
        <v>0.0277777777777778</v>
      </c>
    </row>
    <row r="276" customFormat="false" ht="15" hidden="false" customHeight="true" outlineLevel="0" collapsed="false">
      <c r="A276" s="30" t="s">
        <v>495</v>
      </c>
      <c r="B276" s="74"/>
      <c r="C276" s="74"/>
      <c r="D276" s="76" t="s">
        <v>283</v>
      </c>
      <c r="E276" s="76" t="s">
        <v>283</v>
      </c>
      <c r="F276" s="76" t="s">
        <v>283</v>
      </c>
      <c r="G276" s="76" t="s">
        <v>283</v>
      </c>
      <c r="H276" s="39" t="s">
        <v>284</v>
      </c>
      <c r="I276" s="76" t="s">
        <v>284</v>
      </c>
      <c r="J276" s="76" t="s">
        <v>284</v>
      </c>
      <c r="K276" s="76" t="s">
        <v>284</v>
      </c>
      <c r="L276" s="76" t="s">
        <v>284</v>
      </c>
    </row>
    <row r="277" customFormat="false" ht="15" hidden="false" customHeight="true" outlineLevel="0" collapsed="false">
      <c r="A277" s="34" t="s">
        <v>489</v>
      </c>
      <c r="B277" s="35" t="n">
        <v>0.699029126213592</v>
      </c>
      <c r="C277" s="36"/>
      <c r="D277" s="36"/>
      <c r="E277" s="36"/>
      <c r="F277" s="36"/>
      <c r="G277" s="36"/>
      <c r="H277" s="36"/>
      <c r="I277" s="36"/>
      <c r="J277" s="36"/>
      <c r="K277" s="36"/>
      <c r="L277" s="36"/>
    </row>
    <row r="278" customFormat="false" ht="15" hidden="false" customHeight="true" outlineLevel="0" collapsed="false">
      <c r="A278" s="34" t="s">
        <v>490</v>
      </c>
      <c r="B278" s="35" t="n">
        <v>0.840424491392801</v>
      </c>
      <c r="C278" s="36"/>
      <c r="D278" s="36"/>
      <c r="E278" s="36"/>
      <c r="F278" s="36"/>
      <c r="G278" s="36"/>
      <c r="H278" s="36"/>
      <c r="I278" s="36"/>
      <c r="J278" s="36"/>
      <c r="K278" s="36"/>
      <c r="L278" s="36"/>
    </row>
    <row r="279" customFormat="false" ht="15" hidden="false" customHeight="true" outlineLevel="0" collapsed="false">
      <c r="A279" s="34" t="s">
        <v>492</v>
      </c>
      <c r="B279" s="35" t="n">
        <v>0.587481197866813</v>
      </c>
      <c r="C279" s="36"/>
      <c r="D279" s="36"/>
      <c r="E279" s="36"/>
      <c r="F279" s="36"/>
      <c r="G279" s="36"/>
      <c r="H279" s="36"/>
      <c r="I279" s="36"/>
      <c r="J279" s="36"/>
      <c r="K279" s="36"/>
      <c r="L279" s="36"/>
    </row>
    <row r="281" customFormat="false" ht="24" hidden="false" customHeight="true" outlineLevel="0" collapsed="false">
      <c r="A281" s="65" t="s">
        <v>432</v>
      </c>
      <c r="B281" s="65"/>
      <c r="C281" s="65"/>
      <c r="D281" s="65"/>
      <c r="E281" s="65"/>
      <c r="F281" s="65"/>
      <c r="G281" s="65"/>
      <c r="H281" s="65"/>
      <c r="I281" s="65"/>
      <c r="J281" s="65"/>
      <c r="K281" s="65"/>
      <c r="L281" s="65"/>
      <c r="M281" s="65"/>
      <c r="N281" s="65"/>
      <c r="O281" s="65"/>
    </row>
    <row r="282" customFormat="false" ht="27.75" hidden="false" customHeight="true" outlineLevel="0" collapsed="false">
      <c r="B282" s="69" t="s">
        <v>486</v>
      </c>
      <c r="C282" s="69"/>
      <c r="D282" s="69"/>
      <c r="E282" s="70" t="s">
        <v>504</v>
      </c>
      <c r="F282" s="70"/>
      <c r="G282" s="70"/>
      <c r="H282" s="70"/>
      <c r="I282" s="70"/>
      <c r="J282" s="70"/>
      <c r="K282" s="70"/>
      <c r="L282" s="70"/>
      <c r="M282" s="70"/>
      <c r="N282" s="70"/>
      <c r="O282" s="70"/>
    </row>
    <row r="283" customFormat="false" ht="6" hidden="false" customHeight="true" outlineLevel="0" collapsed="false">
      <c r="B283" s="71"/>
      <c r="C283" s="72"/>
      <c r="D283" s="73"/>
      <c r="E283" s="71"/>
      <c r="F283" s="72"/>
      <c r="G283" s="72"/>
      <c r="H283" s="72"/>
      <c r="I283" s="72"/>
      <c r="J283" s="72"/>
      <c r="K283" s="72"/>
      <c r="L283" s="72"/>
      <c r="M283" s="72"/>
      <c r="N283" s="72"/>
      <c r="O283" s="73"/>
    </row>
    <row r="284" customFormat="false" ht="15" hidden="false" customHeight="true" outlineLevel="0" collapsed="false">
      <c r="A284" s="12" t="s">
        <v>275</v>
      </c>
      <c r="B284" s="37" t="n">
        <v>1</v>
      </c>
      <c r="C284" s="37" t="n">
        <v>2</v>
      </c>
      <c r="D284" s="37" t="n">
        <v>3</v>
      </c>
      <c r="E284" s="37" t="n">
        <v>4</v>
      </c>
      <c r="F284" s="37" t="n">
        <v>5</v>
      </c>
      <c r="G284" s="37" t="n">
        <v>6</v>
      </c>
      <c r="H284" s="37" t="n">
        <v>7</v>
      </c>
      <c r="I284" s="37" t="n">
        <v>8</v>
      </c>
      <c r="J284" s="37" t="n">
        <v>9</v>
      </c>
      <c r="K284" s="37" t="n">
        <v>10</v>
      </c>
      <c r="L284" s="37" t="n">
        <v>11</v>
      </c>
      <c r="M284" s="37" t="n">
        <v>12</v>
      </c>
      <c r="N284" s="37" t="n">
        <v>13</v>
      </c>
      <c r="O284" s="37" t="n">
        <v>14</v>
      </c>
    </row>
    <row r="285" customFormat="false" ht="15" hidden="false" customHeight="true" outlineLevel="0" collapsed="false">
      <c r="A285" s="30" t="s">
        <v>447</v>
      </c>
      <c r="B285" s="74" t="n">
        <v>91</v>
      </c>
      <c r="C285" s="74" t="n">
        <v>61</v>
      </c>
      <c r="D285" s="74" t="n">
        <v>54</v>
      </c>
      <c r="E285" s="74" t="n">
        <v>54</v>
      </c>
      <c r="F285" s="74" t="n">
        <v>51</v>
      </c>
      <c r="G285" s="74" t="n">
        <v>25</v>
      </c>
      <c r="H285" s="74" t="n">
        <v>16</v>
      </c>
      <c r="I285" s="74" t="n">
        <v>10</v>
      </c>
      <c r="J285" s="74" t="n">
        <v>8</v>
      </c>
      <c r="K285" s="74" t="n">
        <v>4</v>
      </c>
      <c r="L285" s="74" t="n">
        <v>3</v>
      </c>
      <c r="M285" s="74" t="n">
        <v>0</v>
      </c>
      <c r="N285" s="74" t="n">
        <v>1</v>
      </c>
      <c r="O285" s="74" t="n">
        <v>1</v>
      </c>
    </row>
    <row r="286" customFormat="false" ht="15" hidden="false" customHeight="true" outlineLevel="0" collapsed="false">
      <c r="A286" s="30" t="s">
        <v>488</v>
      </c>
      <c r="B286" s="75" t="n">
        <v>1</v>
      </c>
      <c r="C286" s="75" t="n">
        <v>0.67032967032967</v>
      </c>
      <c r="D286" s="75" t="n">
        <v>0.593406593406593</v>
      </c>
      <c r="E286" s="75" t="n">
        <v>1</v>
      </c>
      <c r="F286" s="75" t="n">
        <v>0.944444444444444</v>
      </c>
      <c r="G286" s="75" t="n">
        <v>0.462962962962963</v>
      </c>
      <c r="H286" s="75" t="n">
        <v>0.296296296296296</v>
      </c>
      <c r="I286" s="75" t="n">
        <v>0.185185185185185</v>
      </c>
      <c r="J286" s="75" t="n">
        <v>0.148148148148148</v>
      </c>
      <c r="K286" s="75" t="n">
        <v>0.0740740740740741</v>
      </c>
      <c r="L286" s="75" t="n">
        <v>0.0555555555555556</v>
      </c>
      <c r="M286" s="75" t="n">
        <v>0</v>
      </c>
      <c r="N286" s="75" t="n">
        <v>0.0185185185185185</v>
      </c>
      <c r="O286" s="75" t="n">
        <v>0.0185185185185185</v>
      </c>
    </row>
    <row r="287" customFormat="false" ht="15" hidden="false" customHeight="true" outlineLevel="0" collapsed="false">
      <c r="A287" s="30" t="s">
        <v>495</v>
      </c>
      <c r="B287" s="74"/>
      <c r="C287" s="74"/>
      <c r="D287" s="76" t="s">
        <v>283</v>
      </c>
      <c r="E287" s="76" t="s">
        <v>283</v>
      </c>
      <c r="F287" s="76" t="s">
        <v>283</v>
      </c>
      <c r="G287" s="76" t="s">
        <v>283</v>
      </c>
      <c r="H287" s="76" t="s">
        <v>283</v>
      </c>
      <c r="I287" s="39" t="s">
        <v>284</v>
      </c>
      <c r="J287" s="76" t="s">
        <v>284</v>
      </c>
      <c r="K287" s="76" t="s">
        <v>284</v>
      </c>
      <c r="L287" s="76" t="s">
        <v>284</v>
      </c>
      <c r="M287" s="76" t="s">
        <v>284</v>
      </c>
      <c r="N287" s="76" t="s">
        <v>284</v>
      </c>
      <c r="O287" s="76" t="s">
        <v>284</v>
      </c>
    </row>
    <row r="288" customFormat="false" ht="15" hidden="false" customHeight="true" outlineLevel="0" collapsed="false">
      <c r="A288" s="34" t="s">
        <v>489</v>
      </c>
      <c r="B288" s="35" t="n">
        <v>0.593406593406593</v>
      </c>
      <c r="C288" s="36"/>
      <c r="D288" s="36"/>
      <c r="E288" s="36"/>
      <c r="F288" s="36"/>
      <c r="G288" s="36"/>
      <c r="H288" s="36"/>
      <c r="I288" s="36"/>
      <c r="J288" s="36"/>
      <c r="K288" s="36"/>
      <c r="L288" s="36"/>
      <c r="M288" s="36"/>
      <c r="N288" s="36"/>
      <c r="O288" s="36"/>
    </row>
    <row r="289" customFormat="false" ht="15" hidden="false" customHeight="true" outlineLevel="0" collapsed="false">
      <c r="A289" s="34" t="s">
        <v>490</v>
      </c>
      <c r="B289" s="35" t="n">
        <v>0.7491263068896</v>
      </c>
      <c r="C289" s="36"/>
      <c r="D289" s="36"/>
      <c r="E289" s="36"/>
      <c r="F289" s="36"/>
      <c r="G289" s="36"/>
      <c r="H289" s="36"/>
      <c r="I289" s="36"/>
      <c r="J289" s="36"/>
      <c r="K289" s="36"/>
      <c r="L289" s="36"/>
      <c r="M289" s="36"/>
      <c r="N289" s="36"/>
      <c r="O289" s="36"/>
    </row>
    <row r="290" customFormat="false" ht="15" hidden="false" customHeight="true" outlineLevel="0" collapsed="false">
      <c r="A290" s="34" t="s">
        <v>492</v>
      </c>
      <c r="B290" s="35" t="n">
        <v>0.44453648980262</v>
      </c>
      <c r="C290" s="36"/>
      <c r="D290" s="36"/>
      <c r="E290" s="36"/>
      <c r="F290" s="36"/>
      <c r="G290" s="36"/>
      <c r="H290" s="36"/>
      <c r="I290" s="36"/>
      <c r="J290" s="36"/>
      <c r="K290" s="36"/>
      <c r="L290" s="36"/>
      <c r="M290" s="36"/>
      <c r="N290" s="36"/>
      <c r="O290" s="36"/>
    </row>
    <row r="292" customFormat="false" ht="24" hidden="false" customHeight="true" outlineLevel="0" collapsed="false">
      <c r="A292" s="65" t="s">
        <v>433</v>
      </c>
      <c r="B292" s="65"/>
      <c r="C292" s="65"/>
      <c r="D292" s="65"/>
      <c r="E292" s="65"/>
      <c r="F292" s="65"/>
      <c r="G292" s="65"/>
      <c r="H292" s="65"/>
      <c r="I292" s="65"/>
      <c r="J292" s="65"/>
      <c r="K292" s="65"/>
      <c r="L292" s="65"/>
      <c r="M292" s="65"/>
      <c r="N292" s="65"/>
    </row>
    <row r="293" customFormat="false" ht="27.75" hidden="false" customHeight="true" outlineLevel="0" collapsed="false">
      <c r="B293" s="69" t="s">
        <v>486</v>
      </c>
      <c r="C293" s="69"/>
      <c r="D293" s="69"/>
      <c r="E293" s="70" t="s">
        <v>497</v>
      </c>
      <c r="F293" s="70"/>
      <c r="G293" s="70"/>
      <c r="H293" s="70"/>
      <c r="I293" s="70"/>
      <c r="J293" s="70"/>
      <c r="K293" s="70"/>
      <c r="L293" s="70"/>
      <c r="M293" s="70"/>
      <c r="N293" s="70"/>
    </row>
    <row r="294" customFormat="false" ht="6" hidden="false" customHeight="true" outlineLevel="0" collapsed="false">
      <c r="B294" s="71"/>
      <c r="C294" s="72"/>
      <c r="D294" s="73"/>
      <c r="E294" s="71"/>
      <c r="F294" s="72"/>
      <c r="G294" s="72"/>
      <c r="H294" s="72"/>
      <c r="I294" s="72"/>
      <c r="J294" s="72"/>
      <c r="K294" s="72"/>
      <c r="L294" s="72"/>
      <c r="M294" s="72"/>
      <c r="N294" s="73"/>
    </row>
    <row r="295" customFormat="false" ht="15" hidden="false" customHeight="true" outlineLevel="0" collapsed="false">
      <c r="A295" s="12" t="s">
        <v>275</v>
      </c>
      <c r="B295" s="37" t="n">
        <v>1</v>
      </c>
      <c r="C295" s="37" t="n">
        <v>2</v>
      </c>
      <c r="D295" s="37" t="n">
        <v>3</v>
      </c>
      <c r="E295" s="37" t="n">
        <v>4</v>
      </c>
      <c r="F295" s="37" t="n">
        <v>5</v>
      </c>
      <c r="G295" s="37" t="n">
        <v>6</v>
      </c>
      <c r="H295" s="37" t="n">
        <v>7</v>
      </c>
      <c r="I295" s="37" t="n">
        <v>8</v>
      </c>
      <c r="J295" s="37" t="n">
        <v>9</v>
      </c>
      <c r="K295" s="37" t="n">
        <v>10</v>
      </c>
      <c r="L295" s="37" t="n">
        <v>11</v>
      </c>
      <c r="M295" s="37" t="n">
        <v>12</v>
      </c>
      <c r="N295" s="37" t="n">
        <v>13</v>
      </c>
    </row>
    <row r="296" customFormat="false" ht="15" hidden="false" customHeight="true" outlineLevel="0" collapsed="false">
      <c r="A296" s="30" t="s">
        <v>447</v>
      </c>
      <c r="B296" s="74" t="n">
        <v>82</v>
      </c>
      <c r="C296" s="74" t="n">
        <v>64</v>
      </c>
      <c r="D296" s="74" t="n">
        <v>54</v>
      </c>
      <c r="E296" s="74" t="n">
        <v>59</v>
      </c>
      <c r="F296" s="74" t="n">
        <v>52</v>
      </c>
      <c r="G296" s="74" t="n">
        <v>30</v>
      </c>
      <c r="H296" s="74" t="n">
        <v>13</v>
      </c>
      <c r="I296" s="74" t="n">
        <v>8</v>
      </c>
      <c r="J296" s="74" t="n">
        <v>7</v>
      </c>
      <c r="K296" s="74" t="n">
        <v>5</v>
      </c>
      <c r="L296" s="74" t="n">
        <v>3</v>
      </c>
      <c r="M296" s="74" t="n">
        <v>2</v>
      </c>
      <c r="N296" s="74" t="n">
        <v>1</v>
      </c>
    </row>
    <row r="297" customFormat="false" ht="15" hidden="false" customHeight="true" outlineLevel="0" collapsed="false">
      <c r="A297" s="30" t="s">
        <v>488</v>
      </c>
      <c r="B297" s="75" t="n">
        <v>1</v>
      </c>
      <c r="C297" s="75" t="n">
        <v>0.780487804878049</v>
      </c>
      <c r="D297" s="75" t="n">
        <v>0.658536585365854</v>
      </c>
      <c r="E297" s="75" t="n">
        <v>1.09259259259259</v>
      </c>
      <c r="F297" s="75" t="n">
        <v>0.962962962962963</v>
      </c>
      <c r="G297" s="75" t="n">
        <v>0.555555555555556</v>
      </c>
      <c r="H297" s="75" t="n">
        <v>0.240740740740741</v>
      </c>
      <c r="I297" s="75" t="n">
        <v>0.148148148148148</v>
      </c>
      <c r="J297" s="75" t="n">
        <v>0.12962962962963</v>
      </c>
      <c r="K297" s="75" t="n">
        <v>0.0925925925925926</v>
      </c>
      <c r="L297" s="75" t="n">
        <v>0.0555555555555556</v>
      </c>
      <c r="M297" s="75" t="n">
        <v>0.037037037037037</v>
      </c>
      <c r="N297" s="75" t="n">
        <v>0.0185185185185185</v>
      </c>
    </row>
    <row r="298" customFormat="false" ht="15" hidden="false" customHeight="true" outlineLevel="0" collapsed="false">
      <c r="A298" s="30" t="s">
        <v>495</v>
      </c>
      <c r="B298" s="74"/>
      <c r="C298" s="74"/>
      <c r="D298" s="76" t="s">
        <v>283</v>
      </c>
      <c r="E298" s="76" t="s">
        <v>283</v>
      </c>
      <c r="F298" s="76" t="s">
        <v>283</v>
      </c>
      <c r="G298" s="76" t="s">
        <v>283</v>
      </c>
      <c r="H298" s="76" t="s">
        <v>283</v>
      </c>
      <c r="I298" s="39" t="s">
        <v>284</v>
      </c>
      <c r="J298" s="76" t="s">
        <v>284</v>
      </c>
      <c r="K298" s="76" t="s">
        <v>284</v>
      </c>
      <c r="L298" s="76" t="s">
        <v>284</v>
      </c>
      <c r="M298" s="76" t="s">
        <v>284</v>
      </c>
      <c r="N298" s="76" t="s">
        <v>284</v>
      </c>
    </row>
    <row r="299" customFormat="false" ht="15" hidden="false" customHeight="true" outlineLevel="0" collapsed="false">
      <c r="A299" s="34" t="s">
        <v>489</v>
      </c>
      <c r="B299" s="35" t="n">
        <v>0.658536585365854</v>
      </c>
      <c r="C299" s="36"/>
      <c r="D299" s="36"/>
      <c r="E299" s="36"/>
      <c r="F299" s="36"/>
      <c r="G299" s="36"/>
      <c r="H299" s="36"/>
      <c r="I299" s="36"/>
      <c r="J299" s="36"/>
      <c r="K299" s="36"/>
      <c r="L299" s="36"/>
      <c r="M299" s="36"/>
      <c r="N299" s="36"/>
    </row>
    <row r="300" customFormat="false" ht="15" hidden="false" customHeight="true" outlineLevel="0" collapsed="false">
      <c r="A300" s="34" t="s">
        <v>490</v>
      </c>
      <c r="B300" s="35" t="n">
        <v>0.804298176756966</v>
      </c>
      <c r="C300" s="36"/>
      <c r="D300" s="36"/>
      <c r="E300" s="36"/>
      <c r="F300" s="36"/>
      <c r="G300" s="36"/>
      <c r="H300" s="36"/>
      <c r="I300" s="36"/>
      <c r="J300" s="36"/>
      <c r="K300" s="36"/>
      <c r="L300" s="36"/>
      <c r="M300" s="36"/>
      <c r="N300" s="36"/>
    </row>
    <row r="301" customFormat="false" ht="15" hidden="false" customHeight="true" outlineLevel="0" collapsed="false">
      <c r="A301" s="34" t="s">
        <v>492</v>
      </c>
      <c r="B301" s="35" t="n">
        <v>0.529659774937514</v>
      </c>
      <c r="C301" s="36"/>
      <c r="D301" s="36"/>
      <c r="E301" s="36"/>
      <c r="F301" s="36"/>
      <c r="G301" s="36"/>
      <c r="H301" s="36"/>
      <c r="I301" s="36"/>
      <c r="J301" s="36"/>
      <c r="K301" s="36"/>
      <c r="L301" s="36"/>
      <c r="M301" s="36"/>
      <c r="N301" s="36"/>
    </row>
    <row r="303" customFormat="false" ht="24" hidden="false" customHeight="true" outlineLevel="0" collapsed="false">
      <c r="A303" s="65" t="s">
        <v>434</v>
      </c>
      <c r="B303" s="65"/>
      <c r="C303" s="65"/>
      <c r="D303" s="65"/>
      <c r="E303" s="65"/>
      <c r="F303" s="65"/>
      <c r="G303" s="65"/>
      <c r="H303" s="65"/>
      <c r="I303" s="65"/>
      <c r="J303" s="65"/>
      <c r="K303" s="65"/>
    </row>
    <row r="304" customFormat="false" ht="27.75" hidden="false" customHeight="true" outlineLevel="0" collapsed="false">
      <c r="B304" s="69" t="s">
        <v>486</v>
      </c>
      <c r="C304" s="69"/>
      <c r="D304" s="69"/>
      <c r="E304" s="70" t="s">
        <v>502</v>
      </c>
      <c r="F304" s="70"/>
      <c r="G304" s="70"/>
      <c r="H304" s="70"/>
      <c r="I304" s="70"/>
      <c r="J304" s="70"/>
      <c r="K304" s="70"/>
    </row>
    <row r="305" customFormat="false" ht="6" hidden="false" customHeight="true" outlineLevel="0" collapsed="false">
      <c r="B305" s="71"/>
      <c r="C305" s="72"/>
      <c r="D305" s="73"/>
      <c r="E305" s="71"/>
      <c r="F305" s="72"/>
      <c r="G305" s="72"/>
      <c r="H305" s="72"/>
      <c r="I305" s="72"/>
      <c r="J305" s="72"/>
      <c r="K305" s="73"/>
    </row>
    <row r="306" customFormat="false" ht="15" hidden="false" customHeight="true" outlineLevel="0" collapsed="false">
      <c r="A306" s="12" t="s">
        <v>275</v>
      </c>
      <c r="B306" s="37" t="n">
        <v>1</v>
      </c>
      <c r="C306" s="37" t="n">
        <v>2</v>
      </c>
      <c r="D306" s="37" t="n">
        <v>3</v>
      </c>
      <c r="E306" s="37" t="n">
        <v>4</v>
      </c>
      <c r="F306" s="37" t="n">
        <v>5</v>
      </c>
      <c r="G306" s="37" t="n">
        <v>6</v>
      </c>
      <c r="H306" s="37" t="n">
        <v>7</v>
      </c>
      <c r="I306" s="37" t="n">
        <v>8</v>
      </c>
      <c r="J306" s="37" t="n">
        <v>9</v>
      </c>
      <c r="K306" s="37" t="n">
        <v>10</v>
      </c>
    </row>
    <row r="307" customFormat="false" ht="15" hidden="false" customHeight="true" outlineLevel="0" collapsed="false">
      <c r="A307" s="30" t="s">
        <v>447</v>
      </c>
      <c r="B307" s="74" t="n">
        <v>88</v>
      </c>
      <c r="C307" s="74" t="n">
        <v>78</v>
      </c>
      <c r="D307" s="74" t="n">
        <v>72</v>
      </c>
      <c r="E307" s="74" t="n">
        <v>71</v>
      </c>
      <c r="F307" s="74" t="n">
        <v>10</v>
      </c>
      <c r="G307" s="74" t="n">
        <v>8</v>
      </c>
      <c r="H307" s="74" t="n">
        <v>4</v>
      </c>
      <c r="I307" s="74" t="n">
        <v>0</v>
      </c>
      <c r="J307" s="74" t="n">
        <v>1</v>
      </c>
      <c r="K307" s="74" t="n">
        <v>1</v>
      </c>
    </row>
    <row r="308" customFormat="false" ht="15" hidden="false" customHeight="true" outlineLevel="0" collapsed="false">
      <c r="A308" s="30" t="s">
        <v>488</v>
      </c>
      <c r="B308" s="75" t="n">
        <v>1</v>
      </c>
      <c r="C308" s="75" t="n">
        <v>0.886363636363636</v>
      </c>
      <c r="D308" s="75" t="n">
        <v>0.818181818181818</v>
      </c>
      <c r="E308" s="75" t="n">
        <v>0.986111111111111</v>
      </c>
      <c r="F308" s="75" t="n">
        <v>0.138888888888889</v>
      </c>
      <c r="G308" s="75" t="n">
        <v>0.111111111111111</v>
      </c>
      <c r="H308" s="75" t="n">
        <v>0.0555555555555556</v>
      </c>
      <c r="I308" s="75" t="n">
        <v>0</v>
      </c>
      <c r="J308" s="75" t="n">
        <v>0.0138888888888889</v>
      </c>
      <c r="K308" s="75" t="n">
        <v>0.0138888888888889</v>
      </c>
    </row>
    <row r="309" customFormat="false" ht="15" hidden="false" customHeight="true" outlineLevel="0" collapsed="false">
      <c r="A309" s="30" t="s">
        <v>495</v>
      </c>
      <c r="B309" s="74"/>
      <c r="C309" s="74"/>
      <c r="D309" s="76" t="s">
        <v>283</v>
      </c>
      <c r="E309" s="76" t="s">
        <v>283</v>
      </c>
      <c r="F309" s="39" t="s">
        <v>284</v>
      </c>
      <c r="G309" s="76" t="s">
        <v>284</v>
      </c>
      <c r="H309" s="76" t="s">
        <v>284</v>
      </c>
      <c r="I309" s="76" t="s">
        <v>284</v>
      </c>
      <c r="J309" s="76" t="s">
        <v>284</v>
      </c>
      <c r="K309" s="76" t="s">
        <v>284</v>
      </c>
    </row>
    <row r="310" customFormat="false" ht="15" hidden="false" customHeight="true" outlineLevel="0" collapsed="false">
      <c r="A310" s="34" t="s">
        <v>489</v>
      </c>
      <c r="B310" s="35" t="n">
        <v>0.818181818181818</v>
      </c>
      <c r="C310" s="36"/>
      <c r="D310" s="36"/>
      <c r="E310" s="36"/>
      <c r="F310" s="36"/>
      <c r="G310" s="36"/>
      <c r="H310" s="36"/>
      <c r="I310" s="36"/>
      <c r="J310" s="36"/>
      <c r="K310" s="36"/>
    </row>
    <row r="311" customFormat="false" ht="15" hidden="false" customHeight="true" outlineLevel="0" collapsed="false">
      <c r="A311" s="34" t="s">
        <v>490</v>
      </c>
      <c r="B311" s="35" t="n">
        <v>0.993058433485288</v>
      </c>
      <c r="C311" s="36"/>
      <c r="D311" s="36"/>
      <c r="E311" s="36"/>
      <c r="F311" s="36"/>
      <c r="G311" s="36"/>
      <c r="H311" s="36"/>
      <c r="I311" s="36"/>
      <c r="J311" s="36"/>
      <c r="K311" s="36"/>
    </row>
    <row r="312" customFormat="false" ht="15" hidden="false" customHeight="true" outlineLevel="0" collapsed="false">
      <c r="A312" s="34" t="s">
        <v>492</v>
      </c>
      <c r="B312" s="35" t="n">
        <v>0.812502354669781</v>
      </c>
      <c r="C312" s="36"/>
      <c r="D312" s="36"/>
      <c r="E312" s="36"/>
      <c r="F312" s="36"/>
      <c r="G312" s="36"/>
      <c r="H312" s="36"/>
      <c r="I312" s="36"/>
      <c r="J312" s="36"/>
      <c r="K312" s="36"/>
    </row>
    <row r="314" customFormat="false" ht="24" hidden="false" customHeight="true" outlineLevel="0" collapsed="false">
      <c r="A314" s="65" t="s">
        <v>435</v>
      </c>
      <c r="B314" s="65"/>
      <c r="C314" s="65"/>
      <c r="D314" s="65"/>
      <c r="E314" s="65"/>
      <c r="F314" s="65"/>
      <c r="G314" s="65"/>
      <c r="H314" s="65"/>
      <c r="I314" s="65"/>
    </row>
    <row r="315" customFormat="false" ht="27.75" hidden="false" customHeight="true" outlineLevel="0" collapsed="false">
      <c r="B315" s="69" t="s">
        <v>486</v>
      </c>
      <c r="C315" s="69"/>
      <c r="D315" s="69"/>
      <c r="E315" s="70" t="s">
        <v>505</v>
      </c>
      <c r="F315" s="70"/>
      <c r="G315" s="70"/>
      <c r="H315" s="70"/>
      <c r="I315" s="70"/>
    </row>
    <row r="316" customFormat="false" ht="6" hidden="false" customHeight="true" outlineLevel="0" collapsed="false">
      <c r="B316" s="71"/>
      <c r="C316" s="72"/>
      <c r="D316" s="73"/>
      <c r="E316" s="71"/>
      <c r="F316" s="72"/>
      <c r="G316" s="72"/>
      <c r="H316" s="72"/>
      <c r="I316" s="73"/>
    </row>
    <row r="317" customFormat="false" ht="15" hidden="false" customHeight="true" outlineLevel="0" collapsed="false">
      <c r="A317" s="12" t="s">
        <v>275</v>
      </c>
      <c r="B317" s="37" t="n">
        <v>1</v>
      </c>
      <c r="C317" s="37" t="n">
        <v>2</v>
      </c>
      <c r="D317" s="37" t="n">
        <v>3</v>
      </c>
      <c r="E317" s="37" t="n">
        <v>4</v>
      </c>
      <c r="F317" s="37" t="n">
        <v>5</v>
      </c>
      <c r="G317" s="37" t="n">
        <v>6</v>
      </c>
      <c r="H317" s="37" t="n">
        <v>7</v>
      </c>
      <c r="I317" s="37" t="n">
        <v>8</v>
      </c>
    </row>
    <row r="318" customFormat="false" ht="15" hidden="false" customHeight="true" outlineLevel="0" collapsed="false">
      <c r="A318" s="30" t="s">
        <v>447</v>
      </c>
      <c r="B318" s="74" t="n">
        <v>26</v>
      </c>
      <c r="C318" s="74" t="n">
        <v>18</v>
      </c>
      <c r="D318" s="74" t="n">
        <v>16</v>
      </c>
      <c r="E318" s="74" t="n">
        <v>14</v>
      </c>
      <c r="F318" s="74" t="n">
        <v>14</v>
      </c>
      <c r="G318" s="74" t="n">
        <v>1</v>
      </c>
      <c r="H318" s="74" t="n">
        <v>2</v>
      </c>
      <c r="I318" s="74" t="n">
        <v>1</v>
      </c>
    </row>
    <row r="319" customFormat="false" ht="15" hidden="false" customHeight="true" outlineLevel="0" collapsed="false">
      <c r="A319" s="30" t="s">
        <v>488</v>
      </c>
      <c r="B319" s="75" t="n">
        <v>1</v>
      </c>
      <c r="C319" s="75" t="n">
        <v>0.692307692307692</v>
      </c>
      <c r="D319" s="75" t="n">
        <v>0.615384615384615</v>
      </c>
      <c r="E319" s="75" t="n">
        <v>0.875</v>
      </c>
      <c r="F319" s="75" t="n">
        <v>0.875</v>
      </c>
      <c r="G319" s="75" t="n">
        <v>0.0625</v>
      </c>
      <c r="H319" s="75" t="n">
        <v>0.125</v>
      </c>
      <c r="I319" s="75" t="n">
        <v>0.0625</v>
      </c>
    </row>
    <row r="320" customFormat="false" ht="15" hidden="false" customHeight="true" outlineLevel="0" collapsed="false">
      <c r="A320" s="30" t="s">
        <v>495</v>
      </c>
      <c r="B320" s="74"/>
      <c r="C320" s="74"/>
      <c r="D320" s="76" t="s">
        <v>283</v>
      </c>
      <c r="E320" s="76" t="s">
        <v>283</v>
      </c>
      <c r="F320" s="76" t="s">
        <v>283</v>
      </c>
      <c r="G320" s="39" t="s">
        <v>284</v>
      </c>
      <c r="H320" s="76" t="s">
        <v>284</v>
      </c>
      <c r="I320" s="76" t="s">
        <v>284</v>
      </c>
    </row>
    <row r="321" customFormat="false" ht="15" hidden="false" customHeight="true" outlineLevel="0" collapsed="false">
      <c r="A321" s="34" t="s">
        <v>489</v>
      </c>
      <c r="B321" s="35" t="n">
        <v>0.615384615384615</v>
      </c>
      <c r="C321" s="36"/>
      <c r="D321" s="36"/>
      <c r="E321" s="36"/>
      <c r="F321" s="36"/>
      <c r="G321" s="36"/>
      <c r="H321" s="36"/>
      <c r="I321" s="36"/>
    </row>
    <row r="322" customFormat="false" ht="15" hidden="false" customHeight="true" outlineLevel="0" collapsed="false">
      <c r="A322" s="34" t="s">
        <v>490</v>
      </c>
      <c r="B322" s="35" t="n">
        <v>0.91496062992126</v>
      </c>
      <c r="C322" s="36"/>
      <c r="D322" s="36"/>
      <c r="E322" s="36"/>
      <c r="F322" s="36"/>
      <c r="G322" s="36"/>
      <c r="H322" s="36"/>
      <c r="I322" s="36"/>
    </row>
    <row r="323" customFormat="false" ht="15" hidden="false" customHeight="true" outlineLevel="0" collapsed="false">
      <c r="A323" s="34" t="s">
        <v>492</v>
      </c>
      <c r="B323" s="35" t="n">
        <v>0.56305269533616</v>
      </c>
      <c r="C323" s="36"/>
      <c r="D323" s="36"/>
      <c r="E323" s="36"/>
      <c r="F323" s="36"/>
      <c r="G323" s="36"/>
      <c r="H323" s="36"/>
      <c r="I323" s="36"/>
    </row>
    <row r="325" customFormat="false" ht="24" hidden="false" customHeight="true" outlineLevel="0" collapsed="false">
      <c r="A325" s="65" t="s">
        <v>436</v>
      </c>
      <c r="B325" s="65"/>
      <c r="C325" s="65"/>
      <c r="D325" s="65"/>
      <c r="E325" s="65"/>
      <c r="F325" s="65"/>
      <c r="G325" s="65"/>
      <c r="H325" s="65"/>
    </row>
    <row r="326" customFormat="false" ht="27.75" hidden="false" customHeight="true" outlineLevel="0" collapsed="false">
      <c r="B326" s="69" t="s">
        <v>486</v>
      </c>
      <c r="C326" s="69"/>
      <c r="D326" s="69"/>
      <c r="E326" s="70" t="s">
        <v>503</v>
      </c>
      <c r="F326" s="70"/>
      <c r="G326" s="70"/>
      <c r="H326" s="70"/>
    </row>
    <row r="327" customFormat="false" ht="6" hidden="false" customHeight="true" outlineLevel="0" collapsed="false">
      <c r="B327" s="71"/>
      <c r="C327" s="72"/>
      <c r="D327" s="73"/>
      <c r="E327" s="71"/>
      <c r="F327" s="72"/>
      <c r="G327" s="72"/>
      <c r="H327" s="73"/>
    </row>
    <row r="328" customFormat="false" ht="15" hidden="false" customHeight="true" outlineLevel="0" collapsed="false">
      <c r="A328" s="12" t="s">
        <v>275</v>
      </c>
      <c r="B328" s="37" t="n">
        <v>1</v>
      </c>
      <c r="C328" s="37" t="n">
        <v>2</v>
      </c>
      <c r="D328" s="37" t="n">
        <v>3</v>
      </c>
      <c r="E328" s="37" t="n">
        <v>4</v>
      </c>
      <c r="F328" s="37" t="n">
        <v>5</v>
      </c>
      <c r="G328" s="37" t="n">
        <v>6</v>
      </c>
      <c r="H328" s="37" t="n">
        <v>7</v>
      </c>
    </row>
    <row r="329" customFormat="false" ht="15" hidden="false" customHeight="true" outlineLevel="0" collapsed="false">
      <c r="A329" s="30" t="s">
        <v>447</v>
      </c>
      <c r="B329" s="74" t="n">
        <v>20</v>
      </c>
      <c r="C329" s="74" t="n">
        <v>13</v>
      </c>
      <c r="D329" s="74" t="n">
        <v>15</v>
      </c>
      <c r="E329" s="74" t="n">
        <v>14</v>
      </c>
      <c r="F329" s="74" t="n">
        <v>1</v>
      </c>
      <c r="G329" s="74" t="n">
        <v>1</v>
      </c>
      <c r="H329" s="74" t="n">
        <v>0</v>
      </c>
    </row>
    <row r="330" customFormat="false" ht="15" hidden="false" customHeight="true" outlineLevel="0" collapsed="false">
      <c r="A330" s="30" t="s">
        <v>488</v>
      </c>
      <c r="B330" s="75" t="n">
        <v>1</v>
      </c>
      <c r="C330" s="75" t="n">
        <v>0.65</v>
      </c>
      <c r="D330" s="75" t="n">
        <v>0.75</v>
      </c>
      <c r="E330" s="75" t="n">
        <v>0.933333333333333</v>
      </c>
      <c r="F330" s="75" t="n">
        <v>0.0666666666666667</v>
      </c>
      <c r="G330" s="75" t="n">
        <v>0.0666666666666667</v>
      </c>
      <c r="H330" s="75" t="n">
        <v>0</v>
      </c>
    </row>
    <row r="331" customFormat="false" ht="15" hidden="false" customHeight="true" outlineLevel="0" collapsed="false">
      <c r="A331" s="30" t="s">
        <v>495</v>
      </c>
      <c r="B331" s="74"/>
      <c r="C331" s="74"/>
      <c r="D331" s="76" t="s">
        <v>283</v>
      </c>
      <c r="E331" s="76" t="s">
        <v>283</v>
      </c>
      <c r="F331" s="39" t="s">
        <v>284</v>
      </c>
      <c r="G331" s="76" t="s">
        <v>284</v>
      </c>
      <c r="H331" s="76" t="s">
        <v>284</v>
      </c>
    </row>
    <row r="332" customFormat="false" ht="15" hidden="false" customHeight="true" outlineLevel="0" collapsed="false">
      <c r="A332" s="34" t="s">
        <v>489</v>
      </c>
      <c r="B332" s="35" t="n">
        <v>0.75</v>
      </c>
      <c r="C332" s="36"/>
      <c r="D332" s="36"/>
      <c r="E332" s="36"/>
      <c r="F332" s="36"/>
      <c r="G332" s="36"/>
      <c r="H332" s="36"/>
    </row>
    <row r="333" customFormat="false" ht="15" hidden="false" customHeight="true" outlineLevel="0" collapsed="false">
      <c r="A333" s="34" t="s">
        <v>490</v>
      </c>
      <c r="B333" s="35" t="n">
        <v>0.971043771043771</v>
      </c>
      <c r="C333" s="36"/>
      <c r="D333" s="36"/>
      <c r="E333" s="36"/>
      <c r="F333" s="36"/>
      <c r="G333" s="36"/>
      <c r="H333" s="36"/>
    </row>
    <row r="334" customFormat="false" ht="15" hidden="false" customHeight="true" outlineLevel="0" collapsed="false">
      <c r="A334" s="34" t="s">
        <v>492</v>
      </c>
      <c r="B334" s="35" t="n">
        <v>0.728282828282828</v>
      </c>
      <c r="C334" s="36"/>
      <c r="D334" s="36"/>
      <c r="E334" s="36"/>
      <c r="F334" s="36"/>
      <c r="G334" s="36"/>
      <c r="H334" s="36"/>
    </row>
    <row r="336" customFormat="false" ht="24" hidden="false" customHeight="true" outlineLevel="0" collapsed="false">
      <c r="A336" s="65" t="s">
        <v>437</v>
      </c>
      <c r="B336" s="65"/>
      <c r="C336" s="65"/>
      <c r="D336" s="65"/>
      <c r="E336" s="65"/>
      <c r="F336" s="65"/>
      <c r="G336" s="65"/>
      <c r="H336" s="65"/>
      <c r="I336" s="65"/>
      <c r="J336" s="65"/>
      <c r="K336" s="65"/>
      <c r="L336" s="65"/>
      <c r="M336" s="65"/>
      <c r="N336" s="65"/>
      <c r="O336" s="65"/>
      <c r="P336" s="65"/>
      <c r="Q336" s="65"/>
      <c r="R336" s="65"/>
      <c r="S336" s="65"/>
    </row>
    <row r="337" customFormat="false" ht="27.75" hidden="false" customHeight="true" outlineLevel="0" collapsed="false">
      <c r="B337" s="69" t="s">
        <v>486</v>
      </c>
      <c r="C337" s="69"/>
      <c r="D337" s="69"/>
      <c r="E337" s="70" t="s">
        <v>487</v>
      </c>
      <c r="F337" s="70"/>
      <c r="G337" s="70"/>
      <c r="H337" s="70"/>
      <c r="I337" s="70"/>
      <c r="J337" s="70"/>
      <c r="K337" s="70"/>
      <c r="L337" s="70"/>
      <c r="M337" s="70"/>
      <c r="N337" s="70"/>
      <c r="O337" s="70"/>
      <c r="P337" s="70"/>
      <c r="Q337" s="70"/>
      <c r="R337" s="70"/>
      <c r="S337" s="70"/>
    </row>
    <row r="338" customFormat="false" ht="6" hidden="false" customHeight="true" outlineLevel="0" collapsed="false">
      <c r="B338" s="71"/>
      <c r="C338" s="72"/>
      <c r="D338" s="73"/>
      <c r="E338" s="71"/>
      <c r="F338" s="72"/>
      <c r="G338" s="72"/>
      <c r="H338" s="72"/>
      <c r="I338" s="72"/>
      <c r="J338" s="72"/>
      <c r="K338" s="72"/>
      <c r="L338" s="72"/>
      <c r="M338" s="72"/>
      <c r="N338" s="72"/>
      <c r="O338" s="72"/>
      <c r="P338" s="72"/>
      <c r="Q338" s="72"/>
      <c r="R338" s="72"/>
      <c r="S338" s="73"/>
    </row>
    <row r="339" customFormat="false" ht="15" hidden="false" customHeight="true" outlineLevel="0" collapsed="false">
      <c r="A339" s="12" t="s">
        <v>275</v>
      </c>
      <c r="B339" s="37" t="n">
        <v>1</v>
      </c>
      <c r="C339" s="37" t="n">
        <v>2</v>
      </c>
      <c r="D339" s="37" t="n">
        <v>3</v>
      </c>
      <c r="E339" s="37" t="n">
        <v>4</v>
      </c>
      <c r="F339" s="37" t="n">
        <v>5</v>
      </c>
      <c r="G339" s="37" t="n">
        <v>6</v>
      </c>
      <c r="H339" s="37" t="n">
        <v>7</v>
      </c>
      <c r="I339" s="37" t="n">
        <v>8</v>
      </c>
      <c r="J339" s="37" t="n">
        <v>9</v>
      </c>
      <c r="K339" s="37" t="n">
        <v>10</v>
      </c>
      <c r="L339" s="37" t="n">
        <v>11</v>
      </c>
      <c r="M339" s="37" t="n">
        <v>12</v>
      </c>
      <c r="N339" s="37" t="n">
        <v>13</v>
      </c>
      <c r="O339" s="37" t="n">
        <v>14</v>
      </c>
      <c r="P339" s="37" t="n">
        <v>15</v>
      </c>
      <c r="Q339" s="37" t="n">
        <v>16</v>
      </c>
      <c r="R339" s="37" t="n">
        <v>17</v>
      </c>
      <c r="S339" s="37" t="n">
        <v>18</v>
      </c>
    </row>
    <row r="340" customFormat="false" ht="15" hidden="false" customHeight="true" outlineLevel="0" collapsed="false">
      <c r="A340" s="30" t="s">
        <v>447</v>
      </c>
      <c r="B340" s="74" t="n">
        <v>771</v>
      </c>
      <c r="C340" s="74" t="n">
        <v>673</v>
      </c>
      <c r="D340" s="74" t="n">
        <v>595</v>
      </c>
      <c r="E340" s="74" t="n">
        <v>600</v>
      </c>
      <c r="F340" s="74" t="n">
        <v>556</v>
      </c>
      <c r="G340" s="74" t="n">
        <v>551</v>
      </c>
      <c r="H340" s="74" t="n">
        <v>539</v>
      </c>
      <c r="I340" s="74" t="n">
        <v>269</v>
      </c>
      <c r="J340" s="74" t="n">
        <v>197</v>
      </c>
      <c r="K340" s="74" t="n">
        <v>84</v>
      </c>
      <c r="L340" s="74" t="n">
        <v>33</v>
      </c>
      <c r="M340" s="74" t="n">
        <v>22</v>
      </c>
      <c r="N340" s="74" t="n">
        <v>10</v>
      </c>
      <c r="O340" s="74" t="n">
        <v>4</v>
      </c>
      <c r="P340" s="74" t="n">
        <v>5</v>
      </c>
      <c r="Q340" s="74" t="n">
        <v>2</v>
      </c>
      <c r="R340" s="74" t="n">
        <v>2</v>
      </c>
      <c r="S340" s="74" t="n">
        <v>2</v>
      </c>
    </row>
    <row r="341" customFormat="false" ht="15" hidden="false" customHeight="true" outlineLevel="0" collapsed="false">
      <c r="A341" s="30" t="s">
        <v>488</v>
      </c>
      <c r="B341" s="75" t="n">
        <v>1</v>
      </c>
      <c r="C341" s="75" t="n">
        <v>0.872892347600519</v>
      </c>
      <c r="D341" s="75" t="n">
        <v>0.771725032425422</v>
      </c>
      <c r="E341" s="75" t="n">
        <v>1.00840336134454</v>
      </c>
      <c r="F341" s="75" t="n">
        <v>0.934453781512605</v>
      </c>
      <c r="G341" s="75" t="n">
        <v>0.926050420168067</v>
      </c>
      <c r="H341" s="75" t="n">
        <v>0.905882352941177</v>
      </c>
      <c r="I341" s="75" t="n">
        <v>0.452100840336135</v>
      </c>
      <c r="J341" s="75" t="n">
        <v>0.33109243697479</v>
      </c>
      <c r="K341" s="75" t="n">
        <v>0.141176470588235</v>
      </c>
      <c r="L341" s="75" t="n">
        <v>0.0554621848739496</v>
      </c>
      <c r="M341" s="75" t="n">
        <v>0.0369747899159664</v>
      </c>
      <c r="N341" s="75" t="n">
        <v>0.0168067226890756</v>
      </c>
      <c r="O341" s="75" t="n">
        <v>0.00672268907563025</v>
      </c>
      <c r="P341" s="75" t="n">
        <v>0.00840336134453782</v>
      </c>
      <c r="Q341" s="75" t="n">
        <v>0.00336134453781513</v>
      </c>
      <c r="R341" s="75" t="n">
        <v>0.00336134453781513</v>
      </c>
      <c r="S341" s="75" t="n">
        <v>0.00336134453781513</v>
      </c>
    </row>
    <row r="342" customFormat="false" ht="15" hidden="false" customHeight="true" outlineLevel="0" collapsed="false">
      <c r="A342" s="30" t="s">
        <v>495</v>
      </c>
      <c r="B342" s="74"/>
      <c r="C342" s="74"/>
      <c r="D342" s="76" t="s">
        <v>283</v>
      </c>
      <c r="E342" s="76" t="s">
        <v>283</v>
      </c>
      <c r="F342" s="76" t="s">
        <v>283</v>
      </c>
      <c r="G342" s="76" t="s">
        <v>283</v>
      </c>
      <c r="H342" s="76" t="s">
        <v>283</v>
      </c>
      <c r="I342" s="76" t="s">
        <v>283</v>
      </c>
      <c r="J342" s="76" t="s">
        <v>283</v>
      </c>
      <c r="K342" s="39" t="s">
        <v>284</v>
      </c>
      <c r="L342" s="76" t="s">
        <v>284</v>
      </c>
      <c r="M342" s="76" t="s">
        <v>284</v>
      </c>
      <c r="N342" s="76" t="s">
        <v>284</v>
      </c>
      <c r="O342" s="76" t="s">
        <v>284</v>
      </c>
      <c r="P342" s="76" t="s">
        <v>284</v>
      </c>
      <c r="Q342" s="76" t="s">
        <v>284</v>
      </c>
      <c r="R342" s="76" t="s">
        <v>284</v>
      </c>
      <c r="S342" s="76" t="s">
        <v>284</v>
      </c>
    </row>
    <row r="343" customFormat="false" ht="15" hidden="false" customHeight="true" outlineLevel="0" collapsed="false">
      <c r="A343" s="34" t="s">
        <v>489</v>
      </c>
      <c r="B343" s="35" t="n">
        <v>0.771725032425422</v>
      </c>
      <c r="C343" s="36"/>
      <c r="D343" s="36"/>
      <c r="E343" s="36"/>
      <c r="F343" s="36"/>
      <c r="G343" s="36"/>
      <c r="H343" s="36"/>
      <c r="I343" s="36"/>
      <c r="J343" s="36"/>
      <c r="K343" s="36"/>
      <c r="L343" s="36"/>
      <c r="M343" s="36"/>
      <c r="N343" s="36"/>
      <c r="O343" s="36"/>
      <c r="P343" s="36"/>
      <c r="Q343" s="36"/>
      <c r="R343" s="36"/>
      <c r="S343" s="36"/>
    </row>
    <row r="344" customFormat="false" ht="15" hidden="false" customHeight="true" outlineLevel="0" collapsed="false">
      <c r="A344" s="34" t="s">
        <v>490</v>
      </c>
      <c r="B344" s="35" t="n">
        <v>0.800105429554114</v>
      </c>
      <c r="C344" s="36"/>
      <c r="D344" s="36"/>
      <c r="E344" s="36"/>
      <c r="F344" s="36"/>
      <c r="G344" s="36"/>
      <c r="H344" s="36"/>
      <c r="I344" s="36"/>
      <c r="J344" s="36"/>
      <c r="K344" s="36"/>
      <c r="L344" s="36"/>
      <c r="M344" s="36"/>
      <c r="N344" s="36"/>
      <c r="O344" s="36"/>
      <c r="P344" s="36"/>
      <c r="Q344" s="36"/>
      <c r="R344" s="36"/>
      <c r="S344" s="36"/>
    </row>
    <row r="345" customFormat="false" ht="15" hidden="false" customHeight="true" outlineLevel="0" collapsed="false">
      <c r="A345" s="34" t="s">
        <v>492</v>
      </c>
      <c r="B345" s="35" t="n">
        <v>0.617461388566404</v>
      </c>
      <c r="C345" s="36"/>
      <c r="D345" s="36"/>
      <c r="E345" s="36"/>
      <c r="F345" s="36"/>
      <c r="G345" s="36"/>
      <c r="H345" s="36"/>
      <c r="I345" s="36"/>
      <c r="J345" s="36"/>
      <c r="K345" s="36"/>
      <c r="L345" s="36"/>
      <c r="M345" s="36"/>
      <c r="N345" s="36"/>
      <c r="O345" s="36"/>
      <c r="P345" s="36"/>
      <c r="Q345" s="36"/>
      <c r="R345" s="36"/>
      <c r="S345" s="36"/>
    </row>
    <row r="347" customFormat="false" ht="24" hidden="false" customHeight="true" outlineLevel="0" collapsed="false">
      <c r="A347" s="65" t="s">
        <v>438</v>
      </c>
      <c r="B347" s="65"/>
      <c r="C347" s="65"/>
      <c r="D347" s="65"/>
      <c r="E347" s="65"/>
      <c r="F347" s="65"/>
      <c r="G347" s="65"/>
      <c r="H347" s="65"/>
    </row>
    <row r="348" customFormat="false" ht="15" hidden="false" customHeight="true" outlineLevel="0" collapsed="false">
      <c r="A348" s="29" t="s">
        <v>272</v>
      </c>
      <c r="B348" s="29"/>
      <c r="C348" s="29"/>
      <c r="D348" s="29"/>
      <c r="E348" s="29"/>
      <c r="F348" s="29"/>
      <c r="G348" s="29"/>
      <c r="H348" s="29"/>
    </row>
    <row r="350" customFormat="false" ht="24" hidden="false" customHeight="true" outlineLevel="0" collapsed="false">
      <c r="A350" s="65" t="s">
        <v>439</v>
      </c>
      <c r="B350" s="65"/>
      <c r="C350" s="65"/>
      <c r="D350" s="65"/>
      <c r="E350" s="65"/>
      <c r="F350" s="65"/>
      <c r="G350" s="65"/>
      <c r="H350" s="65"/>
    </row>
    <row r="351" customFormat="false" ht="27.75" hidden="false" customHeight="true" outlineLevel="0" collapsed="false">
      <c r="B351" s="69" t="s">
        <v>486</v>
      </c>
      <c r="C351" s="69"/>
      <c r="D351" s="69"/>
      <c r="E351" s="77" t="s">
        <v>506</v>
      </c>
    </row>
    <row r="352" customFormat="false" ht="6" hidden="false" customHeight="true" outlineLevel="0" collapsed="false">
      <c r="B352" s="71"/>
      <c r="C352" s="72"/>
      <c r="D352" s="73"/>
      <c r="E352" s="78"/>
    </row>
    <row r="353" customFormat="false" ht="15" hidden="false" customHeight="true" outlineLevel="0" collapsed="false">
      <c r="A353" s="12" t="s">
        <v>275</v>
      </c>
      <c r="B353" s="37" t="n">
        <v>1</v>
      </c>
      <c r="C353" s="37" t="n">
        <v>2</v>
      </c>
      <c r="D353" s="37" t="n">
        <v>3</v>
      </c>
      <c r="E353" s="37" t="n">
        <v>4</v>
      </c>
      <c r="F353" s="12"/>
      <c r="G353" s="12"/>
      <c r="H353" s="12"/>
    </row>
    <row r="354" customFormat="false" ht="15" hidden="false" customHeight="true" outlineLevel="0" collapsed="false">
      <c r="A354" s="30" t="s">
        <v>447</v>
      </c>
      <c r="B354" s="74" t="n">
        <v>9</v>
      </c>
      <c r="C354" s="74" t="n">
        <v>4</v>
      </c>
      <c r="D354" s="74" t="n">
        <v>4</v>
      </c>
      <c r="E354" s="74" t="n">
        <v>4</v>
      </c>
      <c r="F354" s="32"/>
      <c r="G354" s="32"/>
      <c r="H354" s="32"/>
    </row>
    <row r="355" customFormat="false" ht="15" hidden="false" customHeight="true" outlineLevel="0" collapsed="false">
      <c r="A355" s="30" t="s">
        <v>488</v>
      </c>
      <c r="B355" s="75" t="n">
        <v>1</v>
      </c>
      <c r="C355" s="75" t="n">
        <v>0.444444444444444</v>
      </c>
      <c r="D355" s="75" t="n">
        <v>0.444444444444444</v>
      </c>
      <c r="E355" s="75" t="n">
        <v>1</v>
      </c>
      <c r="F355" s="32"/>
      <c r="G355" s="32"/>
      <c r="H355" s="32"/>
    </row>
    <row r="356" customFormat="false" ht="15" hidden="false" customHeight="true" outlineLevel="0" collapsed="false">
      <c r="A356" s="30" t="s">
        <v>495</v>
      </c>
      <c r="B356" s="74"/>
      <c r="C356" s="74"/>
      <c r="D356" s="76" t="s">
        <v>283</v>
      </c>
      <c r="E356" s="76" t="s">
        <v>283</v>
      </c>
      <c r="F356" s="32"/>
      <c r="G356" s="32"/>
      <c r="H356" s="32"/>
    </row>
    <row r="357" customFormat="false" ht="15" hidden="false" customHeight="true" outlineLevel="0" collapsed="false">
      <c r="A357" s="34" t="s">
        <v>489</v>
      </c>
      <c r="B357" s="35" t="n">
        <v>0.444444444444444</v>
      </c>
      <c r="C357" s="36"/>
      <c r="D357" s="36"/>
      <c r="E357" s="36"/>
      <c r="F357" s="36"/>
      <c r="G357" s="36"/>
      <c r="H357" s="36"/>
    </row>
    <row r="358" customFormat="false" ht="15" hidden="false" customHeight="true" outlineLevel="0" collapsed="false">
      <c r="A358" s="34" t="s">
        <v>490</v>
      </c>
      <c r="B358" s="35" t="n">
        <v>1</v>
      </c>
      <c r="C358" s="36"/>
      <c r="D358" s="36"/>
      <c r="E358" s="36"/>
      <c r="F358" s="36"/>
      <c r="G358" s="36"/>
      <c r="H358" s="36"/>
    </row>
    <row r="359" customFormat="false" ht="15" hidden="false" customHeight="true" outlineLevel="0" collapsed="false">
      <c r="A359" s="34" t="s">
        <v>492</v>
      </c>
      <c r="B359" s="35" t="n">
        <v>0.444444444444444</v>
      </c>
      <c r="C359" s="36"/>
      <c r="D359" s="36"/>
      <c r="E359" s="36"/>
      <c r="F359" s="36"/>
      <c r="G359" s="36"/>
      <c r="H359" s="36"/>
    </row>
    <row r="361" customFormat="false" ht="24" hidden="false" customHeight="true" outlineLevel="0" collapsed="false">
      <c r="A361" s="65" t="s">
        <v>440</v>
      </c>
      <c r="B361" s="65"/>
      <c r="C361" s="65"/>
      <c r="D361" s="65"/>
      <c r="E361" s="65"/>
      <c r="F361" s="65"/>
      <c r="G361" s="65"/>
      <c r="H361" s="65"/>
    </row>
    <row r="362" customFormat="false" ht="27.75" hidden="false" customHeight="true" outlineLevel="0" collapsed="false">
      <c r="B362" s="69" t="s">
        <v>486</v>
      </c>
      <c r="C362" s="69"/>
      <c r="D362" s="69"/>
      <c r="E362" s="77" t="s">
        <v>506</v>
      </c>
    </row>
    <row r="363" customFormat="false" ht="6" hidden="false" customHeight="true" outlineLevel="0" collapsed="false">
      <c r="B363" s="71"/>
      <c r="C363" s="72"/>
      <c r="D363" s="73"/>
      <c r="E363" s="78"/>
    </row>
    <row r="364" customFormat="false" ht="15" hidden="false" customHeight="true" outlineLevel="0" collapsed="false">
      <c r="A364" s="12" t="s">
        <v>275</v>
      </c>
      <c r="B364" s="37" t="n">
        <v>1</v>
      </c>
      <c r="C364" s="37" t="n">
        <v>2</v>
      </c>
      <c r="D364" s="37" t="n">
        <v>3</v>
      </c>
      <c r="E364" s="37" t="n">
        <v>4</v>
      </c>
      <c r="F364" s="12"/>
      <c r="G364" s="12"/>
      <c r="H364" s="12"/>
    </row>
    <row r="365" customFormat="false" ht="15" hidden="false" customHeight="true" outlineLevel="0" collapsed="false">
      <c r="A365" s="30" t="s">
        <v>447</v>
      </c>
      <c r="B365" s="74" t="n">
        <v>9</v>
      </c>
      <c r="C365" s="74" t="n">
        <v>3</v>
      </c>
      <c r="D365" s="74" t="n">
        <v>3</v>
      </c>
      <c r="E365" s="74" t="n">
        <v>3</v>
      </c>
      <c r="F365" s="32"/>
      <c r="G365" s="32"/>
      <c r="H365" s="32"/>
    </row>
    <row r="366" customFormat="false" ht="15" hidden="false" customHeight="true" outlineLevel="0" collapsed="false">
      <c r="A366" s="30" t="s">
        <v>488</v>
      </c>
      <c r="B366" s="75" t="n">
        <v>1</v>
      </c>
      <c r="C366" s="75" t="n">
        <v>0.333333333333333</v>
      </c>
      <c r="D366" s="75" t="n">
        <v>0.333333333333333</v>
      </c>
      <c r="E366" s="75" t="n">
        <v>1</v>
      </c>
      <c r="F366" s="32"/>
      <c r="G366" s="32"/>
      <c r="H366" s="32"/>
    </row>
    <row r="367" customFormat="false" ht="15" hidden="false" customHeight="true" outlineLevel="0" collapsed="false">
      <c r="A367" s="30" t="s">
        <v>495</v>
      </c>
      <c r="B367" s="74"/>
      <c r="C367" s="74"/>
      <c r="D367" s="76" t="s">
        <v>283</v>
      </c>
      <c r="E367" s="76" t="s">
        <v>283</v>
      </c>
      <c r="F367" s="32"/>
      <c r="G367" s="32"/>
      <c r="H367" s="32"/>
    </row>
    <row r="368" customFormat="false" ht="15" hidden="false" customHeight="true" outlineLevel="0" collapsed="false">
      <c r="A368" s="34" t="s">
        <v>489</v>
      </c>
      <c r="B368" s="35" t="n">
        <v>0.333333333333333</v>
      </c>
      <c r="C368" s="36"/>
      <c r="D368" s="36"/>
      <c r="E368" s="36"/>
      <c r="F368" s="36"/>
      <c r="G368" s="36"/>
      <c r="H368" s="36"/>
    </row>
    <row r="369" customFormat="false" ht="15" hidden="false" customHeight="true" outlineLevel="0" collapsed="false">
      <c r="A369" s="34" t="s">
        <v>490</v>
      </c>
      <c r="B369" s="35" t="n">
        <v>1</v>
      </c>
      <c r="C369" s="36"/>
      <c r="D369" s="36"/>
      <c r="E369" s="36"/>
      <c r="F369" s="36"/>
      <c r="G369" s="36"/>
      <c r="H369" s="36"/>
    </row>
    <row r="370" customFormat="false" ht="15" hidden="false" customHeight="true" outlineLevel="0" collapsed="false">
      <c r="A370" s="34" t="s">
        <v>492</v>
      </c>
      <c r="B370" s="35" t="n">
        <v>0.333333333333333</v>
      </c>
      <c r="C370" s="36"/>
      <c r="D370" s="36"/>
      <c r="E370" s="36"/>
      <c r="F370" s="36"/>
      <c r="G370" s="36"/>
      <c r="H370" s="36"/>
    </row>
    <row r="372" customFormat="false" ht="24" hidden="false" customHeight="true" outlineLevel="0" collapsed="false">
      <c r="A372" s="65" t="s">
        <v>441</v>
      </c>
      <c r="B372" s="65"/>
      <c r="C372" s="65"/>
      <c r="D372" s="65"/>
      <c r="E372" s="65"/>
      <c r="F372" s="65"/>
      <c r="G372" s="65"/>
      <c r="H372" s="65"/>
      <c r="I372" s="65"/>
      <c r="J372" s="65"/>
      <c r="K372" s="65"/>
    </row>
    <row r="373" customFormat="false" ht="27.75" hidden="false" customHeight="true" outlineLevel="0" collapsed="false">
      <c r="B373" s="69" t="s">
        <v>486</v>
      </c>
      <c r="C373" s="69"/>
      <c r="D373" s="69"/>
      <c r="E373" s="70" t="s">
        <v>502</v>
      </c>
      <c r="F373" s="70"/>
      <c r="G373" s="70"/>
      <c r="H373" s="70"/>
      <c r="I373" s="70"/>
      <c r="J373" s="70"/>
      <c r="K373" s="70"/>
    </row>
    <row r="374" customFormat="false" ht="6" hidden="false" customHeight="true" outlineLevel="0" collapsed="false">
      <c r="B374" s="71"/>
      <c r="C374" s="72"/>
      <c r="D374" s="73"/>
      <c r="E374" s="71"/>
      <c r="F374" s="72"/>
      <c r="G374" s="72"/>
      <c r="H374" s="72"/>
      <c r="I374" s="72"/>
      <c r="J374" s="72"/>
      <c r="K374" s="73"/>
    </row>
    <row r="375" customFormat="false" ht="15" hidden="false" customHeight="true" outlineLevel="0" collapsed="false">
      <c r="A375" s="12" t="s">
        <v>275</v>
      </c>
      <c r="B375" s="37" t="n">
        <v>1</v>
      </c>
      <c r="C375" s="37" t="n">
        <v>2</v>
      </c>
      <c r="D375" s="37" t="n">
        <v>3</v>
      </c>
      <c r="E375" s="37" t="n">
        <v>4</v>
      </c>
      <c r="F375" s="37" t="n">
        <v>5</v>
      </c>
      <c r="G375" s="37" t="n">
        <v>6</v>
      </c>
      <c r="H375" s="37" t="n">
        <v>7</v>
      </c>
      <c r="I375" s="37" t="n">
        <v>8</v>
      </c>
      <c r="J375" s="37" t="n">
        <v>9</v>
      </c>
      <c r="K375" s="37" t="n">
        <v>10</v>
      </c>
    </row>
    <row r="376" customFormat="false" ht="15" hidden="false" customHeight="true" outlineLevel="0" collapsed="false">
      <c r="A376" s="30" t="s">
        <v>447</v>
      </c>
      <c r="B376" s="74" t="n">
        <v>19</v>
      </c>
      <c r="C376" s="74" t="n">
        <v>16</v>
      </c>
      <c r="D376" s="74" t="n">
        <v>7</v>
      </c>
      <c r="E376" s="74" t="n">
        <v>8</v>
      </c>
      <c r="F376" s="74" t="n">
        <v>3</v>
      </c>
      <c r="G376" s="74" t="n">
        <v>1</v>
      </c>
      <c r="H376" s="74" t="n">
        <v>1</v>
      </c>
      <c r="I376" s="74" t="n">
        <v>1</v>
      </c>
      <c r="J376" s="74" t="n">
        <v>0</v>
      </c>
      <c r="K376" s="74" t="n">
        <v>1</v>
      </c>
    </row>
    <row r="377" customFormat="false" ht="15" hidden="false" customHeight="true" outlineLevel="0" collapsed="false">
      <c r="A377" s="30" t="s">
        <v>488</v>
      </c>
      <c r="B377" s="75" t="n">
        <v>1</v>
      </c>
      <c r="C377" s="75" t="n">
        <v>0.842105263157895</v>
      </c>
      <c r="D377" s="75" t="n">
        <v>0.368421052631579</v>
      </c>
      <c r="E377" s="75" t="n">
        <v>1.14285714285714</v>
      </c>
      <c r="F377" s="75" t="n">
        <v>0.428571428571429</v>
      </c>
      <c r="G377" s="75" t="n">
        <v>0.142857142857143</v>
      </c>
      <c r="H377" s="75" t="n">
        <v>0.142857142857143</v>
      </c>
      <c r="I377" s="75" t="n">
        <v>0.142857142857143</v>
      </c>
      <c r="J377" s="75" t="n">
        <v>0</v>
      </c>
      <c r="K377" s="75" t="n">
        <v>0.142857142857143</v>
      </c>
    </row>
    <row r="378" customFormat="false" ht="15" hidden="false" customHeight="true" outlineLevel="0" collapsed="false">
      <c r="A378" s="30" t="s">
        <v>495</v>
      </c>
      <c r="B378" s="74"/>
      <c r="C378" s="74"/>
      <c r="D378" s="76" t="s">
        <v>283</v>
      </c>
      <c r="E378" s="76" t="s">
        <v>283</v>
      </c>
      <c r="F378" s="76" t="s">
        <v>283</v>
      </c>
      <c r="G378" s="39" t="s">
        <v>284</v>
      </c>
      <c r="H378" s="76" t="s">
        <v>284</v>
      </c>
      <c r="I378" s="76" t="s">
        <v>284</v>
      </c>
      <c r="J378" s="76" t="s">
        <v>284</v>
      </c>
      <c r="K378" s="76" t="s">
        <v>284</v>
      </c>
    </row>
    <row r="379" customFormat="false" ht="15" hidden="false" customHeight="true" outlineLevel="0" collapsed="false">
      <c r="A379" s="34" t="s">
        <v>489</v>
      </c>
      <c r="B379" s="35" t="n">
        <v>0.368421052631579</v>
      </c>
      <c r="C379" s="36"/>
      <c r="D379" s="36"/>
      <c r="E379" s="36"/>
      <c r="F379" s="36"/>
      <c r="G379" s="36"/>
      <c r="H379" s="36"/>
      <c r="I379" s="36"/>
      <c r="J379" s="36"/>
      <c r="K379" s="36"/>
    </row>
    <row r="380" customFormat="false" ht="15" hidden="false" customHeight="true" outlineLevel="0" collapsed="false">
      <c r="A380" s="34" t="s">
        <v>490</v>
      </c>
      <c r="B380" s="35" t="n">
        <v>0.882352941176471</v>
      </c>
      <c r="C380" s="36"/>
      <c r="D380" s="36"/>
      <c r="E380" s="36"/>
      <c r="F380" s="36"/>
      <c r="G380" s="36"/>
      <c r="H380" s="36"/>
      <c r="I380" s="36"/>
      <c r="J380" s="36"/>
      <c r="K380" s="36"/>
    </row>
    <row r="381" customFormat="false" ht="15" hidden="false" customHeight="true" outlineLevel="0" collapsed="false">
      <c r="A381" s="34" t="s">
        <v>492</v>
      </c>
      <c r="B381" s="35" t="n">
        <v>0.325077399380805</v>
      </c>
      <c r="C381" s="36"/>
      <c r="D381" s="36"/>
      <c r="E381" s="36"/>
      <c r="F381" s="36"/>
      <c r="G381" s="36"/>
      <c r="H381" s="36"/>
      <c r="I381" s="36"/>
      <c r="J381" s="36"/>
      <c r="K381" s="36"/>
    </row>
    <row r="383" customFormat="false" ht="24" hidden="false" customHeight="true" outlineLevel="0" collapsed="false">
      <c r="A383" s="65" t="s">
        <v>442</v>
      </c>
      <c r="B383" s="65"/>
      <c r="C383" s="65"/>
      <c r="D383" s="65"/>
      <c r="E383" s="65"/>
      <c r="F383" s="65"/>
      <c r="G383" s="65"/>
      <c r="H383" s="65"/>
    </row>
    <row r="384" customFormat="false" ht="27.75" hidden="false" customHeight="true" outlineLevel="0" collapsed="false">
      <c r="B384" s="69" t="s">
        <v>486</v>
      </c>
      <c r="C384" s="69"/>
      <c r="D384" s="69"/>
      <c r="E384" s="77" t="s">
        <v>506</v>
      </c>
    </row>
    <row r="385" customFormat="false" ht="6" hidden="false" customHeight="true" outlineLevel="0" collapsed="false">
      <c r="B385" s="71"/>
      <c r="C385" s="72"/>
      <c r="D385" s="73"/>
      <c r="E385" s="78"/>
    </row>
    <row r="386" customFormat="false" ht="15" hidden="false" customHeight="true" outlineLevel="0" collapsed="false">
      <c r="A386" s="12" t="s">
        <v>275</v>
      </c>
      <c r="B386" s="37" t="n">
        <v>1</v>
      </c>
      <c r="C386" s="37" t="n">
        <v>2</v>
      </c>
      <c r="D386" s="37" t="n">
        <v>3</v>
      </c>
      <c r="E386" s="37" t="n">
        <v>4</v>
      </c>
      <c r="F386" s="12"/>
      <c r="G386" s="12"/>
      <c r="H386" s="12"/>
    </row>
    <row r="387" customFormat="false" ht="15" hidden="false" customHeight="true" outlineLevel="0" collapsed="false">
      <c r="A387" s="30" t="s">
        <v>447</v>
      </c>
      <c r="B387" s="74" t="n">
        <v>2</v>
      </c>
      <c r="C387" s="74" t="n">
        <v>2</v>
      </c>
      <c r="D387" s="74" t="n">
        <v>1</v>
      </c>
      <c r="E387" s="74" t="n">
        <v>0</v>
      </c>
      <c r="F387" s="32"/>
      <c r="G387" s="32"/>
      <c r="H387" s="32"/>
    </row>
    <row r="388" customFormat="false" ht="15" hidden="false" customHeight="true" outlineLevel="0" collapsed="false">
      <c r="A388" s="30" t="s">
        <v>488</v>
      </c>
      <c r="B388" s="75" t="n">
        <v>1</v>
      </c>
      <c r="C388" s="75" t="n">
        <v>1</v>
      </c>
      <c r="D388" s="75" t="n">
        <v>0.5</v>
      </c>
      <c r="E388" s="75" t="n">
        <v>0</v>
      </c>
      <c r="F388" s="32"/>
      <c r="G388" s="32"/>
      <c r="H388" s="32"/>
    </row>
    <row r="389" customFormat="false" ht="15" hidden="false" customHeight="true" outlineLevel="0" collapsed="false">
      <c r="A389" s="30" t="s">
        <v>495</v>
      </c>
      <c r="B389" s="74"/>
      <c r="C389" s="74"/>
      <c r="D389" s="76" t="s">
        <v>283</v>
      </c>
      <c r="E389" s="39" t="s">
        <v>284</v>
      </c>
      <c r="F389" s="32"/>
      <c r="G389" s="32"/>
      <c r="H389" s="32"/>
    </row>
    <row r="390" customFormat="false" ht="15" hidden="false" customHeight="true" outlineLevel="0" collapsed="false">
      <c r="A390" s="34" t="s">
        <v>489</v>
      </c>
      <c r="B390" s="35" t="n">
        <v>0.5</v>
      </c>
      <c r="C390" s="36"/>
      <c r="D390" s="36"/>
      <c r="E390" s="36"/>
      <c r="F390" s="36"/>
      <c r="G390" s="36"/>
      <c r="H390" s="36"/>
    </row>
    <row r="391" customFormat="false" ht="15" hidden="false" customHeight="true" outlineLevel="0" collapsed="false">
      <c r="A391" s="34" t="s">
        <v>490</v>
      </c>
      <c r="B391" s="35" t="n">
        <v>1</v>
      </c>
      <c r="C391" s="36"/>
      <c r="D391" s="36"/>
      <c r="E391" s="36"/>
      <c r="F391" s="36"/>
      <c r="G391" s="36"/>
      <c r="H391" s="36"/>
    </row>
    <row r="392" customFormat="false" ht="15" hidden="false" customHeight="true" outlineLevel="0" collapsed="false">
      <c r="A392" s="34" t="s">
        <v>492</v>
      </c>
      <c r="B392" s="35" t="n">
        <v>0.5</v>
      </c>
      <c r="C392" s="36"/>
      <c r="D392" s="36"/>
      <c r="E392" s="36"/>
      <c r="F392" s="36"/>
      <c r="G392" s="36"/>
      <c r="H392" s="36"/>
    </row>
  </sheetData>
  <mergeCells count="117">
    <mergeCell ref="A1:J1"/>
    <mergeCell ref="A2:J2"/>
    <mergeCell ref="A4:S4"/>
    <mergeCell ref="A5:S5"/>
    <mergeCell ref="B6:D6"/>
    <mergeCell ref="E6:S6"/>
    <mergeCell ref="A15:H15"/>
    <mergeCell ref="A16:H16"/>
    <mergeCell ref="A18:I18"/>
    <mergeCell ref="A19:I19"/>
    <mergeCell ref="A21:L21"/>
    <mergeCell ref="B22:D22"/>
    <mergeCell ref="E22:L22"/>
    <mergeCell ref="A32:H32"/>
    <mergeCell ref="A33:H33"/>
    <mergeCell ref="A35:Q35"/>
    <mergeCell ref="B36:D36"/>
    <mergeCell ref="E36:Q36"/>
    <mergeCell ref="A46:N46"/>
    <mergeCell ref="B47:D47"/>
    <mergeCell ref="E47:N47"/>
    <mergeCell ref="A57:J57"/>
    <mergeCell ref="B58:D58"/>
    <mergeCell ref="E58:J58"/>
    <mergeCell ref="A68:R68"/>
    <mergeCell ref="B69:D69"/>
    <mergeCell ref="E69:R69"/>
    <mergeCell ref="A79:P79"/>
    <mergeCell ref="B80:D80"/>
    <mergeCell ref="E80:P80"/>
    <mergeCell ref="A90:R90"/>
    <mergeCell ref="B91:D91"/>
    <mergeCell ref="E91:R91"/>
    <mergeCell ref="A101:Q101"/>
    <mergeCell ref="B102:D102"/>
    <mergeCell ref="E102:Q102"/>
    <mergeCell ref="A112:M112"/>
    <mergeCell ref="B113:D113"/>
    <mergeCell ref="E113:M113"/>
    <mergeCell ref="A123:P123"/>
    <mergeCell ref="B124:D124"/>
    <mergeCell ref="E124:P124"/>
    <mergeCell ref="A134:H134"/>
    <mergeCell ref="A135:H135"/>
    <mergeCell ref="A137:H137"/>
    <mergeCell ref="A138:H138"/>
    <mergeCell ref="A140:Q140"/>
    <mergeCell ref="B141:D141"/>
    <mergeCell ref="E141:Q141"/>
    <mergeCell ref="A151:N151"/>
    <mergeCell ref="B152:D152"/>
    <mergeCell ref="E152:N152"/>
    <mergeCell ref="A162:H162"/>
    <mergeCell ref="A163:H163"/>
    <mergeCell ref="A165:N165"/>
    <mergeCell ref="B166:D166"/>
    <mergeCell ref="E166:N166"/>
    <mergeCell ref="A176:S176"/>
    <mergeCell ref="B177:D177"/>
    <mergeCell ref="E177:S177"/>
    <mergeCell ref="A187:K187"/>
    <mergeCell ref="B188:D188"/>
    <mergeCell ref="E188:K188"/>
    <mergeCell ref="A198:H198"/>
    <mergeCell ref="A199:H199"/>
    <mergeCell ref="A201:J201"/>
    <mergeCell ref="B202:D202"/>
    <mergeCell ref="E202:J202"/>
    <mergeCell ref="A212:K212"/>
    <mergeCell ref="B213:D213"/>
    <mergeCell ref="E213:K213"/>
    <mergeCell ref="A223:Q223"/>
    <mergeCell ref="B224:D224"/>
    <mergeCell ref="E224:Q224"/>
    <mergeCell ref="A234:N234"/>
    <mergeCell ref="B235:D235"/>
    <mergeCell ref="E235:N235"/>
    <mergeCell ref="A245:H245"/>
    <mergeCell ref="A246:H246"/>
    <mergeCell ref="A248:H248"/>
    <mergeCell ref="B249:D249"/>
    <mergeCell ref="E249:H249"/>
    <mergeCell ref="A259:O259"/>
    <mergeCell ref="B260:D260"/>
    <mergeCell ref="E260:O260"/>
    <mergeCell ref="A270:L270"/>
    <mergeCell ref="B271:D271"/>
    <mergeCell ref="E271:L271"/>
    <mergeCell ref="A281:O281"/>
    <mergeCell ref="B282:D282"/>
    <mergeCell ref="E282:O282"/>
    <mergeCell ref="A292:N292"/>
    <mergeCell ref="B293:D293"/>
    <mergeCell ref="E293:N293"/>
    <mergeCell ref="A303:K303"/>
    <mergeCell ref="B304:D304"/>
    <mergeCell ref="E304:K304"/>
    <mergeCell ref="A314:I314"/>
    <mergeCell ref="B315:D315"/>
    <mergeCell ref="E315:I315"/>
    <mergeCell ref="A325:H325"/>
    <mergeCell ref="B326:D326"/>
    <mergeCell ref="E326:H326"/>
    <mergeCell ref="A336:S336"/>
    <mergeCell ref="B337:D337"/>
    <mergeCell ref="E337:S337"/>
    <mergeCell ref="A347:H347"/>
    <mergeCell ref="A348:H348"/>
    <mergeCell ref="A350:H350"/>
    <mergeCell ref="B351:D351"/>
    <mergeCell ref="A361:H361"/>
    <mergeCell ref="B362:D362"/>
    <mergeCell ref="A372:K372"/>
    <mergeCell ref="B373:D373"/>
    <mergeCell ref="E373:K373"/>
    <mergeCell ref="A383:H383"/>
    <mergeCell ref="B384:D38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6"/>
    <col collapsed="false" customWidth="true" hidden="false" outlineLevel="0" max="19" min="2" style="0" width="7.47"/>
  </cols>
  <sheetData>
    <row r="1" customFormat="false" ht="19.5" hidden="false" customHeight="true" outlineLevel="0" collapsed="false">
      <c r="A1" s="62" t="s">
        <v>507</v>
      </c>
      <c r="B1" s="62"/>
      <c r="C1" s="62"/>
      <c r="D1" s="62"/>
      <c r="E1" s="62"/>
      <c r="F1" s="62"/>
      <c r="G1" s="62"/>
      <c r="H1" s="62"/>
      <c r="I1" s="62"/>
      <c r="J1" s="62"/>
    </row>
    <row r="2" customFormat="false" ht="30" hidden="false" customHeight="true" outlineLevel="0" collapsed="false">
      <c r="A2" s="47" t="s">
        <v>508</v>
      </c>
      <c r="B2" s="47"/>
      <c r="C2" s="47"/>
      <c r="D2" s="47"/>
      <c r="E2" s="47"/>
      <c r="F2" s="47"/>
      <c r="G2" s="47"/>
      <c r="H2" s="47"/>
      <c r="I2" s="47"/>
      <c r="J2" s="47"/>
    </row>
    <row r="4" customFormat="false" ht="24" hidden="false" customHeight="true" outlineLevel="0" collapsed="false">
      <c r="A4" s="65" t="s">
        <v>445</v>
      </c>
      <c r="B4" s="65"/>
      <c r="C4" s="65"/>
      <c r="D4" s="65"/>
      <c r="E4" s="65"/>
      <c r="F4" s="65"/>
      <c r="G4" s="65"/>
      <c r="H4" s="65"/>
      <c r="I4" s="65"/>
      <c r="J4" s="65"/>
      <c r="K4" s="65"/>
      <c r="L4" s="65"/>
      <c r="M4" s="65"/>
      <c r="N4" s="65"/>
      <c r="O4" s="65"/>
      <c r="P4" s="65"/>
      <c r="Q4" s="65"/>
      <c r="R4" s="65"/>
      <c r="S4" s="65"/>
    </row>
    <row r="5" customFormat="false" ht="55.5" hidden="false" customHeight="true" outlineLevel="0" collapsed="false">
      <c r="A5" s="64" t="s">
        <v>446</v>
      </c>
      <c r="B5" s="64"/>
      <c r="C5" s="64"/>
      <c r="D5" s="64"/>
      <c r="E5" s="64"/>
      <c r="F5" s="64"/>
      <c r="G5" s="64"/>
      <c r="H5" s="64"/>
      <c r="I5" s="64"/>
      <c r="J5" s="64"/>
      <c r="K5" s="64"/>
      <c r="L5" s="64"/>
      <c r="M5" s="64"/>
      <c r="N5" s="64"/>
      <c r="O5" s="64"/>
      <c r="P5" s="64"/>
      <c r="Q5" s="64"/>
      <c r="R5" s="64"/>
      <c r="S5" s="64"/>
    </row>
    <row r="6" customFormat="false" ht="27.75" hidden="false" customHeight="true" outlineLevel="0" collapsed="false">
      <c r="B6" s="69" t="s">
        <v>509</v>
      </c>
      <c r="C6" s="69"/>
      <c r="D6" s="69"/>
      <c r="E6" s="69"/>
      <c r="F6" s="69"/>
      <c r="G6" s="69"/>
      <c r="H6" s="69"/>
      <c r="I6" s="69"/>
      <c r="J6" s="69"/>
      <c r="K6" s="69"/>
      <c r="L6" s="69"/>
      <c r="M6" s="69"/>
      <c r="N6" s="69"/>
      <c r="O6" s="69"/>
      <c r="P6" s="69"/>
      <c r="Q6" s="69"/>
      <c r="R6" s="69"/>
      <c r="S6" s="69"/>
    </row>
    <row r="7" customFormat="false" ht="6" hidden="false" customHeight="true" outlineLevel="0" collapsed="false">
      <c r="B7" s="71"/>
      <c r="C7" s="72"/>
      <c r="D7" s="72"/>
      <c r="E7" s="72"/>
      <c r="F7" s="72"/>
      <c r="G7" s="72"/>
      <c r="H7" s="72"/>
      <c r="I7" s="72"/>
      <c r="J7" s="72"/>
      <c r="K7" s="72"/>
      <c r="L7" s="72"/>
      <c r="M7" s="72"/>
      <c r="N7" s="72"/>
      <c r="O7" s="72"/>
      <c r="P7" s="72"/>
      <c r="Q7" s="72"/>
      <c r="R7" s="72"/>
      <c r="S7" s="73"/>
    </row>
    <row r="8" customFormat="false" ht="15" hidden="false" customHeight="true" outlineLevel="0" collapsed="false">
      <c r="A8" s="12" t="s">
        <v>275</v>
      </c>
      <c r="B8" s="37" t="n">
        <v>1</v>
      </c>
      <c r="C8" s="37" t="n">
        <v>2</v>
      </c>
      <c r="D8" s="37" t="n">
        <v>3</v>
      </c>
      <c r="E8" s="37" t="n">
        <v>4</v>
      </c>
      <c r="F8" s="37" t="n">
        <v>5</v>
      </c>
      <c r="G8" s="37" t="n">
        <v>6</v>
      </c>
      <c r="H8" s="37" t="n">
        <v>7</v>
      </c>
      <c r="I8" s="37" t="n">
        <v>8</v>
      </c>
      <c r="J8" s="37" t="n">
        <v>9</v>
      </c>
      <c r="K8" s="37" t="n">
        <v>10</v>
      </c>
      <c r="L8" s="37" t="n">
        <v>11</v>
      </c>
      <c r="M8" s="37" t="n">
        <v>12</v>
      </c>
      <c r="N8" s="37" t="n">
        <v>13</v>
      </c>
      <c r="O8" s="37" t="n">
        <v>14</v>
      </c>
      <c r="P8" s="37" t="n">
        <v>15</v>
      </c>
      <c r="Q8" s="37" t="n">
        <v>16</v>
      </c>
      <c r="R8" s="37" t="n">
        <v>17</v>
      </c>
      <c r="S8" s="37" t="n">
        <v>18</v>
      </c>
    </row>
    <row r="9" customFormat="false" ht="15" hidden="false" customHeight="true" outlineLevel="0" collapsed="false">
      <c r="A9" s="30" t="s">
        <v>447</v>
      </c>
      <c r="B9" s="74" t="n">
        <v>5841</v>
      </c>
      <c r="C9" s="74" t="n">
        <v>4638</v>
      </c>
      <c r="D9" s="74" t="n">
        <v>4092</v>
      </c>
      <c r="E9" s="74" t="n">
        <v>4022</v>
      </c>
      <c r="F9" s="74" t="n">
        <v>2755</v>
      </c>
      <c r="G9" s="74" t="n">
        <v>1774</v>
      </c>
      <c r="H9" s="74" t="n">
        <v>1355</v>
      </c>
      <c r="I9" s="74" t="n">
        <v>822</v>
      </c>
      <c r="J9" s="74" t="n">
        <v>463</v>
      </c>
      <c r="K9" s="74" t="n">
        <v>262</v>
      </c>
      <c r="L9" s="74" t="n">
        <v>140</v>
      </c>
      <c r="M9" s="74" t="n">
        <v>75</v>
      </c>
      <c r="N9" s="74" t="n">
        <v>51</v>
      </c>
      <c r="O9" s="74" t="n">
        <v>25</v>
      </c>
      <c r="P9" s="74" t="n">
        <v>18</v>
      </c>
      <c r="Q9" s="74" t="n">
        <v>12</v>
      </c>
      <c r="R9" s="74" t="n">
        <v>6</v>
      </c>
      <c r="S9" s="74" t="n">
        <v>3</v>
      </c>
    </row>
    <row r="10" customFormat="false" ht="15" hidden="false" customHeight="true" outlineLevel="0" collapsed="false">
      <c r="A10" s="30" t="s">
        <v>510</v>
      </c>
      <c r="B10" s="74"/>
      <c r="C10" s="75" t="n">
        <v>0.794042116076014</v>
      </c>
      <c r="D10" s="75" t="n">
        <v>0.882276843467012</v>
      </c>
      <c r="E10" s="75" t="n">
        <v>0.982893450635386</v>
      </c>
      <c r="F10" s="75" t="n">
        <v>0.684982595723521</v>
      </c>
      <c r="G10" s="75" t="n">
        <v>0.643920145190563</v>
      </c>
      <c r="H10" s="75" t="n">
        <v>0.76381059751973</v>
      </c>
      <c r="I10" s="75" t="n">
        <v>0.606642066420664</v>
      </c>
      <c r="J10" s="75" t="n">
        <v>0.563260340632603</v>
      </c>
      <c r="K10" s="75" t="n">
        <v>0.565874730021598</v>
      </c>
      <c r="L10" s="75" t="n">
        <v>0.534351145038168</v>
      </c>
      <c r="M10" s="75" t="n">
        <v>0.535714285714286</v>
      </c>
      <c r="N10" s="75" t="n">
        <v>0.68</v>
      </c>
      <c r="O10" s="75" t="n">
        <v>0.490196078431373</v>
      </c>
      <c r="P10" s="75" t="n">
        <v>0.72</v>
      </c>
      <c r="Q10" s="75" t="n">
        <v>0.666666666666667</v>
      </c>
      <c r="R10" s="75" t="n">
        <v>0.5</v>
      </c>
      <c r="S10" s="75" t="n">
        <v>0.5</v>
      </c>
    </row>
    <row r="11" customFormat="false" ht="15" hidden="false" customHeight="true" outlineLevel="0" collapsed="false">
      <c r="A11" s="30" t="s">
        <v>449</v>
      </c>
      <c r="B11" s="75" t="n">
        <v>1</v>
      </c>
      <c r="C11" s="75" t="n">
        <v>0.794042116076014</v>
      </c>
      <c r="D11" s="75" t="n">
        <v>0.700564971751412</v>
      </c>
      <c r="E11" s="75" t="n">
        <v>0.688580722479028</v>
      </c>
      <c r="F11" s="75" t="n">
        <v>0.471665810648862</v>
      </c>
      <c r="G11" s="75" t="n">
        <v>0.303715117274439</v>
      </c>
      <c r="H11" s="75" t="n">
        <v>0.231980825201164</v>
      </c>
      <c r="I11" s="75" t="n">
        <v>0.140729327170005</v>
      </c>
      <c r="J11" s="75" t="n">
        <v>0.0792672487587742</v>
      </c>
      <c r="K11" s="75" t="n">
        <v>0.0448553329909262</v>
      </c>
      <c r="L11" s="75" t="n">
        <v>0.0239684985447697</v>
      </c>
      <c r="M11" s="75" t="n">
        <v>0.0128402670775552</v>
      </c>
      <c r="N11" s="75" t="n">
        <v>0.00873138161273755</v>
      </c>
      <c r="O11" s="75" t="n">
        <v>0.00428008902585174</v>
      </c>
      <c r="P11" s="75" t="n">
        <v>0.00308166409861325</v>
      </c>
      <c r="Q11" s="75" t="n">
        <v>0.00205444273240883</v>
      </c>
      <c r="R11" s="75" t="n">
        <v>0.00102722136620442</v>
      </c>
      <c r="S11" s="75" t="n">
        <v>0.000513610683102209</v>
      </c>
    </row>
    <row r="13" customFormat="false" ht="24" hidden="false" customHeight="true" outlineLevel="0" collapsed="false">
      <c r="A13" s="65" t="s">
        <v>395</v>
      </c>
      <c r="B13" s="65"/>
      <c r="C13" s="65"/>
      <c r="D13" s="65"/>
      <c r="E13" s="65"/>
      <c r="F13" s="65"/>
      <c r="G13" s="65"/>
      <c r="H13" s="65"/>
    </row>
    <row r="14" customFormat="false" ht="15" hidden="false" customHeight="true" outlineLevel="0" collapsed="false">
      <c r="A14" s="29" t="s">
        <v>272</v>
      </c>
      <c r="B14" s="29"/>
      <c r="C14" s="29"/>
      <c r="D14" s="29"/>
      <c r="E14" s="29"/>
      <c r="F14" s="29"/>
      <c r="G14" s="29"/>
      <c r="H14" s="29"/>
    </row>
    <row r="16" customFormat="false" ht="24" hidden="false" customHeight="true" outlineLevel="0" collapsed="false">
      <c r="A16" s="65" t="s">
        <v>397</v>
      </c>
      <c r="B16" s="65"/>
      <c r="C16" s="65"/>
      <c r="D16" s="65"/>
      <c r="E16" s="65"/>
      <c r="F16" s="65"/>
      <c r="G16" s="65"/>
      <c r="H16" s="65"/>
      <c r="I16" s="65"/>
    </row>
    <row r="17" customFormat="false" ht="15" hidden="false" customHeight="true" outlineLevel="0" collapsed="false">
      <c r="A17" s="29" t="s">
        <v>272</v>
      </c>
      <c r="B17" s="29"/>
      <c r="C17" s="29"/>
      <c r="D17" s="29"/>
      <c r="E17" s="29"/>
      <c r="F17" s="29"/>
      <c r="G17" s="29"/>
      <c r="H17" s="29"/>
      <c r="I17" s="29"/>
    </row>
    <row r="19" customFormat="false" ht="24" hidden="false" customHeight="true" outlineLevel="0" collapsed="false">
      <c r="A19" s="65" t="s">
        <v>403</v>
      </c>
      <c r="B19" s="65"/>
      <c r="C19" s="65"/>
      <c r="D19" s="65"/>
      <c r="E19" s="65"/>
      <c r="F19" s="65"/>
      <c r="G19" s="65"/>
      <c r="H19" s="65"/>
      <c r="I19" s="65"/>
      <c r="J19" s="65"/>
      <c r="K19" s="65"/>
      <c r="L19" s="65"/>
    </row>
    <row r="20" customFormat="false" ht="27.75" hidden="false" customHeight="true" outlineLevel="0" collapsed="false">
      <c r="B20" s="69" t="s">
        <v>509</v>
      </c>
      <c r="C20" s="69"/>
      <c r="D20" s="69"/>
      <c r="E20" s="69"/>
      <c r="F20" s="69"/>
      <c r="G20" s="69"/>
      <c r="H20" s="69"/>
      <c r="I20" s="69"/>
      <c r="J20" s="69"/>
      <c r="K20" s="69"/>
      <c r="L20" s="69"/>
    </row>
    <row r="21" customFormat="false" ht="6" hidden="false" customHeight="true" outlineLevel="0" collapsed="false">
      <c r="B21" s="71"/>
      <c r="C21" s="72"/>
      <c r="D21" s="72"/>
      <c r="E21" s="72"/>
      <c r="F21" s="72"/>
      <c r="G21" s="72"/>
      <c r="H21" s="72"/>
      <c r="I21" s="72"/>
      <c r="J21" s="72"/>
      <c r="K21" s="72"/>
      <c r="L21" s="73"/>
    </row>
    <row r="22" customFormat="false" ht="15" hidden="false" customHeight="true" outlineLevel="0" collapsed="false">
      <c r="A22" s="12" t="s">
        <v>275</v>
      </c>
      <c r="B22" s="37" t="n">
        <v>1</v>
      </c>
      <c r="C22" s="37" t="n">
        <v>2</v>
      </c>
      <c r="D22" s="37" t="n">
        <v>3</v>
      </c>
      <c r="E22" s="37" t="n">
        <v>4</v>
      </c>
      <c r="F22" s="37" t="n">
        <v>5</v>
      </c>
      <c r="G22" s="37" t="n">
        <v>6</v>
      </c>
      <c r="H22" s="37" t="n">
        <v>7</v>
      </c>
      <c r="I22" s="37" t="n">
        <v>8</v>
      </c>
      <c r="J22" s="37" t="n">
        <v>9</v>
      </c>
      <c r="K22" s="37" t="n">
        <v>10</v>
      </c>
      <c r="L22" s="37" t="n">
        <v>11</v>
      </c>
    </row>
    <row r="23" customFormat="false" ht="15" hidden="false" customHeight="true" outlineLevel="0" collapsed="false">
      <c r="A23" s="30" t="s">
        <v>447</v>
      </c>
      <c r="B23" s="74" t="n">
        <v>112</v>
      </c>
      <c r="C23" s="74" t="n">
        <v>112</v>
      </c>
      <c r="D23" s="74" t="n">
        <v>109</v>
      </c>
      <c r="E23" s="74" t="n">
        <v>108</v>
      </c>
      <c r="F23" s="74" t="n">
        <v>80</v>
      </c>
      <c r="G23" s="74" t="n">
        <v>5</v>
      </c>
      <c r="H23" s="74" t="n">
        <v>2</v>
      </c>
      <c r="I23" s="74" t="n">
        <v>0</v>
      </c>
      <c r="J23" s="74" t="n">
        <v>1</v>
      </c>
      <c r="K23" s="74" t="n">
        <v>1</v>
      </c>
      <c r="L23" s="74" t="n">
        <v>1</v>
      </c>
    </row>
    <row r="24" customFormat="false" ht="15" hidden="false" customHeight="true" outlineLevel="0" collapsed="false">
      <c r="A24" s="30" t="s">
        <v>510</v>
      </c>
      <c r="B24" s="74"/>
      <c r="C24" s="75" t="n">
        <v>1</v>
      </c>
      <c r="D24" s="75" t="n">
        <v>0.973214285714286</v>
      </c>
      <c r="E24" s="75" t="n">
        <v>0.990825688073395</v>
      </c>
      <c r="F24" s="75" t="n">
        <v>0.740740740740741</v>
      </c>
      <c r="G24" s="75" t="n">
        <v>0.0625</v>
      </c>
      <c r="H24" s="75" t="n">
        <v>0.4</v>
      </c>
      <c r="I24" s="75" t="n">
        <v>0</v>
      </c>
      <c r="J24" s="74"/>
      <c r="K24" s="75" t="n">
        <v>1</v>
      </c>
      <c r="L24" s="75" t="n">
        <v>1</v>
      </c>
    </row>
    <row r="25" customFormat="false" ht="15" hidden="false" customHeight="true" outlineLevel="0" collapsed="false">
      <c r="A25" s="30" t="s">
        <v>449</v>
      </c>
      <c r="B25" s="75" t="n">
        <v>1</v>
      </c>
      <c r="C25" s="75" t="n">
        <v>1</v>
      </c>
      <c r="D25" s="75" t="n">
        <v>0.973214285714286</v>
      </c>
      <c r="E25" s="75" t="n">
        <v>0.964285714285714</v>
      </c>
      <c r="F25" s="75" t="n">
        <v>0.714285714285714</v>
      </c>
      <c r="G25" s="75" t="n">
        <v>0.0446428571428571</v>
      </c>
      <c r="H25" s="75" t="n">
        <v>0.0178571428571429</v>
      </c>
      <c r="I25" s="75" t="n">
        <v>0</v>
      </c>
      <c r="J25" s="75" t="n">
        <v>0.00892857142857143</v>
      </c>
      <c r="K25" s="75" t="n">
        <v>0.00892857142857143</v>
      </c>
      <c r="L25" s="75" t="n">
        <v>0.00892857142857143</v>
      </c>
    </row>
    <row r="27" customFormat="false" ht="24" hidden="false" customHeight="true" outlineLevel="0" collapsed="false">
      <c r="A27" s="65" t="s">
        <v>405</v>
      </c>
      <c r="B27" s="65"/>
      <c r="C27" s="65"/>
      <c r="D27" s="65"/>
      <c r="E27" s="65"/>
      <c r="F27" s="65"/>
      <c r="G27" s="65"/>
      <c r="H27" s="65"/>
    </row>
    <row r="28" customFormat="false" ht="15" hidden="false" customHeight="true" outlineLevel="0" collapsed="false">
      <c r="A28" s="29" t="s">
        <v>272</v>
      </c>
      <c r="B28" s="29"/>
      <c r="C28" s="29"/>
      <c r="D28" s="29"/>
      <c r="E28" s="29"/>
      <c r="F28" s="29"/>
      <c r="G28" s="29"/>
      <c r="H28" s="29"/>
    </row>
    <row r="30" customFormat="false" ht="24" hidden="false" customHeight="true" outlineLevel="0" collapsed="false">
      <c r="A30" s="65" t="s">
        <v>406</v>
      </c>
      <c r="B30" s="65"/>
      <c r="C30" s="65"/>
      <c r="D30" s="65"/>
      <c r="E30" s="65"/>
      <c r="F30" s="65"/>
      <c r="G30" s="65"/>
      <c r="H30" s="65"/>
      <c r="I30" s="65"/>
      <c r="J30" s="65"/>
      <c r="K30" s="65"/>
      <c r="L30" s="65"/>
      <c r="M30" s="65"/>
      <c r="N30" s="65"/>
      <c r="O30" s="65"/>
      <c r="P30" s="65"/>
      <c r="Q30" s="65"/>
    </row>
    <row r="31" customFormat="false" ht="27.75" hidden="false" customHeight="true" outlineLevel="0" collapsed="false">
      <c r="B31" s="69" t="s">
        <v>509</v>
      </c>
      <c r="C31" s="69"/>
      <c r="D31" s="69"/>
      <c r="E31" s="69"/>
      <c r="F31" s="69"/>
      <c r="G31" s="69"/>
      <c r="H31" s="69"/>
      <c r="I31" s="69"/>
      <c r="J31" s="69"/>
      <c r="K31" s="69"/>
      <c r="L31" s="69"/>
      <c r="M31" s="69"/>
      <c r="N31" s="69"/>
      <c r="O31" s="69"/>
      <c r="P31" s="69"/>
      <c r="Q31" s="69"/>
    </row>
    <row r="32" customFormat="false" ht="6" hidden="false" customHeight="true" outlineLevel="0" collapsed="false">
      <c r="B32" s="71"/>
      <c r="C32" s="72"/>
      <c r="D32" s="72"/>
      <c r="E32" s="72"/>
      <c r="F32" s="72"/>
      <c r="G32" s="72"/>
      <c r="H32" s="72"/>
      <c r="I32" s="72"/>
      <c r="J32" s="72"/>
      <c r="K32" s="72"/>
      <c r="L32" s="72"/>
      <c r="M32" s="72"/>
      <c r="N32" s="72"/>
      <c r="O32" s="72"/>
      <c r="P32" s="72"/>
      <c r="Q32" s="73"/>
    </row>
    <row r="33" customFormat="false" ht="15" hidden="false" customHeight="true" outlineLevel="0" collapsed="false">
      <c r="A33" s="12" t="s">
        <v>275</v>
      </c>
      <c r="B33" s="37" t="n">
        <v>1</v>
      </c>
      <c r="C33" s="37" t="n">
        <v>2</v>
      </c>
      <c r="D33" s="37" t="n">
        <v>3</v>
      </c>
      <c r="E33" s="37" t="n">
        <v>4</v>
      </c>
      <c r="F33" s="37" t="n">
        <v>5</v>
      </c>
      <c r="G33" s="37" t="n">
        <v>6</v>
      </c>
      <c r="H33" s="37" t="n">
        <v>7</v>
      </c>
      <c r="I33" s="37" t="n">
        <v>8</v>
      </c>
      <c r="J33" s="37" t="n">
        <v>9</v>
      </c>
      <c r="K33" s="37" t="n">
        <v>10</v>
      </c>
      <c r="L33" s="37" t="n">
        <v>11</v>
      </c>
      <c r="M33" s="37" t="n">
        <v>12</v>
      </c>
      <c r="N33" s="37" t="n">
        <v>13</v>
      </c>
      <c r="O33" s="37" t="n">
        <v>14</v>
      </c>
      <c r="P33" s="37" t="n">
        <v>15</v>
      </c>
      <c r="Q33" s="37" t="n">
        <v>16</v>
      </c>
    </row>
    <row r="34" customFormat="false" ht="15" hidden="false" customHeight="true" outlineLevel="0" collapsed="false">
      <c r="A34" s="30" t="s">
        <v>447</v>
      </c>
      <c r="B34" s="74" t="n">
        <v>272</v>
      </c>
      <c r="C34" s="74" t="n">
        <v>215</v>
      </c>
      <c r="D34" s="74" t="n">
        <v>188</v>
      </c>
      <c r="E34" s="74" t="n">
        <v>160</v>
      </c>
      <c r="F34" s="74" t="n">
        <v>120</v>
      </c>
      <c r="G34" s="74" t="n">
        <v>95</v>
      </c>
      <c r="H34" s="74" t="n">
        <v>65</v>
      </c>
      <c r="I34" s="74" t="n">
        <v>46</v>
      </c>
      <c r="J34" s="74" t="n">
        <v>27</v>
      </c>
      <c r="K34" s="74" t="n">
        <v>24</v>
      </c>
      <c r="L34" s="74" t="n">
        <v>11</v>
      </c>
      <c r="M34" s="74" t="n">
        <v>6</v>
      </c>
      <c r="N34" s="74" t="n">
        <v>6</v>
      </c>
      <c r="O34" s="74" t="n">
        <v>2</v>
      </c>
      <c r="P34" s="74" t="n">
        <v>0</v>
      </c>
      <c r="Q34" s="74" t="n">
        <v>1</v>
      </c>
    </row>
    <row r="35" customFormat="false" ht="15" hidden="false" customHeight="true" outlineLevel="0" collapsed="false">
      <c r="A35" s="30" t="s">
        <v>510</v>
      </c>
      <c r="B35" s="74"/>
      <c r="C35" s="75" t="n">
        <v>0.790441176470588</v>
      </c>
      <c r="D35" s="75" t="n">
        <v>0.874418604651163</v>
      </c>
      <c r="E35" s="75" t="n">
        <v>0.851063829787234</v>
      </c>
      <c r="F35" s="75" t="n">
        <v>0.75</v>
      </c>
      <c r="G35" s="75" t="n">
        <v>0.791666666666667</v>
      </c>
      <c r="H35" s="75" t="n">
        <v>0.68421052631579</v>
      </c>
      <c r="I35" s="75" t="n">
        <v>0.707692307692308</v>
      </c>
      <c r="J35" s="75" t="n">
        <v>0.586956521739131</v>
      </c>
      <c r="K35" s="75" t="n">
        <v>0.888888888888889</v>
      </c>
      <c r="L35" s="75" t="n">
        <v>0.458333333333333</v>
      </c>
      <c r="M35" s="75" t="n">
        <v>0.545454545454545</v>
      </c>
      <c r="N35" s="75" t="n">
        <v>1</v>
      </c>
      <c r="O35" s="75" t="n">
        <v>0.333333333333333</v>
      </c>
      <c r="P35" s="75" t="n">
        <v>0</v>
      </c>
      <c r="Q35" s="74"/>
    </row>
    <row r="36" customFormat="false" ht="15" hidden="false" customHeight="true" outlineLevel="0" collapsed="false">
      <c r="A36" s="30" t="s">
        <v>449</v>
      </c>
      <c r="B36" s="75" t="n">
        <v>1</v>
      </c>
      <c r="C36" s="75" t="n">
        <v>0.790441176470588</v>
      </c>
      <c r="D36" s="75" t="n">
        <v>0.691176470588235</v>
      </c>
      <c r="E36" s="75" t="n">
        <v>0.588235294117647</v>
      </c>
      <c r="F36" s="75" t="n">
        <v>0.441176470588235</v>
      </c>
      <c r="G36" s="75" t="n">
        <v>0.349264705882353</v>
      </c>
      <c r="H36" s="75" t="n">
        <v>0.238970588235294</v>
      </c>
      <c r="I36" s="75" t="n">
        <v>0.169117647058824</v>
      </c>
      <c r="J36" s="75" t="n">
        <v>0.0992647058823529</v>
      </c>
      <c r="K36" s="75" t="n">
        <v>0.0882352941176471</v>
      </c>
      <c r="L36" s="75" t="n">
        <v>0.0404411764705882</v>
      </c>
      <c r="M36" s="75" t="n">
        <v>0.0220588235294118</v>
      </c>
      <c r="N36" s="75" t="n">
        <v>0.0220588235294118</v>
      </c>
      <c r="O36" s="75" t="n">
        <v>0.00735294117647059</v>
      </c>
      <c r="P36" s="75" t="n">
        <v>0</v>
      </c>
      <c r="Q36" s="75" t="n">
        <v>0.00367647058823529</v>
      </c>
    </row>
    <row r="38" customFormat="false" ht="24" hidden="false" customHeight="true" outlineLevel="0" collapsed="false">
      <c r="A38" s="65" t="s">
        <v>407</v>
      </c>
      <c r="B38" s="65"/>
      <c r="C38" s="65"/>
      <c r="D38" s="65"/>
      <c r="E38" s="65"/>
      <c r="F38" s="65"/>
      <c r="G38" s="65"/>
      <c r="H38" s="65"/>
      <c r="I38" s="65"/>
      <c r="J38" s="65"/>
      <c r="K38" s="65"/>
      <c r="L38" s="65"/>
      <c r="M38" s="65"/>
      <c r="N38" s="65"/>
    </row>
    <row r="39" customFormat="false" ht="27.75" hidden="false" customHeight="true" outlineLevel="0" collapsed="false">
      <c r="B39" s="69" t="s">
        <v>509</v>
      </c>
      <c r="C39" s="69"/>
      <c r="D39" s="69"/>
      <c r="E39" s="69"/>
      <c r="F39" s="69"/>
      <c r="G39" s="69"/>
      <c r="H39" s="69"/>
      <c r="I39" s="69"/>
      <c r="J39" s="69"/>
      <c r="K39" s="69"/>
      <c r="L39" s="69"/>
      <c r="M39" s="69"/>
      <c r="N39" s="69"/>
    </row>
    <row r="40" customFormat="false" ht="6" hidden="false" customHeight="true" outlineLevel="0" collapsed="false">
      <c r="B40" s="71"/>
      <c r="C40" s="72"/>
      <c r="D40" s="72"/>
      <c r="E40" s="72"/>
      <c r="F40" s="72"/>
      <c r="G40" s="72"/>
      <c r="H40" s="72"/>
      <c r="I40" s="72"/>
      <c r="J40" s="72"/>
      <c r="K40" s="72"/>
      <c r="L40" s="72"/>
      <c r="M40" s="72"/>
      <c r="N40" s="73"/>
    </row>
    <row r="41" customFormat="false" ht="15" hidden="false" customHeight="true" outlineLevel="0" collapsed="false">
      <c r="A41" s="12" t="s">
        <v>275</v>
      </c>
      <c r="B41" s="37" t="n">
        <v>1</v>
      </c>
      <c r="C41" s="37" t="n">
        <v>2</v>
      </c>
      <c r="D41" s="37" t="n">
        <v>3</v>
      </c>
      <c r="E41" s="37" t="n">
        <v>4</v>
      </c>
      <c r="F41" s="37" t="n">
        <v>5</v>
      </c>
      <c r="G41" s="37" t="n">
        <v>6</v>
      </c>
      <c r="H41" s="37" t="n">
        <v>7</v>
      </c>
      <c r="I41" s="37" t="n">
        <v>8</v>
      </c>
      <c r="J41" s="37" t="n">
        <v>9</v>
      </c>
      <c r="K41" s="37" t="n">
        <v>10</v>
      </c>
      <c r="L41" s="37" t="n">
        <v>11</v>
      </c>
      <c r="M41" s="37" t="n">
        <v>12</v>
      </c>
      <c r="N41" s="37" t="n">
        <v>13</v>
      </c>
    </row>
    <row r="42" customFormat="false" ht="15" hidden="false" customHeight="true" outlineLevel="0" collapsed="false">
      <c r="A42" s="30" t="s">
        <v>447</v>
      </c>
      <c r="B42" s="74" t="n">
        <v>146</v>
      </c>
      <c r="C42" s="74" t="n">
        <v>118</v>
      </c>
      <c r="D42" s="74" t="n">
        <v>101</v>
      </c>
      <c r="E42" s="74" t="n">
        <v>97</v>
      </c>
      <c r="F42" s="74" t="n">
        <v>87</v>
      </c>
      <c r="G42" s="74" t="n">
        <v>9</v>
      </c>
      <c r="H42" s="74" t="n">
        <v>7</v>
      </c>
      <c r="I42" s="74" t="n">
        <v>2</v>
      </c>
      <c r="J42" s="74" t="n">
        <v>4</v>
      </c>
      <c r="K42" s="74" t="n">
        <v>3</v>
      </c>
      <c r="L42" s="74" t="n">
        <v>2</v>
      </c>
      <c r="M42" s="74" t="n">
        <v>1</v>
      </c>
      <c r="N42" s="74" t="n">
        <v>1</v>
      </c>
    </row>
    <row r="43" customFormat="false" ht="15" hidden="false" customHeight="true" outlineLevel="0" collapsed="false">
      <c r="A43" s="30" t="s">
        <v>510</v>
      </c>
      <c r="B43" s="74"/>
      <c r="C43" s="75" t="n">
        <v>0.808219178082192</v>
      </c>
      <c r="D43" s="75" t="n">
        <v>0.855932203389831</v>
      </c>
      <c r="E43" s="75" t="n">
        <v>0.96039603960396</v>
      </c>
      <c r="F43" s="75" t="n">
        <v>0.896907216494845</v>
      </c>
      <c r="G43" s="75" t="n">
        <v>0.103448275862069</v>
      </c>
      <c r="H43" s="75" t="n">
        <v>0.777777777777778</v>
      </c>
      <c r="I43" s="75" t="n">
        <v>0.285714285714286</v>
      </c>
      <c r="J43" s="75" t="n">
        <v>2</v>
      </c>
      <c r="K43" s="75" t="n">
        <v>0.75</v>
      </c>
      <c r="L43" s="75" t="n">
        <v>0.666666666666667</v>
      </c>
      <c r="M43" s="75" t="n">
        <v>0.5</v>
      </c>
      <c r="N43" s="75" t="n">
        <v>1</v>
      </c>
    </row>
    <row r="44" customFormat="false" ht="15" hidden="false" customHeight="true" outlineLevel="0" collapsed="false">
      <c r="A44" s="30" t="s">
        <v>449</v>
      </c>
      <c r="B44" s="75" t="n">
        <v>1</v>
      </c>
      <c r="C44" s="75" t="n">
        <v>0.808219178082192</v>
      </c>
      <c r="D44" s="75" t="n">
        <v>0.691780821917808</v>
      </c>
      <c r="E44" s="75" t="n">
        <v>0.664383561643836</v>
      </c>
      <c r="F44" s="75" t="n">
        <v>0.595890410958904</v>
      </c>
      <c r="G44" s="75" t="n">
        <v>0.0616438356164384</v>
      </c>
      <c r="H44" s="75" t="n">
        <v>0.0479452054794521</v>
      </c>
      <c r="I44" s="75" t="n">
        <v>0.0136986301369863</v>
      </c>
      <c r="J44" s="75" t="n">
        <v>0.0273972602739726</v>
      </c>
      <c r="K44" s="75" t="n">
        <v>0.0205479452054795</v>
      </c>
      <c r="L44" s="75" t="n">
        <v>0.0136986301369863</v>
      </c>
      <c r="M44" s="75" t="n">
        <v>0.00684931506849315</v>
      </c>
      <c r="N44" s="75" t="n">
        <v>0.00684931506849315</v>
      </c>
    </row>
    <row r="46" customFormat="false" ht="24" hidden="false" customHeight="true" outlineLevel="0" collapsed="false">
      <c r="A46" s="65" t="s">
        <v>408</v>
      </c>
      <c r="B46" s="65"/>
      <c r="C46" s="65"/>
      <c r="D46" s="65"/>
      <c r="E46" s="65"/>
      <c r="F46" s="65"/>
      <c r="G46" s="65"/>
      <c r="H46" s="65"/>
      <c r="I46" s="65"/>
      <c r="J46" s="65"/>
    </row>
    <row r="47" customFormat="false" ht="27.75" hidden="false" customHeight="true" outlineLevel="0" collapsed="false">
      <c r="B47" s="69" t="s">
        <v>509</v>
      </c>
      <c r="C47" s="69"/>
      <c r="D47" s="69"/>
      <c r="E47" s="69"/>
      <c r="F47" s="69"/>
      <c r="G47" s="69"/>
      <c r="H47" s="69"/>
      <c r="I47" s="69"/>
      <c r="J47" s="69"/>
    </row>
    <row r="48" customFormat="false" ht="6" hidden="false" customHeight="true" outlineLevel="0" collapsed="false">
      <c r="B48" s="71"/>
      <c r="C48" s="72"/>
      <c r="D48" s="72"/>
      <c r="E48" s="72"/>
      <c r="F48" s="72"/>
      <c r="G48" s="72"/>
      <c r="H48" s="72"/>
      <c r="I48" s="72"/>
      <c r="J48" s="73"/>
    </row>
    <row r="49" customFormat="false" ht="15" hidden="false" customHeight="true" outlineLevel="0" collapsed="false">
      <c r="A49" s="12" t="s">
        <v>275</v>
      </c>
      <c r="B49" s="37" t="n">
        <v>1</v>
      </c>
      <c r="C49" s="37" t="n">
        <v>2</v>
      </c>
      <c r="D49" s="37" t="n">
        <v>3</v>
      </c>
      <c r="E49" s="37" t="n">
        <v>4</v>
      </c>
      <c r="F49" s="37" t="n">
        <v>5</v>
      </c>
      <c r="G49" s="37" t="n">
        <v>6</v>
      </c>
      <c r="H49" s="37" t="n">
        <v>7</v>
      </c>
      <c r="I49" s="37" t="n">
        <v>8</v>
      </c>
      <c r="J49" s="37" t="n">
        <v>9</v>
      </c>
    </row>
    <row r="50" customFormat="false" ht="15" hidden="false" customHeight="true" outlineLevel="0" collapsed="false">
      <c r="A50" s="30" t="s">
        <v>447</v>
      </c>
      <c r="B50" s="74" t="n">
        <v>80</v>
      </c>
      <c r="C50" s="74" t="n">
        <v>68</v>
      </c>
      <c r="D50" s="74" t="n">
        <v>62</v>
      </c>
      <c r="E50" s="74" t="n">
        <v>61</v>
      </c>
      <c r="F50" s="74" t="n">
        <v>12</v>
      </c>
      <c r="G50" s="74" t="n">
        <v>7</v>
      </c>
      <c r="H50" s="74" t="n">
        <v>7</v>
      </c>
      <c r="I50" s="74" t="n">
        <v>0</v>
      </c>
      <c r="J50" s="74" t="n">
        <v>2</v>
      </c>
    </row>
    <row r="51" customFormat="false" ht="15" hidden="false" customHeight="true" outlineLevel="0" collapsed="false">
      <c r="A51" s="30" t="s">
        <v>510</v>
      </c>
      <c r="B51" s="74"/>
      <c r="C51" s="75" t="n">
        <v>0.85</v>
      </c>
      <c r="D51" s="75" t="n">
        <v>0.911764705882353</v>
      </c>
      <c r="E51" s="75" t="n">
        <v>0.983870967741936</v>
      </c>
      <c r="F51" s="75" t="n">
        <v>0.19672131147541</v>
      </c>
      <c r="G51" s="75" t="n">
        <v>0.583333333333333</v>
      </c>
      <c r="H51" s="75" t="n">
        <v>1</v>
      </c>
      <c r="I51" s="75" t="n">
        <v>0</v>
      </c>
      <c r="J51" s="74"/>
    </row>
    <row r="52" customFormat="false" ht="15" hidden="false" customHeight="true" outlineLevel="0" collapsed="false">
      <c r="A52" s="30" t="s">
        <v>449</v>
      </c>
      <c r="B52" s="75" t="n">
        <v>1</v>
      </c>
      <c r="C52" s="75" t="n">
        <v>0.85</v>
      </c>
      <c r="D52" s="75" t="n">
        <v>0.775</v>
      </c>
      <c r="E52" s="75" t="n">
        <v>0.7625</v>
      </c>
      <c r="F52" s="75" t="n">
        <v>0.15</v>
      </c>
      <c r="G52" s="75" t="n">
        <v>0.0875</v>
      </c>
      <c r="H52" s="75" t="n">
        <v>0.0875</v>
      </c>
      <c r="I52" s="75" t="n">
        <v>0</v>
      </c>
      <c r="J52" s="75" t="n">
        <v>0.025</v>
      </c>
    </row>
    <row r="54" customFormat="false" ht="24" hidden="false" customHeight="true" outlineLevel="0" collapsed="false">
      <c r="A54" s="65" t="s">
        <v>409</v>
      </c>
      <c r="B54" s="65"/>
      <c r="C54" s="65"/>
      <c r="D54" s="65"/>
      <c r="E54" s="65"/>
      <c r="F54" s="65"/>
      <c r="G54" s="65"/>
      <c r="H54" s="65"/>
      <c r="I54" s="65"/>
      <c r="J54" s="65"/>
      <c r="K54" s="65"/>
      <c r="L54" s="65"/>
      <c r="M54" s="65"/>
      <c r="N54" s="65"/>
      <c r="O54" s="65"/>
      <c r="P54" s="65"/>
      <c r="Q54" s="65"/>
      <c r="R54" s="65"/>
    </row>
    <row r="55" customFormat="false" ht="27.75" hidden="false" customHeight="true" outlineLevel="0" collapsed="false">
      <c r="B55" s="69" t="s">
        <v>509</v>
      </c>
      <c r="C55" s="69"/>
      <c r="D55" s="69"/>
      <c r="E55" s="69"/>
      <c r="F55" s="69"/>
      <c r="G55" s="69"/>
      <c r="H55" s="69"/>
      <c r="I55" s="69"/>
      <c r="J55" s="69"/>
      <c r="K55" s="69"/>
      <c r="L55" s="69"/>
      <c r="M55" s="69"/>
      <c r="N55" s="69"/>
      <c r="O55" s="69"/>
      <c r="P55" s="69"/>
      <c r="Q55" s="69"/>
      <c r="R55" s="69"/>
    </row>
    <row r="56" customFormat="false" ht="6" hidden="false" customHeight="true" outlineLevel="0" collapsed="false">
      <c r="B56" s="71"/>
      <c r="C56" s="72"/>
      <c r="D56" s="72"/>
      <c r="E56" s="72"/>
      <c r="F56" s="72"/>
      <c r="G56" s="72"/>
      <c r="H56" s="72"/>
      <c r="I56" s="72"/>
      <c r="J56" s="72"/>
      <c r="K56" s="72"/>
      <c r="L56" s="72"/>
      <c r="M56" s="72"/>
      <c r="N56" s="72"/>
      <c r="O56" s="72"/>
      <c r="P56" s="72"/>
      <c r="Q56" s="72"/>
      <c r="R56" s="73"/>
    </row>
    <row r="57" customFormat="false" ht="15" hidden="false" customHeight="true" outlineLevel="0" collapsed="false">
      <c r="A57" s="12" t="s">
        <v>275</v>
      </c>
      <c r="B57" s="37" t="n">
        <v>1</v>
      </c>
      <c r="C57" s="37" t="n">
        <v>2</v>
      </c>
      <c r="D57" s="37" t="n">
        <v>3</v>
      </c>
      <c r="E57" s="37" t="n">
        <v>4</v>
      </c>
      <c r="F57" s="37" t="n">
        <v>5</v>
      </c>
      <c r="G57" s="37" t="n">
        <v>6</v>
      </c>
      <c r="H57" s="37" t="n">
        <v>7</v>
      </c>
      <c r="I57" s="37" t="n">
        <v>8</v>
      </c>
      <c r="J57" s="37" t="n">
        <v>9</v>
      </c>
      <c r="K57" s="37" t="n">
        <v>10</v>
      </c>
      <c r="L57" s="37" t="n">
        <v>11</v>
      </c>
      <c r="M57" s="37" t="n">
        <v>12</v>
      </c>
      <c r="N57" s="37" t="n">
        <v>13</v>
      </c>
      <c r="O57" s="37" t="n">
        <v>14</v>
      </c>
      <c r="P57" s="37" t="n">
        <v>15</v>
      </c>
      <c r="Q57" s="37" t="n">
        <v>16</v>
      </c>
      <c r="R57" s="37" t="n">
        <v>17</v>
      </c>
    </row>
    <row r="58" customFormat="false" ht="15" hidden="false" customHeight="true" outlineLevel="0" collapsed="false">
      <c r="A58" s="30" t="s">
        <v>447</v>
      </c>
      <c r="B58" s="74" t="n">
        <v>248</v>
      </c>
      <c r="C58" s="74" t="n">
        <v>167</v>
      </c>
      <c r="D58" s="74" t="n">
        <v>132</v>
      </c>
      <c r="E58" s="74" t="n">
        <v>154</v>
      </c>
      <c r="F58" s="74" t="n">
        <v>133</v>
      </c>
      <c r="G58" s="74" t="n">
        <v>111</v>
      </c>
      <c r="H58" s="74" t="n">
        <v>74</v>
      </c>
      <c r="I58" s="74" t="n">
        <v>43</v>
      </c>
      <c r="J58" s="74" t="n">
        <v>24</v>
      </c>
      <c r="K58" s="74" t="n">
        <v>11</v>
      </c>
      <c r="L58" s="74" t="n">
        <v>5</v>
      </c>
      <c r="M58" s="74" t="n">
        <v>7</v>
      </c>
      <c r="N58" s="74" t="n">
        <v>4</v>
      </c>
      <c r="O58" s="74" t="n">
        <v>3</v>
      </c>
      <c r="P58" s="74" t="n">
        <v>2</v>
      </c>
      <c r="Q58" s="74" t="n">
        <v>1</v>
      </c>
      <c r="R58" s="74" t="n">
        <v>1</v>
      </c>
    </row>
    <row r="59" customFormat="false" ht="15" hidden="false" customHeight="true" outlineLevel="0" collapsed="false">
      <c r="A59" s="30" t="s">
        <v>510</v>
      </c>
      <c r="B59" s="74"/>
      <c r="C59" s="75" t="n">
        <v>0.673387096774194</v>
      </c>
      <c r="D59" s="75" t="n">
        <v>0.790419161676647</v>
      </c>
      <c r="E59" s="75" t="n">
        <v>1.16666666666667</v>
      </c>
      <c r="F59" s="75" t="n">
        <v>0.863636363636364</v>
      </c>
      <c r="G59" s="75" t="n">
        <v>0.834586466165414</v>
      </c>
      <c r="H59" s="75" t="n">
        <v>0.666666666666667</v>
      </c>
      <c r="I59" s="75" t="n">
        <v>0.581081081081081</v>
      </c>
      <c r="J59" s="75" t="n">
        <v>0.558139534883721</v>
      </c>
      <c r="K59" s="75" t="n">
        <v>0.458333333333333</v>
      </c>
      <c r="L59" s="75" t="n">
        <v>0.454545454545455</v>
      </c>
      <c r="M59" s="75" t="n">
        <v>1.4</v>
      </c>
      <c r="N59" s="75" t="n">
        <v>0.571428571428571</v>
      </c>
      <c r="O59" s="75" t="n">
        <v>0.75</v>
      </c>
      <c r="P59" s="75" t="n">
        <v>0.666666666666667</v>
      </c>
      <c r="Q59" s="75" t="n">
        <v>0.5</v>
      </c>
      <c r="R59" s="75" t="n">
        <v>1</v>
      </c>
    </row>
    <row r="60" customFormat="false" ht="15" hidden="false" customHeight="true" outlineLevel="0" collapsed="false">
      <c r="A60" s="30" t="s">
        <v>449</v>
      </c>
      <c r="B60" s="75" t="n">
        <v>1</v>
      </c>
      <c r="C60" s="75" t="n">
        <v>0.673387096774194</v>
      </c>
      <c r="D60" s="75" t="n">
        <v>0.532258064516129</v>
      </c>
      <c r="E60" s="75" t="n">
        <v>0.620967741935484</v>
      </c>
      <c r="F60" s="75" t="n">
        <v>0.536290322580645</v>
      </c>
      <c r="G60" s="75" t="n">
        <v>0.44758064516129</v>
      </c>
      <c r="H60" s="75" t="n">
        <v>0.298387096774194</v>
      </c>
      <c r="I60" s="75" t="n">
        <v>0.173387096774194</v>
      </c>
      <c r="J60" s="75" t="n">
        <v>0.0967741935483871</v>
      </c>
      <c r="K60" s="75" t="n">
        <v>0.0443548387096774</v>
      </c>
      <c r="L60" s="75" t="n">
        <v>0.0201612903225806</v>
      </c>
      <c r="M60" s="75" t="n">
        <v>0.0282258064516129</v>
      </c>
      <c r="N60" s="75" t="n">
        <v>0.0161290322580645</v>
      </c>
      <c r="O60" s="75" t="n">
        <v>0.0120967741935484</v>
      </c>
      <c r="P60" s="75" t="n">
        <v>0.00806451612903226</v>
      </c>
      <c r="Q60" s="75" t="n">
        <v>0.00403225806451613</v>
      </c>
      <c r="R60" s="75" t="n">
        <v>0.00403225806451613</v>
      </c>
    </row>
    <row r="62" customFormat="false" ht="24" hidden="false" customHeight="true" outlineLevel="0" collapsed="false">
      <c r="A62" s="65" t="s">
        <v>410</v>
      </c>
      <c r="B62" s="65"/>
      <c r="C62" s="65"/>
      <c r="D62" s="65"/>
      <c r="E62" s="65"/>
      <c r="F62" s="65"/>
      <c r="G62" s="65"/>
      <c r="H62" s="65"/>
      <c r="I62" s="65"/>
      <c r="J62" s="65"/>
      <c r="K62" s="65"/>
      <c r="L62" s="65"/>
      <c r="M62" s="65"/>
      <c r="N62" s="65"/>
      <c r="O62" s="65"/>
      <c r="P62" s="65"/>
    </row>
    <row r="63" customFormat="false" ht="27.75" hidden="false" customHeight="true" outlineLevel="0" collapsed="false">
      <c r="B63" s="69" t="s">
        <v>509</v>
      </c>
      <c r="C63" s="69"/>
      <c r="D63" s="69"/>
      <c r="E63" s="69"/>
      <c r="F63" s="69"/>
      <c r="G63" s="69"/>
      <c r="H63" s="69"/>
      <c r="I63" s="69"/>
      <c r="J63" s="69"/>
      <c r="K63" s="69"/>
      <c r="L63" s="69"/>
      <c r="M63" s="69"/>
      <c r="N63" s="69"/>
      <c r="O63" s="69"/>
      <c r="P63" s="69"/>
    </row>
    <row r="64" customFormat="false" ht="6" hidden="false" customHeight="true" outlineLevel="0" collapsed="false">
      <c r="B64" s="71"/>
      <c r="C64" s="72"/>
      <c r="D64" s="72"/>
      <c r="E64" s="72"/>
      <c r="F64" s="72"/>
      <c r="G64" s="72"/>
      <c r="H64" s="72"/>
      <c r="I64" s="72"/>
      <c r="J64" s="72"/>
      <c r="K64" s="72"/>
      <c r="L64" s="72"/>
      <c r="M64" s="72"/>
      <c r="N64" s="72"/>
      <c r="O64" s="72"/>
      <c r="P64" s="73"/>
    </row>
    <row r="65" customFormat="false" ht="15" hidden="false" customHeight="true" outlineLevel="0" collapsed="false">
      <c r="A65" s="12" t="s">
        <v>275</v>
      </c>
      <c r="B65" s="37" t="n">
        <v>1</v>
      </c>
      <c r="C65" s="37" t="n">
        <v>2</v>
      </c>
      <c r="D65" s="37" t="n">
        <v>3</v>
      </c>
      <c r="E65" s="37" t="n">
        <v>4</v>
      </c>
      <c r="F65" s="37" t="n">
        <v>5</v>
      </c>
      <c r="G65" s="37" t="n">
        <v>6</v>
      </c>
      <c r="H65" s="37" t="n">
        <v>7</v>
      </c>
      <c r="I65" s="37" t="n">
        <v>8</v>
      </c>
      <c r="J65" s="37" t="n">
        <v>9</v>
      </c>
      <c r="K65" s="37" t="n">
        <v>10</v>
      </c>
      <c r="L65" s="37" t="n">
        <v>11</v>
      </c>
      <c r="M65" s="37" t="n">
        <v>12</v>
      </c>
      <c r="N65" s="37" t="n">
        <v>13</v>
      </c>
      <c r="O65" s="37" t="n">
        <v>14</v>
      </c>
      <c r="P65" s="37" t="n">
        <v>15</v>
      </c>
    </row>
    <row r="66" customFormat="false" ht="15" hidden="false" customHeight="true" outlineLevel="0" collapsed="false">
      <c r="A66" s="30" t="s">
        <v>447</v>
      </c>
      <c r="B66" s="74" t="n">
        <v>474</v>
      </c>
      <c r="C66" s="74" t="n">
        <v>366</v>
      </c>
      <c r="D66" s="74" t="n">
        <v>310</v>
      </c>
      <c r="E66" s="74" t="n">
        <v>311</v>
      </c>
      <c r="F66" s="74" t="n">
        <v>276</v>
      </c>
      <c r="G66" s="74" t="n">
        <v>235</v>
      </c>
      <c r="H66" s="74" t="n">
        <v>105</v>
      </c>
      <c r="I66" s="74" t="n">
        <v>67</v>
      </c>
      <c r="J66" s="74" t="n">
        <v>32</v>
      </c>
      <c r="K66" s="74" t="n">
        <v>21</v>
      </c>
      <c r="L66" s="74" t="n">
        <v>15</v>
      </c>
      <c r="M66" s="74" t="n">
        <v>6</v>
      </c>
      <c r="N66" s="74" t="n">
        <v>6</v>
      </c>
      <c r="O66" s="74" t="n">
        <v>2</v>
      </c>
      <c r="P66" s="74" t="n">
        <v>1</v>
      </c>
    </row>
    <row r="67" customFormat="false" ht="15" hidden="false" customHeight="true" outlineLevel="0" collapsed="false">
      <c r="A67" s="30" t="s">
        <v>510</v>
      </c>
      <c r="B67" s="74"/>
      <c r="C67" s="75" t="n">
        <v>0.772151898734177</v>
      </c>
      <c r="D67" s="75" t="n">
        <v>0.846994535519126</v>
      </c>
      <c r="E67" s="75" t="n">
        <v>1.00322580645161</v>
      </c>
      <c r="F67" s="75" t="n">
        <v>0.887459807073955</v>
      </c>
      <c r="G67" s="75" t="n">
        <v>0.851449275362319</v>
      </c>
      <c r="H67" s="75" t="n">
        <v>0.446808510638298</v>
      </c>
      <c r="I67" s="75" t="n">
        <v>0.638095238095238</v>
      </c>
      <c r="J67" s="75" t="n">
        <v>0.477611940298508</v>
      </c>
      <c r="K67" s="75" t="n">
        <v>0.65625</v>
      </c>
      <c r="L67" s="75" t="n">
        <v>0.714285714285714</v>
      </c>
      <c r="M67" s="75" t="n">
        <v>0.4</v>
      </c>
      <c r="N67" s="75" t="n">
        <v>1</v>
      </c>
      <c r="O67" s="75" t="n">
        <v>0.333333333333333</v>
      </c>
      <c r="P67" s="75" t="n">
        <v>0.5</v>
      </c>
    </row>
    <row r="68" customFormat="false" ht="15" hidden="false" customHeight="true" outlineLevel="0" collapsed="false">
      <c r="A68" s="30" t="s">
        <v>449</v>
      </c>
      <c r="B68" s="75" t="n">
        <v>1</v>
      </c>
      <c r="C68" s="75" t="n">
        <v>0.772151898734177</v>
      </c>
      <c r="D68" s="75" t="n">
        <v>0.654008438818565</v>
      </c>
      <c r="E68" s="75" t="n">
        <v>0.656118143459916</v>
      </c>
      <c r="F68" s="75" t="n">
        <v>0.582278481012658</v>
      </c>
      <c r="G68" s="75" t="n">
        <v>0.4957805907173</v>
      </c>
      <c r="H68" s="75" t="n">
        <v>0.221518987341772</v>
      </c>
      <c r="I68" s="75" t="n">
        <v>0.141350210970464</v>
      </c>
      <c r="J68" s="75" t="n">
        <v>0.0675105485232068</v>
      </c>
      <c r="K68" s="75" t="n">
        <v>0.0443037974683544</v>
      </c>
      <c r="L68" s="75" t="n">
        <v>0.0316455696202532</v>
      </c>
      <c r="M68" s="75" t="n">
        <v>0.0126582278481013</v>
      </c>
      <c r="N68" s="75" t="n">
        <v>0.0126582278481013</v>
      </c>
      <c r="O68" s="75" t="n">
        <v>0.00421940928270042</v>
      </c>
      <c r="P68" s="75" t="n">
        <v>0.00210970464135021</v>
      </c>
    </row>
    <row r="70" customFormat="false" ht="24" hidden="false" customHeight="true" outlineLevel="0" collapsed="false">
      <c r="A70" s="65" t="s">
        <v>411</v>
      </c>
      <c r="B70" s="65"/>
      <c r="C70" s="65"/>
      <c r="D70" s="65"/>
      <c r="E70" s="65"/>
      <c r="F70" s="65"/>
      <c r="G70" s="65"/>
      <c r="H70" s="65"/>
      <c r="I70" s="65"/>
      <c r="J70" s="65"/>
      <c r="K70" s="65"/>
      <c r="L70" s="65"/>
      <c r="M70" s="65"/>
      <c r="N70" s="65"/>
      <c r="O70" s="65"/>
      <c r="P70" s="65"/>
      <c r="Q70" s="65"/>
      <c r="R70" s="65"/>
    </row>
    <row r="71" customFormat="false" ht="27.75" hidden="false" customHeight="true" outlineLevel="0" collapsed="false">
      <c r="B71" s="69" t="s">
        <v>509</v>
      </c>
      <c r="C71" s="69"/>
      <c r="D71" s="69"/>
      <c r="E71" s="69"/>
      <c r="F71" s="69"/>
      <c r="G71" s="69"/>
      <c r="H71" s="69"/>
      <c r="I71" s="69"/>
      <c r="J71" s="69"/>
      <c r="K71" s="69"/>
      <c r="L71" s="69"/>
      <c r="M71" s="69"/>
      <c r="N71" s="69"/>
      <c r="O71" s="69"/>
      <c r="P71" s="69"/>
      <c r="Q71" s="69"/>
      <c r="R71" s="69"/>
    </row>
    <row r="72" customFormat="false" ht="6" hidden="false" customHeight="true" outlineLevel="0" collapsed="false">
      <c r="B72" s="71"/>
      <c r="C72" s="72"/>
      <c r="D72" s="72"/>
      <c r="E72" s="72"/>
      <c r="F72" s="72"/>
      <c r="G72" s="72"/>
      <c r="H72" s="72"/>
      <c r="I72" s="72"/>
      <c r="J72" s="72"/>
      <c r="K72" s="72"/>
      <c r="L72" s="72"/>
      <c r="M72" s="72"/>
      <c r="N72" s="72"/>
      <c r="O72" s="72"/>
      <c r="P72" s="72"/>
      <c r="Q72" s="72"/>
      <c r="R72" s="73"/>
    </row>
    <row r="73" customFormat="false" ht="15" hidden="false" customHeight="true" outlineLevel="0" collapsed="false">
      <c r="A73" s="12" t="s">
        <v>275</v>
      </c>
      <c r="B73" s="37" t="n">
        <v>1</v>
      </c>
      <c r="C73" s="37" t="n">
        <v>2</v>
      </c>
      <c r="D73" s="37" t="n">
        <v>3</v>
      </c>
      <c r="E73" s="37" t="n">
        <v>4</v>
      </c>
      <c r="F73" s="37" t="n">
        <v>5</v>
      </c>
      <c r="G73" s="37" t="n">
        <v>6</v>
      </c>
      <c r="H73" s="37" t="n">
        <v>7</v>
      </c>
      <c r="I73" s="37" t="n">
        <v>8</v>
      </c>
      <c r="J73" s="37" t="n">
        <v>9</v>
      </c>
      <c r="K73" s="37" t="n">
        <v>10</v>
      </c>
      <c r="L73" s="37" t="n">
        <v>11</v>
      </c>
      <c r="M73" s="37" t="n">
        <v>12</v>
      </c>
      <c r="N73" s="37" t="n">
        <v>13</v>
      </c>
      <c r="O73" s="37" t="n">
        <v>14</v>
      </c>
      <c r="P73" s="37" t="n">
        <v>15</v>
      </c>
      <c r="Q73" s="37" t="n">
        <v>16</v>
      </c>
      <c r="R73" s="37" t="n">
        <v>17</v>
      </c>
    </row>
    <row r="74" customFormat="false" ht="15" hidden="false" customHeight="true" outlineLevel="0" collapsed="false">
      <c r="A74" s="30" t="s">
        <v>447</v>
      </c>
      <c r="B74" s="74" t="n">
        <v>505</v>
      </c>
      <c r="C74" s="74" t="n">
        <v>346</v>
      </c>
      <c r="D74" s="74" t="n">
        <v>288</v>
      </c>
      <c r="E74" s="74" t="n">
        <v>277</v>
      </c>
      <c r="F74" s="74" t="n">
        <v>245</v>
      </c>
      <c r="G74" s="74" t="n">
        <v>171</v>
      </c>
      <c r="H74" s="74" t="n">
        <v>114</v>
      </c>
      <c r="I74" s="74" t="n">
        <v>64</v>
      </c>
      <c r="J74" s="74" t="n">
        <v>48</v>
      </c>
      <c r="K74" s="74" t="n">
        <v>33</v>
      </c>
      <c r="L74" s="74" t="n">
        <v>18</v>
      </c>
      <c r="M74" s="74" t="n">
        <v>11</v>
      </c>
      <c r="N74" s="74" t="n">
        <v>8</v>
      </c>
      <c r="O74" s="74" t="n">
        <v>5</v>
      </c>
      <c r="P74" s="74" t="n">
        <v>6</v>
      </c>
      <c r="Q74" s="74" t="n">
        <v>4</v>
      </c>
      <c r="R74" s="74" t="n">
        <v>1</v>
      </c>
    </row>
    <row r="75" customFormat="false" ht="15" hidden="false" customHeight="true" outlineLevel="0" collapsed="false">
      <c r="A75" s="30" t="s">
        <v>510</v>
      </c>
      <c r="B75" s="74"/>
      <c r="C75" s="75" t="n">
        <v>0.685148514851485</v>
      </c>
      <c r="D75" s="75" t="n">
        <v>0.832369942196532</v>
      </c>
      <c r="E75" s="75" t="n">
        <v>0.961805555555556</v>
      </c>
      <c r="F75" s="75" t="n">
        <v>0.884476534296029</v>
      </c>
      <c r="G75" s="75" t="n">
        <v>0.697959183673469</v>
      </c>
      <c r="H75" s="75" t="n">
        <v>0.666666666666667</v>
      </c>
      <c r="I75" s="75" t="n">
        <v>0.56140350877193</v>
      </c>
      <c r="J75" s="75" t="n">
        <v>0.75</v>
      </c>
      <c r="K75" s="75" t="n">
        <v>0.6875</v>
      </c>
      <c r="L75" s="75" t="n">
        <v>0.545454545454545</v>
      </c>
      <c r="M75" s="75" t="n">
        <v>0.611111111111111</v>
      </c>
      <c r="N75" s="75" t="n">
        <v>0.727272727272727</v>
      </c>
      <c r="O75" s="75" t="n">
        <v>0.625</v>
      </c>
      <c r="P75" s="75" t="n">
        <v>1.2</v>
      </c>
      <c r="Q75" s="75" t="n">
        <v>0.666666666666667</v>
      </c>
      <c r="R75" s="75" t="n">
        <v>0.25</v>
      </c>
    </row>
    <row r="76" customFormat="false" ht="15" hidden="false" customHeight="true" outlineLevel="0" collapsed="false">
      <c r="A76" s="30" t="s">
        <v>449</v>
      </c>
      <c r="B76" s="75" t="n">
        <v>1</v>
      </c>
      <c r="C76" s="75" t="n">
        <v>0.685148514851485</v>
      </c>
      <c r="D76" s="75" t="n">
        <v>0.57029702970297</v>
      </c>
      <c r="E76" s="75" t="n">
        <v>0.548514851485149</v>
      </c>
      <c r="F76" s="75" t="n">
        <v>0.485148514851485</v>
      </c>
      <c r="G76" s="75" t="n">
        <v>0.338613861386139</v>
      </c>
      <c r="H76" s="75" t="n">
        <v>0.225742574257426</v>
      </c>
      <c r="I76" s="75" t="n">
        <v>0.126732673267327</v>
      </c>
      <c r="J76" s="75" t="n">
        <v>0.0950495049504951</v>
      </c>
      <c r="K76" s="75" t="n">
        <v>0.0653465346534654</v>
      </c>
      <c r="L76" s="75" t="n">
        <v>0.0356435643564356</v>
      </c>
      <c r="M76" s="75" t="n">
        <v>0.0217821782178218</v>
      </c>
      <c r="N76" s="75" t="n">
        <v>0.0158415841584158</v>
      </c>
      <c r="O76" s="75" t="n">
        <v>0.0099009900990099</v>
      </c>
      <c r="P76" s="75" t="n">
        <v>0.0118811881188119</v>
      </c>
      <c r="Q76" s="75" t="n">
        <v>0.00792079207920792</v>
      </c>
      <c r="R76" s="75" t="n">
        <v>0.00198019801980198</v>
      </c>
    </row>
    <row r="78" customFormat="false" ht="24" hidden="false" customHeight="true" outlineLevel="0" collapsed="false">
      <c r="A78" s="65" t="s">
        <v>412</v>
      </c>
      <c r="B78" s="65"/>
      <c r="C78" s="65"/>
      <c r="D78" s="65"/>
      <c r="E78" s="65"/>
      <c r="F78" s="65"/>
      <c r="G78" s="65"/>
      <c r="H78" s="65"/>
      <c r="I78" s="65"/>
      <c r="J78" s="65"/>
      <c r="K78" s="65"/>
      <c r="L78" s="65"/>
      <c r="M78" s="65"/>
      <c r="N78" s="65"/>
      <c r="O78" s="65"/>
      <c r="P78" s="65"/>
      <c r="Q78" s="65"/>
    </row>
    <row r="79" customFormat="false" ht="27.75" hidden="false" customHeight="true" outlineLevel="0" collapsed="false">
      <c r="B79" s="69" t="s">
        <v>509</v>
      </c>
      <c r="C79" s="69"/>
      <c r="D79" s="69"/>
      <c r="E79" s="69"/>
      <c r="F79" s="69"/>
      <c r="G79" s="69"/>
      <c r="H79" s="69"/>
      <c r="I79" s="69"/>
      <c r="J79" s="69"/>
      <c r="K79" s="69"/>
      <c r="L79" s="69"/>
      <c r="M79" s="69"/>
      <c r="N79" s="69"/>
      <c r="O79" s="69"/>
      <c r="P79" s="69"/>
      <c r="Q79" s="69"/>
    </row>
    <row r="80" customFormat="false" ht="6" hidden="false" customHeight="true" outlineLevel="0" collapsed="false">
      <c r="B80" s="71"/>
      <c r="C80" s="72"/>
      <c r="D80" s="72"/>
      <c r="E80" s="72"/>
      <c r="F80" s="72"/>
      <c r="G80" s="72"/>
      <c r="H80" s="72"/>
      <c r="I80" s="72"/>
      <c r="J80" s="72"/>
      <c r="K80" s="72"/>
      <c r="L80" s="72"/>
      <c r="M80" s="72"/>
      <c r="N80" s="72"/>
      <c r="O80" s="72"/>
      <c r="P80" s="72"/>
      <c r="Q80" s="73"/>
    </row>
    <row r="81" customFormat="false" ht="15" hidden="false" customHeight="true" outlineLevel="0" collapsed="false">
      <c r="A81" s="12" t="s">
        <v>275</v>
      </c>
      <c r="B81" s="37" t="n">
        <v>1</v>
      </c>
      <c r="C81" s="37" t="n">
        <v>2</v>
      </c>
      <c r="D81" s="37" t="n">
        <v>3</v>
      </c>
      <c r="E81" s="37" t="n">
        <v>4</v>
      </c>
      <c r="F81" s="37" t="n">
        <v>5</v>
      </c>
      <c r="G81" s="37" t="n">
        <v>6</v>
      </c>
      <c r="H81" s="37" t="n">
        <v>7</v>
      </c>
      <c r="I81" s="37" t="n">
        <v>8</v>
      </c>
      <c r="J81" s="37" t="n">
        <v>9</v>
      </c>
      <c r="K81" s="37" t="n">
        <v>10</v>
      </c>
      <c r="L81" s="37" t="n">
        <v>11</v>
      </c>
      <c r="M81" s="37" t="n">
        <v>12</v>
      </c>
      <c r="N81" s="37" t="n">
        <v>13</v>
      </c>
      <c r="O81" s="37" t="n">
        <v>14</v>
      </c>
      <c r="P81" s="37" t="n">
        <v>15</v>
      </c>
      <c r="Q81" s="37" t="n">
        <v>16</v>
      </c>
    </row>
    <row r="82" customFormat="false" ht="15" hidden="false" customHeight="true" outlineLevel="0" collapsed="false">
      <c r="A82" s="30" t="s">
        <v>447</v>
      </c>
      <c r="B82" s="74" t="n">
        <v>256</v>
      </c>
      <c r="C82" s="74" t="n">
        <v>218</v>
      </c>
      <c r="D82" s="74" t="n">
        <v>208</v>
      </c>
      <c r="E82" s="74" t="n">
        <v>207</v>
      </c>
      <c r="F82" s="74" t="n">
        <v>204</v>
      </c>
      <c r="G82" s="74" t="n">
        <v>35</v>
      </c>
      <c r="H82" s="74" t="n">
        <v>16</v>
      </c>
      <c r="I82" s="74" t="n">
        <v>16</v>
      </c>
      <c r="J82" s="74" t="n">
        <v>11</v>
      </c>
      <c r="K82" s="74" t="n">
        <v>6</v>
      </c>
      <c r="L82" s="74" t="n">
        <v>3</v>
      </c>
      <c r="M82" s="74" t="n">
        <v>2</v>
      </c>
      <c r="N82" s="74" t="n">
        <v>3</v>
      </c>
      <c r="O82" s="74" t="n">
        <v>3</v>
      </c>
      <c r="P82" s="74" t="n">
        <v>1</v>
      </c>
      <c r="Q82" s="74" t="n">
        <v>1</v>
      </c>
    </row>
    <row r="83" customFormat="false" ht="15" hidden="false" customHeight="true" outlineLevel="0" collapsed="false">
      <c r="A83" s="30" t="s">
        <v>510</v>
      </c>
      <c r="B83" s="74"/>
      <c r="C83" s="75" t="n">
        <v>0.8515625</v>
      </c>
      <c r="D83" s="75" t="n">
        <v>0.954128440366973</v>
      </c>
      <c r="E83" s="75" t="n">
        <v>0.995192307692308</v>
      </c>
      <c r="F83" s="75" t="n">
        <v>0.985507246376812</v>
      </c>
      <c r="G83" s="75" t="n">
        <v>0.17156862745098</v>
      </c>
      <c r="H83" s="75" t="n">
        <v>0.457142857142857</v>
      </c>
      <c r="I83" s="75" t="n">
        <v>1</v>
      </c>
      <c r="J83" s="75" t="n">
        <v>0.6875</v>
      </c>
      <c r="K83" s="75" t="n">
        <v>0.545454545454545</v>
      </c>
      <c r="L83" s="75" t="n">
        <v>0.5</v>
      </c>
      <c r="M83" s="75" t="n">
        <v>0.666666666666667</v>
      </c>
      <c r="N83" s="75" t="n">
        <v>1.5</v>
      </c>
      <c r="O83" s="75" t="n">
        <v>1</v>
      </c>
      <c r="P83" s="75" t="n">
        <v>0.333333333333333</v>
      </c>
      <c r="Q83" s="75" t="n">
        <v>1</v>
      </c>
    </row>
    <row r="84" customFormat="false" ht="15" hidden="false" customHeight="true" outlineLevel="0" collapsed="false">
      <c r="A84" s="30" t="s">
        <v>449</v>
      </c>
      <c r="B84" s="75" t="n">
        <v>1</v>
      </c>
      <c r="C84" s="75" t="n">
        <v>0.8515625</v>
      </c>
      <c r="D84" s="75" t="n">
        <v>0.8125</v>
      </c>
      <c r="E84" s="75" t="n">
        <v>0.80859375</v>
      </c>
      <c r="F84" s="75" t="n">
        <v>0.796875</v>
      </c>
      <c r="G84" s="75" t="n">
        <v>0.13671875</v>
      </c>
      <c r="H84" s="75" t="n">
        <v>0.0625</v>
      </c>
      <c r="I84" s="75" t="n">
        <v>0.0625</v>
      </c>
      <c r="J84" s="75" t="n">
        <v>0.04296875</v>
      </c>
      <c r="K84" s="75" t="n">
        <v>0.0234375</v>
      </c>
      <c r="L84" s="75" t="n">
        <v>0.01171875</v>
      </c>
      <c r="M84" s="75" t="n">
        <v>0.0078125</v>
      </c>
      <c r="N84" s="75" t="n">
        <v>0.01171875</v>
      </c>
      <c r="O84" s="75" t="n">
        <v>0.01171875</v>
      </c>
      <c r="P84" s="75" t="n">
        <v>0.00390625</v>
      </c>
      <c r="Q84" s="75" t="n">
        <v>0.00390625</v>
      </c>
    </row>
    <row r="86" customFormat="false" ht="24" hidden="false" customHeight="true" outlineLevel="0" collapsed="false">
      <c r="A86" s="65" t="s">
        <v>413</v>
      </c>
      <c r="B86" s="65"/>
      <c r="C86" s="65"/>
      <c r="D86" s="65"/>
      <c r="E86" s="65"/>
      <c r="F86" s="65"/>
      <c r="G86" s="65"/>
      <c r="H86" s="65"/>
      <c r="I86" s="65"/>
      <c r="J86" s="65"/>
      <c r="K86" s="65"/>
      <c r="L86" s="65"/>
      <c r="M86" s="65"/>
    </row>
    <row r="87" customFormat="false" ht="27.75" hidden="false" customHeight="true" outlineLevel="0" collapsed="false">
      <c r="B87" s="69" t="s">
        <v>509</v>
      </c>
      <c r="C87" s="69"/>
      <c r="D87" s="69"/>
      <c r="E87" s="69"/>
      <c r="F87" s="69"/>
      <c r="G87" s="69"/>
      <c r="H87" s="69"/>
      <c r="I87" s="69"/>
      <c r="J87" s="69"/>
      <c r="K87" s="69"/>
      <c r="L87" s="69"/>
      <c r="M87" s="69"/>
    </row>
    <row r="88" customFormat="false" ht="6" hidden="false" customHeight="true" outlineLevel="0" collapsed="false">
      <c r="B88" s="71"/>
      <c r="C88" s="72"/>
      <c r="D88" s="72"/>
      <c r="E88" s="72"/>
      <c r="F88" s="72"/>
      <c r="G88" s="72"/>
      <c r="H88" s="72"/>
      <c r="I88" s="72"/>
      <c r="J88" s="72"/>
      <c r="K88" s="72"/>
      <c r="L88" s="72"/>
      <c r="M88" s="73"/>
    </row>
    <row r="89" customFormat="false" ht="15" hidden="false" customHeight="true" outlineLevel="0" collapsed="false">
      <c r="A89" s="12" t="s">
        <v>275</v>
      </c>
      <c r="B89" s="37" t="n">
        <v>1</v>
      </c>
      <c r="C89" s="37" t="n">
        <v>2</v>
      </c>
      <c r="D89" s="37" t="n">
        <v>3</v>
      </c>
      <c r="E89" s="37" t="n">
        <v>4</v>
      </c>
      <c r="F89" s="37" t="n">
        <v>5</v>
      </c>
      <c r="G89" s="37" t="n">
        <v>6</v>
      </c>
      <c r="H89" s="37" t="n">
        <v>7</v>
      </c>
      <c r="I89" s="37" t="n">
        <v>8</v>
      </c>
      <c r="J89" s="37" t="n">
        <v>9</v>
      </c>
      <c r="K89" s="37" t="n">
        <v>10</v>
      </c>
      <c r="L89" s="37" t="n">
        <v>11</v>
      </c>
      <c r="M89" s="37" t="n">
        <v>12</v>
      </c>
    </row>
    <row r="90" customFormat="false" ht="15" hidden="false" customHeight="true" outlineLevel="0" collapsed="false">
      <c r="A90" s="30" t="s">
        <v>447</v>
      </c>
      <c r="B90" s="74" t="n">
        <v>240</v>
      </c>
      <c r="C90" s="74" t="n">
        <v>201</v>
      </c>
      <c r="D90" s="74" t="n">
        <v>189</v>
      </c>
      <c r="E90" s="74" t="n">
        <v>179</v>
      </c>
      <c r="F90" s="74" t="n">
        <v>175</v>
      </c>
      <c r="G90" s="74" t="n">
        <v>164</v>
      </c>
      <c r="H90" s="74" t="n">
        <v>158</v>
      </c>
      <c r="I90" s="74" t="n">
        <v>161</v>
      </c>
      <c r="J90" s="74" t="n">
        <v>35</v>
      </c>
      <c r="K90" s="74" t="n">
        <v>19</v>
      </c>
      <c r="L90" s="74" t="n">
        <v>7</v>
      </c>
      <c r="M90" s="74" t="n">
        <v>1</v>
      </c>
    </row>
    <row r="91" customFormat="false" ht="15" hidden="false" customHeight="true" outlineLevel="0" collapsed="false">
      <c r="A91" s="30" t="s">
        <v>510</v>
      </c>
      <c r="B91" s="74"/>
      <c r="C91" s="75" t="n">
        <v>0.8375</v>
      </c>
      <c r="D91" s="75" t="n">
        <v>0.940298507462687</v>
      </c>
      <c r="E91" s="75" t="n">
        <v>0.947089947089947</v>
      </c>
      <c r="F91" s="75" t="n">
        <v>0.977653631284916</v>
      </c>
      <c r="G91" s="75" t="n">
        <v>0.937142857142857</v>
      </c>
      <c r="H91" s="75" t="n">
        <v>0.963414634146341</v>
      </c>
      <c r="I91" s="75" t="n">
        <v>1.01898734177215</v>
      </c>
      <c r="J91" s="75" t="n">
        <v>0.217391304347826</v>
      </c>
      <c r="K91" s="75" t="n">
        <v>0.542857142857143</v>
      </c>
      <c r="L91" s="75" t="n">
        <v>0.368421052631579</v>
      </c>
      <c r="M91" s="75" t="n">
        <v>0.142857142857143</v>
      </c>
    </row>
    <row r="92" customFormat="false" ht="15" hidden="false" customHeight="true" outlineLevel="0" collapsed="false">
      <c r="A92" s="30" t="s">
        <v>449</v>
      </c>
      <c r="B92" s="75" t="n">
        <v>1</v>
      </c>
      <c r="C92" s="75" t="n">
        <v>0.8375</v>
      </c>
      <c r="D92" s="75" t="n">
        <v>0.7875</v>
      </c>
      <c r="E92" s="75" t="n">
        <v>0.745833333333333</v>
      </c>
      <c r="F92" s="75" t="n">
        <v>0.729166666666667</v>
      </c>
      <c r="G92" s="75" t="n">
        <v>0.683333333333333</v>
      </c>
      <c r="H92" s="75" t="n">
        <v>0.658333333333333</v>
      </c>
      <c r="I92" s="75" t="n">
        <v>0.670833333333333</v>
      </c>
      <c r="J92" s="75" t="n">
        <v>0.145833333333333</v>
      </c>
      <c r="K92" s="75" t="n">
        <v>0.0791666666666667</v>
      </c>
      <c r="L92" s="75" t="n">
        <v>0.0291666666666667</v>
      </c>
      <c r="M92" s="75" t="n">
        <v>0.00416666666666667</v>
      </c>
    </row>
    <row r="94" customFormat="false" ht="24" hidden="false" customHeight="true" outlineLevel="0" collapsed="false">
      <c r="A94" s="65" t="s">
        <v>414</v>
      </c>
      <c r="B94" s="65"/>
      <c r="C94" s="65"/>
      <c r="D94" s="65"/>
      <c r="E94" s="65"/>
      <c r="F94" s="65"/>
      <c r="G94" s="65"/>
      <c r="H94" s="65"/>
      <c r="I94" s="65"/>
      <c r="J94" s="65"/>
      <c r="K94" s="65"/>
      <c r="L94" s="65"/>
      <c r="M94" s="65"/>
      <c r="N94" s="65"/>
      <c r="O94" s="65"/>
      <c r="P94" s="65"/>
    </row>
    <row r="95" customFormat="false" ht="27.75" hidden="false" customHeight="true" outlineLevel="0" collapsed="false">
      <c r="B95" s="69" t="s">
        <v>509</v>
      </c>
      <c r="C95" s="69"/>
      <c r="D95" s="69"/>
      <c r="E95" s="69"/>
      <c r="F95" s="69"/>
      <c r="G95" s="69"/>
      <c r="H95" s="69"/>
      <c r="I95" s="69"/>
      <c r="J95" s="69"/>
      <c r="K95" s="69"/>
      <c r="L95" s="69"/>
      <c r="M95" s="69"/>
      <c r="N95" s="69"/>
      <c r="O95" s="69"/>
      <c r="P95" s="69"/>
    </row>
    <row r="96" customFormat="false" ht="6" hidden="false" customHeight="true" outlineLevel="0" collapsed="false">
      <c r="B96" s="71"/>
      <c r="C96" s="72"/>
      <c r="D96" s="72"/>
      <c r="E96" s="72"/>
      <c r="F96" s="72"/>
      <c r="G96" s="72"/>
      <c r="H96" s="72"/>
      <c r="I96" s="72"/>
      <c r="J96" s="72"/>
      <c r="K96" s="72"/>
      <c r="L96" s="72"/>
      <c r="M96" s="72"/>
      <c r="N96" s="72"/>
      <c r="O96" s="72"/>
      <c r="P96" s="73"/>
    </row>
    <row r="97" customFormat="false" ht="15" hidden="false" customHeight="true" outlineLevel="0" collapsed="false">
      <c r="A97" s="12" t="s">
        <v>275</v>
      </c>
      <c r="B97" s="37" t="n">
        <v>1</v>
      </c>
      <c r="C97" s="37" t="n">
        <v>2</v>
      </c>
      <c r="D97" s="37" t="n">
        <v>3</v>
      </c>
      <c r="E97" s="37" t="n">
        <v>4</v>
      </c>
      <c r="F97" s="37" t="n">
        <v>5</v>
      </c>
      <c r="G97" s="37" t="n">
        <v>6</v>
      </c>
      <c r="H97" s="37" t="n">
        <v>7</v>
      </c>
      <c r="I97" s="37" t="n">
        <v>8</v>
      </c>
      <c r="J97" s="37" t="n">
        <v>9</v>
      </c>
      <c r="K97" s="37" t="n">
        <v>10</v>
      </c>
      <c r="L97" s="37" t="n">
        <v>11</v>
      </c>
      <c r="M97" s="37" t="n">
        <v>12</v>
      </c>
      <c r="N97" s="37" t="n">
        <v>13</v>
      </c>
      <c r="O97" s="37" t="n">
        <v>14</v>
      </c>
      <c r="P97" s="37" t="n">
        <v>15</v>
      </c>
    </row>
    <row r="98" customFormat="false" ht="15" hidden="false" customHeight="true" outlineLevel="0" collapsed="false">
      <c r="A98" s="30" t="s">
        <v>447</v>
      </c>
      <c r="B98" s="74" t="n">
        <v>115</v>
      </c>
      <c r="C98" s="74" t="n">
        <v>102</v>
      </c>
      <c r="D98" s="74" t="n">
        <v>100</v>
      </c>
      <c r="E98" s="74" t="n">
        <v>95</v>
      </c>
      <c r="F98" s="74" t="n">
        <v>33</v>
      </c>
      <c r="G98" s="74" t="n">
        <v>22</v>
      </c>
      <c r="H98" s="74" t="n">
        <v>17</v>
      </c>
      <c r="I98" s="74" t="n">
        <v>2</v>
      </c>
      <c r="J98" s="74" t="n">
        <v>2</v>
      </c>
      <c r="K98" s="74" t="n">
        <v>1</v>
      </c>
      <c r="L98" s="74" t="n">
        <v>0</v>
      </c>
      <c r="M98" s="74" t="n">
        <v>1</v>
      </c>
      <c r="N98" s="74" t="n">
        <v>2</v>
      </c>
      <c r="O98" s="74" t="n">
        <v>1</v>
      </c>
      <c r="P98" s="74" t="n">
        <v>1</v>
      </c>
    </row>
    <row r="99" customFormat="false" ht="15" hidden="false" customHeight="true" outlineLevel="0" collapsed="false">
      <c r="A99" s="30" t="s">
        <v>510</v>
      </c>
      <c r="B99" s="74"/>
      <c r="C99" s="75" t="n">
        <v>0.88695652173913</v>
      </c>
      <c r="D99" s="75" t="n">
        <v>0.980392156862745</v>
      </c>
      <c r="E99" s="75" t="n">
        <v>0.95</v>
      </c>
      <c r="F99" s="75" t="n">
        <v>0.347368421052632</v>
      </c>
      <c r="G99" s="75" t="n">
        <v>0.666666666666667</v>
      </c>
      <c r="H99" s="75" t="n">
        <v>0.772727272727273</v>
      </c>
      <c r="I99" s="75" t="n">
        <v>0.117647058823529</v>
      </c>
      <c r="J99" s="75" t="n">
        <v>1</v>
      </c>
      <c r="K99" s="75" t="n">
        <v>0.5</v>
      </c>
      <c r="L99" s="75" t="n">
        <v>0</v>
      </c>
      <c r="M99" s="74"/>
      <c r="N99" s="75" t="n">
        <v>2</v>
      </c>
      <c r="O99" s="75" t="n">
        <v>0.5</v>
      </c>
      <c r="P99" s="75" t="n">
        <v>1</v>
      </c>
    </row>
    <row r="100" customFormat="false" ht="15" hidden="false" customHeight="true" outlineLevel="0" collapsed="false">
      <c r="A100" s="30" t="s">
        <v>449</v>
      </c>
      <c r="B100" s="75" t="n">
        <v>1</v>
      </c>
      <c r="C100" s="75" t="n">
        <v>0.88695652173913</v>
      </c>
      <c r="D100" s="75" t="n">
        <v>0.869565217391304</v>
      </c>
      <c r="E100" s="75" t="n">
        <v>0.826086956521739</v>
      </c>
      <c r="F100" s="75" t="n">
        <v>0.28695652173913</v>
      </c>
      <c r="G100" s="75" t="n">
        <v>0.191304347826087</v>
      </c>
      <c r="H100" s="75" t="n">
        <v>0.147826086956522</v>
      </c>
      <c r="I100" s="75" t="n">
        <v>0.0173913043478261</v>
      </c>
      <c r="J100" s="75" t="n">
        <v>0.0173913043478261</v>
      </c>
      <c r="K100" s="75" t="n">
        <v>0.00869565217391304</v>
      </c>
      <c r="L100" s="75" t="n">
        <v>0</v>
      </c>
      <c r="M100" s="75" t="n">
        <v>0.00869565217391304</v>
      </c>
      <c r="N100" s="75" t="n">
        <v>0.0173913043478261</v>
      </c>
      <c r="O100" s="75" t="n">
        <v>0.00869565217391304</v>
      </c>
      <c r="P100" s="75" t="n">
        <v>0.00869565217391304</v>
      </c>
    </row>
    <row r="102" customFormat="false" ht="24" hidden="false" customHeight="true" outlineLevel="0" collapsed="false">
      <c r="A102" s="65" t="s">
        <v>415</v>
      </c>
      <c r="B102" s="65"/>
      <c r="C102" s="65"/>
      <c r="D102" s="65"/>
      <c r="E102" s="65"/>
      <c r="F102" s="65"/>
      <c r="G102" s="65"/>
      <c r="H102" s="65"/>
    </row>
    <row r="103" customFormat="false" ht="15" hidden="false" customHeight="true" outlineLevel="0" collapsed="false">
      <c r="A103" s="29" t="s">
        <v>272</v>
      </c>
      <c r="B103" s="29"/>
      <c r="C103" s="29"/>
      <c r="D103" s="29"/>
      <c r="E103" s="29"/>
      <c r="F103" s="29"/>
      <c r="G103" s="29"/>
      <c r="H103" s="29"/>
    </row>
    <row r="105" customFormat="false" ht="24" hidden="false" customHeight="true" outlineLevel="0" collapsed="false">
      <c r="A105" s="65" t="s">
        <v>416</v>
      </c>
      <c r="B105" s="65"/>
      <c r="C105" s="65"/>
      <c r="D105" s="65"/>
      <c r="E105" s="65"/>
      <c r="F105" s="65"/>
      <c r="G105" s="65"/>
      <c r="H105" s="65"/>
    </row>
    <row r="106" customFormat="false" ht="15" hidden="false" customHeight="true" outlineLevel="0" collapsed="false">
      <c r="A106" s="29" t="s">
        <v>272</v>
      </c>
      <c r="B106" s="29"/>
      <c r="C106" s="29"/>
      <c r="D106" s="29"/>
      <c r="E106" s="29"/>
      <c r="F106" s="29"/>
      <c r="G106" s="29"/>
      <c r="H106" s="29"/>
    </row>
    <row r="108" customFormat="false" ht="24" hidden="false" customHeight="true" outlineLevel="0" collapsed="false">
      <c r="A108" s="65" t="s">
        <v>417</v>
      </c>
      <c r="B108" s="65"/>
      <c r="C108" s="65"/>
      <c r="D108" s="65"/>
      <c r="E108" s="65"/>
      <c r="F108" s="65"/>
      <c r="G108" s="65"/>
      <c r="H108" s="65"/>
      <c r="I108" s="65"/>
      <c r="J108" s="65"/>
      <c r="K108" s="65"/>
      <c r="L108" s="65"/>
      <c r="M108" s="65"/>
      <c r="N108" s="65"/>
      <c r="O108" s="65"/>
      <c r="P108" s="65"/>
      <c r="Q108" s="65"/>
    </row>
    <row r="109" customFormat="false" ht="27.75" hidden="false" customHeight="true" outlineLevel="0" collapsed="false">
      <c r="B109" s="69" t="s">
        <v>509</v>
      </c>
      <c r="C109" s="69"/>
      <c r="D109" s="69"/>
      <c r="E109" s="69"/>
      <c r="F109" s="69"/>
      <c r="G109" s="69"/>
      <c r="H109" s="69"/>
      <c r="I109" s="69"/>
      <c r="J109" s="69"/>
      <c r="K109" s="69"/>
      <c r="L109" s="69"/>
      <c r="M109" s="69"/>
      <c r="N109" s="69"/>
      <c r="O109" s="69"/>
      <c r="P109" s="69"/>
      <c r="Q109" s="69"/>
    </row>
    <row r="110" customFormat="false" ht="6" hidden="false" customHeight="true" outlineLevel="0" collapsed="false">
      <c r="B110" s="71"/>
      <c r="C110" s="72"/>
      <c r="D110" s="72"/>
      <c r="E110" s="72"/>
      <c r="F110" s="72"/>
      <c r="G110" s="72"/>
      <c r="H110" s="72"/>
      <c r="I110" s="72"/>
      <c r="J110" s="72"/>
      <c r="K110" s="72"/>
      <c r="L110" s="72"/>
      <c r="M110" s="72"/>
      <c r="N110" s="72"/>
      <c r="O110" s="72"/>
      <c r="P110" s="72"/>
      <c r="Q110" s="73"/>
    </row>
    <row r="111" customFormat="false" ht="15" hidden="false" customHeight="true" outlineLevel="0" collapsed="false">
      <c r="A111" s="12" t="s">
        <v>275</v>
      </c>
      <c r="B111" s="37" t="n">
        <v>1</v>
      </c>
      <c r="C111" s="37" t="n">
        <v>2</v>
      </c>
      <c r="D111" s="37" t="n">
        <v>3</v>
      </c>
      <c r="E111" s="37" t="n">
        <v>4</v>
      </c>
      <c r="F111" s="37" t="n">
        <v>5</v>
      </c>
      <c r="G111" s="37" t="n">
        <v>6</v>
      </c>
      <c r="H111" s="37" t="n">
        <v>7</v>
      </c>
      <c r="I111" s="37" t="n">
        <v>8</v>
      </c>
      <c r="J111" s="37" t="n">
        <v>9</v>
      </c>
      <c r="K111" s="37" t="n">
        <v>10</v>
      </c>
      <c r="L111" s="37" t="n">
        <v>11</v>
      </c>
      <c r="M111" s="37" t="n">
        <v>12</v>
      </c>
      <c r="N111" s="37" t="n">
        <v>13</v>
      </c>
      <c r="O111" s="37" t="n">
        <v>14</v>
      </c>
      <c r="P111" s="37" t="n">
        <v>15</v>
      </c>
      <c r="Q111" s="37" t="n">
        <v>16</v>
      </c>
    </row>
    <row r="112" customFormat="false" ht="15" hidden="false" customHeight="true" outlineLevel="0" collapsed="false">
      <c r="A112" s="30" t="s">
        <v>447</v>
      </c>
      <c r="B112" s="74" t="n">
        <v>254</v>
      </c>
      <c r="C112" s="74" t="n">
        <v>201</v>
      </c>
      <c r="D112" s="74" t="n">
        <v>184</v>
      </c>
      <c r="E112" s="74" t="n">
        <v>181</v>
      </c>
      <c r="F112" s="74" t="n">
        <v>183</v>
      </c>
      <c r="G112" s="74" t="n">
        <v>48</v>
      </c>
      <c r="H112" s="74" t="n">
        <v>41</v>
      </c>
      <c r="I112" s="74" t="n">
        <v>31</v>
      </c>
      <c r="J112" s="74" t="n">
        <v>12</v>
      </c>
      <c r="K112" s="74" t="n">
        <v>11</v>
      </c>
      <c r="L112" s="74" t="n">
        <v>9</v>
      </c>
      <c r="M112" s="74" t="n">
        <v>2</v>
      </c>
      <c r="N112" s="74" t="n">
        <v>1</v>
      </c>
      <c r="O112" s="74" t="n">
        <v>1</v>
      </c>
      <c r="P112" s="74" t="n">
        <v>0</v>
      </c>
      <c r="Q112" s="74" t="n">
        <v>1</v>
      </c>
    </row>
    <row r="113" customFormat="false" ht="15" hidden="false" customHeight="true" outlineLevel="0" collapsed="false">
      <c r="A113" s="30" t="s">
        <v>510</v>
      </c>
      <c r="B113" s="74"/>
      <c r="C113" s="75" t="n">
        <v>0.791338582677165</v>
      </c>
      <c r="D113" s="75" t="n">
        <v>0.915422885572139</v>
      </c>
      <c r="E113" s="75" t="n">
        <v>0.983695652173913</v>
      </c>
      <c r="F113" s="75" t="n">
        <v>1.01104972375691</v>
      </c>
      <c r="G113" s="75" t="n">
        <v>0.262295081967213</v>
      </c>
      <c r="H113" s="75" t="n">
        <v>0.854166666666667</v>
      </c>
      <c r="I113" s="75" t="n">
        <v>0.75609756097561</v>
      </c>
      <c r="J113" s="75" t="n">
        <v>0.387096774193548</v>
      </c>
      <c r="K113" s="75" t="n">
        <v>0.916666666666667</v>
      </c>
      <c r="L113" s="75" t="n">
        <v>0.818181818181818</v>
      </c>
      <c r="M113" s="75" t="n">
        <v>0.222222222222222</v>
      </c>
      <c r="N113" s="75" t="n">
        <v>0.5</v>
      </c>
      <c r="O113" s="75" t="n">
        <v>1</v>
      </c>
      <c r="P113" s="75" t="n">
        <v>0</v>
      </c>
      <c r="Q113" s="74"/>
    </row>
    <row r="114" customFormat="false" ht="15" hidden="false" customHeight="true" outlineLevel="0" collapsed="false">
      <c r="A114" s="30" t="s">
        <v>449</v>
      </c>
      <c r="B114" s="75" t="n">
        <v>1</v>
      </c>
      <c r="C114" s="75" t="n">
        <v>0.791338582677165</v>
      </c>
      <c r="D114" s="75" t="n">
        <v>0.724409448818898</v>
      </c>
      <c r="E114" s="75" t="n">
        <v>0.71259842519685</v>
      </c>
      <c r="F114" s="75" t="n">
        <v>0.720472440944882</v>
      </c>
      <c r="G114" s="75" t="n">
        <v>0.188976377952756</v>
      </c>
      <c r="H114" s="75" t="n">
        <v>0.161417322834646</v>
      </c>
      <c r="I114" s="75" t="n">
        <v>0.122047244094488</v>
      </c>
      <c r="J114" s="75" t="n">
        <v>0.047244094488189</v>
      </c>
      <c r="K114" s="75" t="n">
        <v>0.0433070866141732</v>
      </c>
      <c r="L114" s="75" t="n">
        <v>0.0354330708661417</v>
      </c>
      <c r="M114" s="75" t="n">
        <v>0.0078740157480315</v>
      </c>
      <c r="N114" s="75" t="n">
        <v>0.00393700787401575</v>
      </c>
      <c r="O114" s="75" t="n">
        <v>0.00393700787401575</v>
      </c>
      <c r="P114" s="75" t="n">
        <v>0</v>
      </c>
      <c r="Q114" s="75" t="n">
        <v>0.00393700787401575</v>
      </c>
    </row>
    <row r="116" customFormat="false" ht="24" hidden="false" customHeight="true" outlineLevel="0" collapsed="false">
      <c r="A116" s="65" t="s">
        <v>418</v>
      </c>
      <c r="B116" s="65"/>
      <c r="C116" s="65"/>
      <c r="D116" s="65"/>
      <c r="E116" s="65"/>
      <c r="F116" s="65"/>
      <c r="G116" s="65"/>
      <c r="H116" s="65"/>
      <c r="I116" s="65"/>
      <c r="J116" s="65"/>
      <c r="K116" s="65"/>
      <c r="L116" s="65"/>
      <c r="M116" s="65"/>
      <c r="N116" s="65"/>
    </row>
    <row r="117" customFormat="false" ht="27.75" hidden="false" customHeight="true" outlineLevel="0" collapsed="false">
      <c r="B117" s="69" t="s">
        <v>509</v>
      </c>
      <c r="C117" s="69"/>
      <c r="D117" s="69"/>
      <c r="E117" s="69"/>
      <c r="F117" s="69"/>
      <c r="G117" s="69"/>
      <c r="H117" s="69"/>
      <c r="I117" s="69"/>
      <c r="J117" s="69"/>
      <c r="K117" s="69"/>
      <c r="L117" s="69"/>
      <c r="M117" s="69"/>
      <c r="N117" s="69"/>
    </row>
    <row r="118" customFormat="false" ht="6" hidden="false" customHeight="true" outlineLevel="0" collapsed="false">
      <c r="B118" s="71"/>
      <c r="C118" s="72"/>
      <c r="D118" s="72"/>
      <c r="E118" s="72"/>
      <c r="F118" s="72"/>
      <c r="G118" s="72"/>
      <c r="H118" s="72"/>
      <c r="I118" s="72"/>
      <c r="J118" s="72"/>
      <c r="K118" s="72"/>
      <c r="L118" s="72"/>
      <c r="M118" s="72"/>
      <c r="N118" s="73"/>
    </row>
    <row r="119" customFormat="false" ht="15" hidden="false" customHeight="true" outlineLevel="0" collapsed="false">
      <c r="A119" s="12" t="s">
        <v>275</v>
      </c>
      <c r="B119" s="37" t="n">
        <v>1</v>
      </c>
      <c r="C119" s="37" t="n">
        <v>2</v>
      </c>
      <c r="D119" s="37" t="n">
        <v>3</v>
      </c>
      <c r="E119" s="37" t="n">
        <v>4</v>
      </c>
      <c r="F119" s="37" t="n">
        <v>5</v>
      </c>
      <c r="G119" s="37" t="n">
        <v>6</v>
      </c>
      <c r="H119" s="37" t="n">
        <v>7</v>
      </c>
      <c r="I119" s="37" t="n">
        <v>8</v>
      </c>
      <c r="J119" s="37" t="n">
        <v>9</v>
      </c>
      <c r="K119" s="37" t="n">
        <v>10</v>
      </c>
      <c r="L119" s="37" t="n">
        <v>11</v>
      </c>
      <c r="M119" s="37" t="n">
        <v>12</v>
      </c>
      <c r="N119" s="37" t="n">
        <v>13</v>
      </c>
    </row>
    <row r="120" customFormat="false" ht="15" hidden="false" customHeight="true" outlineLevel="0" collapsed="false">
      <c r="A120" s="30" t="s">
        <v>447</v>
      </c>
      <c r="B120" s="74" t="n">
        <v>82</v>
      </c>
      <c r="C120" s="74" t="n">
        <v>63</v>
      </c>
      <c r="D120" s="74" t="n">
        <v>58</v>
      </c>
      <c r="E120" s="74" t="n">
        <v>56</v>
      </c>
      <c r="F120" s="74" t="n">
        <v>4</v>
      </c>
      <c r="G120" s="74" t="n">
        <v>6</v>
      </c>
      <c r="H120" s="74" t="n">
        <v>6</v>
      </c>
      <c r="I120" s="74" t="n">
        <v>3</v>
      </c>
      <c r="J120" s="74" t="n">
        <v>3</v>
      </c>
      <c r="K120" s="74" t="n">
        <v>1</v>
      </c>
      <c r="L120" s="74" t="n">
        <v>2</v>
      </c>
      <c r="M120" s="74" t="n">
        <v>1</v>
      </c>
      <c r="N120" s="74" t="n">
        <v>1</v>
      </c>
    </row>
    <row r="121" customFormat="false" ht="15" hidden="false" customHeight="true" outlineLevel="0" collapsed="false">
      <c r="A121" s="30" t="s">
        <v>510</v>
      </c>
      <c r="B121" s="74"/>
      <c r="C121" s="75" t="n">
        <v>0.768292682926829</v>
      </c>
      <c r="D121" s="75" t="n">
        <v>0.920634920634921</v>
      </c>
      <c r="E121" s="75" t="n">
        <v>0.96551724137931</v>
      </c>
      <c r="F121" s="75" t="n">
        <v>0.0714285714285714</v>
      </c>
      <c r="G121" s="75" t="n">
        <v>1.5</v>
      </c>
      <c r="H121" s="75" t="n">
        <v>1</v>
      </c>
      <c r="I121" s="75" t="n">
        <v>0.5</v>
      </c>
      <c r="J121" s="75" t="n">
        <v>1</v>
      </c>
      <c r="K121" s="75" t="n">
        <v>0.333333333333333</v>
      </c>
      <c r="L121" s="75" t="n">
        <v>2</v>
      </c>
      <c r="M121" s="75" t="n">
        <v>0.5</v>
      </c>
      <c r="N121" s="75" t="n">
        <v>1</v>
      </c>
    </row>
    <row r="122" customFormat="false" ht="15" hidden="false" customHeight="true" outlineLevel="0" collapsed="false">
      <c r="A122" s="30" t="s">
        <v>449</v>
      </c>
      <c r="B122" s="75" t="n">
        <v>1</v>
      </c>
      <c r="C122" s="75" t="n">
        <v>0.768292682926829</v>
      </c>
      <c r="D122" s="75" t="n">
        <v>0.707317073170732</v>
      </c>
      <c r="E122" s="75" t="n">
        <v>0.682926829268293</v>
      </c>
      <c r="F122" s="75" t="n">
        <v>0.0487804878048781</v>
      </c>
      <c r="G122" s="75" t="n">
        <v>0.0731707317073171</v>
      </c>
      <c r="H122" s="75" t="n">
        <v>0.0731707317073171</v>
      </c>
      <c r="I122" s="75" t="n">
        <v>0.0365853658536585</v>
      </c>
      <c r="J122" s="75" t="n">
        <v>0.0365853658536585</v>
      </c>
      <c r="K122" s="75" t="n">
        <v>0.0121951219512195</v>
      </c>
      <c r="L122" s="75" t="n">
        <v>0.024390243902439</v>
      </c>
      <c r="M122" s="75" t="n">
        <v>0.0121951219512195</v>
      </c>
      <c r="N122" s="75" t="n">
        <v>0.0121951219512195</v>
      </c>
    </row>
    <row r="124" customFormat="false" ht="24" hidden="false" customHeight="true" outlineLevel="0" collapsed="false">
      <c r="A124" s="65" t="s">
        <v>419</v>
      </c>
      <c r="B124" s="65"/>
      <c r="C124" s="65"/>
      <c r="D124" s="65"/>
      <c r="E124" s="65"/>
      <c r="F124" s="65"/>
      <c r="G124" s="65"/>
      <c r="H124" s="65"/>
    </row>
    <row r="125" customFormat="false" ht="15" hidden="false" customHeight="true" outlineLevel="0" collapsed="false">
      <c r="A125" s="29" t="s">
        <v>272</v>
      </c>
      <c r="B125" s="29"/>
      <c r="C125" s="29"/>
      <c r="D125" s="29"/>
      <c r="E125" s="29"/>
      <c r="F125" s="29"/>
      <c r="G125" s="29"/>
      <c r="H125" s="29"/>
    </row>
    <row r="127" customFormat="false" ht="24" hidden="false" customHeight="true" outlineLevel="0" collapsed="false">
      <c r="A127" s="65" t="s">
        <v>420</v>
      </c>
      <c r="B127" s="65"/>
      <c r="C127" s="65"/>
      <c r="D127" s="65"/>
      <c r="E127" s="65"/>
      <c r="F127" s="65"/>
      <c r="G127" s="65"/>
      <c r="H127" s="65"/>
      <c r="I127" s="65"/>
      <c r="J127" s="65"/>
      <c r="K127" s="65"/>
      <c r="L127" s="65"/>
      <c r="M127" s="65"/>
      <c r="N127" s="65"/>
    </row>
    <row r="128" customFormat="false" ht="27.75" hidden="false" customHeight="true" outlineLevel="0" collapsed="false">
      <c r="B128" s="69" t="s">
        <v>509</v>
      </c>
      <c r="C128" s="69"/>
      <c r="D128" s="69"/>
      <c r="E128" s="69"/>
      <c r="F128" s="69"/>
      <c r="G128" s="69"/>
      <c r="H128" s="69"/>
      <c r="I128" s="69"/>
      <c r="J128" s="69"/>
      <c r="K128" s="69"/>
      <c r="L128" s="69"/>
      <c r="M128" s="69"/>
      <c r="N128" s="69"/>
    </row>
    <row r="129" customFormat="false" ht="6" hidden="false" customHeight="true" outlineLevel="0" collapsed="false">
      <c r="B129" s="71"/>
      <c r="C129" s="72"/>
      <c r="D129" s="72"/>
      <c r="E129" s="72"/>
      <c r="F129" s="72"/>
      <c r="G129" s="72"/>
      <c r="H129" s="72"/>
      <c r="I129" s="72"/>
      <c r="J129" s="72"/>
      <c r="K129" s="72"/>
      <c r="L129" s="72"/>
      <c r="M129" s="72"/>
      <c r="N129" s="73"/>
    </row>
    <row r="130" customFormat="false" ht="15" hidden="false" customHeight="true" outlineLevel="0" collapsed="false">
      <c r="A130" s="12" t="s">
        <v>275</v>
      </c>
      <c r="B130" s="37" t="n">
        <v>1</v>
      </c>
      <c r="C130" s="37" t="n">
        <v>2</v>
      </c>
      <c r="D130" s="37" t="n">
        <v>3</v>
      </c>
      <c r="E130" s="37" t="n">
        <v>4</v>
      </c>
      <c r="F130" s="37" t="n">
        <v>5</v>
      </c>
      <c r="G130" s="37" t="n">
        <v>6</v>
      </c>
      <c r="H130" s="37" t="n">
        <v>7</v>
      </c>
      <c r="I130" s="37" t="n">
        <v>8</v>
      </c>
      <c r="J130" s="37" t="n">
        <v>9</v>
      </c>
      <c r="K130" s="37" t="n">
        <v>10</v>
      </c>
      <c r="L130" s="37" t="n">
        <v>11</v>
      </c>
      <c r="M130" s="37" t="n">
        <v>12</v>
      </c>
      <c r="N130" s="37" t="n">
        <v>13</v>
      </c>
    </row>
    <row r="131" customFormat="false" ht="15" hidden="false" customHeight="true" outlineLevel="0" collapsed="false">
      <c r="A131" s="30" t="s">
        <v>447</v>
      </c>
      <c r="B131" s="74" t="n">
        <v>428</v>
      </c>
      <c r="C131" s="74" t="n">
        <v>351</v>
      </c>
      <c r="D131" s="74" t="n">
        <v>314</v>
      </c>
      <c r="E131" s="74" t="n">
        <v>319</v>
      </c>
      <c r="F131" s="74" t="n">
        <v>74</v>
      </c>
      <c r="G131" s="74" t="n">
        <v>32</v>
      </c>
      <c r="H131" s="74" t="n">
        <v>21</v>
      </c>
      <c r="I131" s="74" t="n">
        <v>16</v>
      </c>
      <c r="J131" s="74" t="n">
        <v>7</v>
      </c>
      <c r="K131" s="74" t="n">
        <v>6</v>
      </c>
      <c r="L131" s="74" t="n">
        <v>2</v>
      </c>
      <c r="M131" s="74" t="n">
        <v>1</v>
      </c>
      <c r="N131" s="74" t="n">
        <v>1</v>
      </c>
    </row>
    <row r="132" customFormat="false" ht="15" hidden="false" customHeight="true" outlineLevel="0" collapsed="false">
      <c r="A132" s="30" t="s">
        <v>510</v>
      </c>
      <c r="B132" s="74"/>
      <c r="C132" s="75" t="n">
        <v>0.820093457943925</v>
      </c>
      <c r="D132" s="75" t="n">
        <v>0.894586894586895</v>
      </c>
      <c r="E132" s="75" t="n">
        <v>1.01592356687898</v>
      </c>
      <c r="F132" s="75" t="n">
        <v>0.231974921630094</v>
      </c>
      <c r="G132" s="75" t="n">
        <v>0.432432432432433</v>
      </c>
      <c r="H132" s="75" t="n">
        <v>0.65625</v>
      </c>
      <c r="I132" s="75" t="n">
        <v>0.761904761904762</v>
      </c>
      <c r="J132" s="75" t="n">
        <v>0.4375</v>
      </c>
      <c r="K132" s="75" t="n">
        <v>0.857142857142857</v>
      </c>
      <c r="L132" s="75" t="n">
        <v>0.333333333333333</v>
      </c>
      <c r="M132" s="75" t="n">
        <v>0.5</v>
      </c>
      <c r="N132" s="75" t="n">
        <v>1</v>
      </c>
    </row>
    <row r="133" customFormat="false" ht="15" hidden="false" customHeight="true" outlineLevel="0" collapsed="false">
      <c r="A133" s="30" t="s">
        <v>449</v>
      </c>
      <c r="B133" s="75" t="n">
        <v>1</v>
      </c>
      <c r="C133" s="75" t="n">
        <v>0.820093457943925</v>
      </c>
      <c r="D133" s="75" t="n">
        <v>0.733644859813084</v>
      </c>
      <c r="E133" s="75" t="n">
        <v>0.745327102803738</v>
      </c>
      <c r="F133" s="75" t="n">
        <v>0.172897196261682</v>
      </c>
      <c r="G133" s="75" t="n">
        <v>0.0747663551401869</v>
      </c>
      <c r="H133" s="75" t="n">
        <v>0.0490654205607477</v>
      </c>
      <c r="I133" s="75" t="n">
        <v>0.0373831775700935</v>
      </c>
      <c r="J133" s="75" t="n">
        <v>0.0163551401869159</v>
      </c>
      <c r="K133" s="75" t="n">
        <v>0.0140186915887851</v>
      </c>
      <c r="L133" s="75" t="n">
        <v>0.00467289719626168</v>
      </c>
      <c r="M133" s="75" t="n">
        <v>0.00233644859813084</v>
      </c>
      <c r="N133" s="75" t="n">
        <v>0.00233644859813084</v>
      </c>
    </row>
    <row r="135" customFormat="false" ht="24" hidden="false" customHeight="true" outlineLevel="0" collapsed="false">
      <c r="A135" s="65" t="s">
        <v>421</v>
      </c>
      <c r="B135" s="65"/>
      <c r="C135" s="65"/>
      <c r="D135" s="65"/>
      <c r="E135" s="65"/>
      <c r="F135" s="65"/>
      <c r="G135" s="65"/>
      <c r="H135" s="65"/>
      <c r="I135" s="65"/>
      <c r="J135" s="65"/>
      <c r="K135" s="65"/>
      <c r="L135" s="65"/>
      <c r="M135" s="65"/>
      <c r="N135" s="65"/>
      <c r="O135" s="65"/>
      <c r="P135" s="65"/>
      <c r="Q135" s="65"/>
      <c r="R135" s="65"/>
      <c r="S135" s="65"/>
    </row>
    <row r="136" customFormat="false" ht="27.75" hidden="false" customHeight="true" outlineLevel="0" collapsed="false">
      <c r="B136" s="69" t="s">
        <v>509</v>
      </c>
      <c r="C136" s="69"/>
      <c r="D136" s="69"/>
      <c r="E136" s="69"/>
      <c r="F136" s="69"/>
      <c r="G136" s="69"/>
      <c r="H136" s="69"/>
      <c r="I136" s="69"/>
      <c r="J136" s="69"/>
      <c r="K136" s="69"/>
      <c r="L136" s="69"/>
      <c r="M136" s="69"/>
      <c r="N136" s="69"/>
      <c r="O136" s="69"/>
      <c r="P136" s="69"/>
      <c r="Q136" s="69"/>
      <c r="R136" s="69"/>
      <c r="S136" s="69"/>
    </row>
    <row r="137" customFormat="false" ht="6" hidden="false" customHeight="true" outlineLevel="0" collapsed="false">
      <c r="B137" s="71"/>
      <c r="C137" s="72"/>
      <c r="D137" s="72"/>
      <c r="E137" s="72"/>
      <c r="F137" s="72"/>
      <c r="G137" s="72"/>
      <c r="H137" s="72"/>
      <c r="I137" s="72"/>
      <c r="J137" s="72"/>
      <c r="K137" s="72"/>
      <c r="L137" s="72"/>
      <c r="M137" s="72"/>
      <c r="N137" s="72"/>
      <c r="O137" s="72"/>
      <c r="P137" s="72"/>
      <c r="Q137" s="72"/>
      <c r="R137" s="72"/>
      <c r="S137" s="73"/>
    </row>
    <row r="138" customFormat="false" ht="15" hidden="false" customHeight="true" outlineLevel="0" collapsed="false">
      <c r="A138" s="12" t="s">
        <v>275</v>
      </c>
      <c r="B138" s="37" t="n">
        <v>1</v>
      </c>
      <c r="C138" s="37" t="n">
        <v>2</v>
      </c>
      <c r="D138" s="37" t="n">
        <v>3</v>
      </c>
      <c r="E138" s="37" t="n">
        <v>4</v>
      </c>
      <c r="F138" s="37" t="n">
        <v>5</v>
      </c>
      <c r="G138" s="37" t="n">
        <v>6</v>
      </c>
      <c r="H138" s="37" t="n">
        <v>7</v>
      </c>
      <c r="I138" s="37" t="n">
        <v>8</v>
      </c>
      <c r="J138" s="37" t="n">
        <v>9</v>
      </c>
      <c r="K138" s="37" t="n">
        <v>10</v>
      </c>
      <c r="L138" s="37" t="n">
        <v>11</v>
      </c>
      <c r="M138" s="37" t="n">
        <v>12</v>
      </c>
      <c r="N138" s="37" t="n">
        <v>13</v>
      </c>
      <c r="O138" s="37" t="n">
        <v>14</v>
      </c>
      <c r="P138" s="37" t="n">
        <v>15</v>
      </c>
      <c r="Q138" s="37" t="n">
        <v>16</v>
      </c>
      <c r="R138" s="37" t="n">
        <v>17</v>
      </c>
      <c r="S138" s="37" t="n">
        <v>18</v>
      </c>
    </row>
    <row r="139" customFormat="false" ht="15" hidden="false" customHeight="true" outlineLevel="0" collapsed="false">
      <c r="A139" s="30" t="s">
        <v>447</v>
      </c>
      <c r="B139" s="74" t="n">
        <v>566</v>
      </c>
      <c r="C139" s="74" t="n">
        <v>448</v>
      </c>
      <c r="D139" s="74" t="n">
        <v>384</v>
      </c>
      <c r="E139" s="74" t="n">
        <v>387</v>
      </c>
      <c r="F139" s="74" t="n">
        <v>89</v>
      </c>
      <c r="G139" s="74" t="n">
        <v>44</v>
      </c>
      <c r="H139" s="74" t="n">
        <v>35</v>
      </c>
      <c r="I139" s="74" t="n">
        <v>16</v>
      </c>
      <c r="J139" s="74" t="n">
        <v>7</v>
      </c>
      <c r="K139" s="74" t="n">
        <v>7</v>
      </c>
      <c r="L139" s="74" t="n">
        <v>6</v>
      </c>
      <c r="M139" s="74" t="n">
        <v>3</v>
      </c>
      <c r="N139" s="74" t="n">
        <v>2</v>
      </c>
      <c r="O139" s="74" t="n">
        <v>2</v>
      </c>
      <c r="P139" s="74" t="n">
        <v>1</v>
      </c>
      <c r="Q139" s="74" t="n">
        <v>1</v>
      </c>
      <c r="R139" s="74" t="n">
        <v>2</v>
      </c>
      <c r="S139" s="74" t="n">
        <v>1</v>
      </c>
    </row>
    <row r="140" customFormat="false" ht="15" hidden="false" customHeight="true" outlineLevel="0" collapsed="false">
      <c r="A140" s="30" t="s">
        <v>510</v>
      </c>
      <c r="B140" s="74"/>
      <c r="C140" s="75" t="n">
        <v>0.791519434628975</v>
      </c>
      <c r="D140" s="75" t="n">
        <v>0.857142857142857</v>
      </c>
      <c r="E140" s="75" t="n">
        <v>1.0078125</v>
      </c>
      <c r="F140" s="75" t="n">
        <v>0.229974160206718</v>
      </c>
      <c r="G140" s="75" t="n">
        <v>0.49438202247191</v>
      </c>
      <c r="H140" s="75" t="n">
        <v>0.795454545454545</v>
      </c>
      <c r="I140" s="75" t="n">
        <v>0.457142857142857</v>
      </c>
      <c r="J140" s="75" t="n">
        <v>0.4375</v>
      </c>
      <c r="K140" s="75" t="n">
        <v>1</v>
      </c>
      <c r="L140" s="75" t="n">
        <v>0.857142857142857</v>
      </c>
      <c r="M140" s="75" t="n">
        <v>0.5</v>
      </c>
      <c r="N140" s="75" t="n">
        <v>0.666666666666667</v>
      </c>
      <c r="O140" s="75" t="n">
        <v>1</v>
      </c>
      <c r="P140" s="75" t="n">
        <v>0.5</v>
      </c>
      <c r="Q140" s="75" t="n">
        <v>1</v>
      </c>
      <c r="R140" s="75" t="n">
        <v>2</v>
      </c>
      <c r="S140" s="75" t="n">
        <v>0.5</v>
      </c>
    </row>
    <row r="141" customFormat="false" ht="15" hidden="false" customHeight="true" outlineLevel="0" collapsed="false">
      <c r="A141" s="30" t="s">
        <v>449</v>
      </c>
      <c r="B141" s="75" t="n">
        <v>1</v>
      </c>
      <c r="C141" s="75" t="n">
        <v>0.791519434628975</v>
      </c>
      <c r="D141" s="75" t="n">
        <v>0.678445229681979</v>
      </c>
      <c r="E141" s="75" t="n">
        <v>0.683745583038869</v>
      </c>
      <c r="F141" s="75" t="n">
        <v>0.157243816254417</v>
      </c>
      <c r="G141" s="75" t="n">
        <v>0.0777385159010601</v>
      </c>
      <c r="H141" s="75" t="n">
        <v>0.0618374558303887</v>
      </c>
      <c r="I141" s="75" t="n">
        <v>0.0282685512367491</v>
      </c>
      <c r="J141" s="75" t="n">
        <v>0.0123674911660777</v>
      </c>
      <c r="K141" s="75" t="n">
        <v>0.0123674911660777</v>
      </c>
      <c r="L141" s="75" t="n">
        <v>0.0106007067137809</v>
      </c>
      <c r="M141" s="75" t="n">
        <v>0.00530035335689046</v>
      </c>
      <c r="N141" s="75" t="n">
        <v>0.00353356890459364</v>
      </c>
      <c r="O141" s="75" t="n">
        <v>0.00353356890459364</v>
      </c>
      <c r="P141" s="75" t="n">
        <v>0.00176678445229682</v>
      </c>
      <c r="Q141" s="75" t="n">
        <v>0.00176678445229682</v>
      </c>
      <c r="R141" s="75" t="n">
        <v>0.00353356890459364</v>
      </c>
      <c r="S141" s="75" t="n">
        <v>0.00176678445229682</v>
      </c>
    </row>
    <row r="143" customFormat="false" ht="24" hidden="false" customHeight="true" outlineLevel="0" collapsed="false">
      <c r="A143" s="65" t="s">
        <v>422</v>
      </c>
      <c r="B143" s="65"/>
      <c r="C143" s="65"/>
      <c r="D143" s="65"/>
      <c r="E143" s="65"/>
      <c r="F143" s="65"/>
      <c r="G143" s="65"/>
      <c r="H143" s="65"/>
      <c r="I143" s="65"/>
      <c r="J143" s="65"/>
      <c r="K143" s="65"/>
    </row>
    <row r="144" customFormat="false" ht="27.75" hidden="false" customHeight="true" outlineLevel="0" collapsed="false">
      <c r="B144" s="69" t="s">
        <v>509</v>
      </c>
      <c r="C144" s="69"/>
      <c r="D144" s="69"/>
      <c r="E144" s="69"/>
      <c r="F144" s="69"/>
      <c r="G144" s="69"/>
      <c r="H144" s="69"/>
      <c r="I144" s="69"/>
      <c r="J144" s="69"/>
      <c r="K144" s="69"/>
    </row>
    <row r="145" customFormat="false" ht="6" hidden="false" customHeight="true" outlineLevel="0" collapsed="false">
      <c r="B145" s="71"/>
      <c r="C145" s="72"/>
      <c r="D145" s="72"/>
      <c r="E145" s="72"/>
      <c r="F145" s="72"/>
      <c r="G145" s="72"/>
      <c r="H145" s="72"/>
      <c r="I145" s="72"/>
      <c r="J145" s="72"/>
      <c r="K145" s="73"/>
    </row>
    <row r="146" customFormat="false" ht="15" hidden="false" customHeight="true" outlineLevel="0" collapsed="false">
      <c r="A146" s="12" t="s">
        <v>275</v>
      </c>
      <c r="B146" s="37" t="n">
        <v>1</v>
      </c>
      <c r="C146" s="37" t="n">
        <v>2</v>
      </c>
      <c r="D146" s="37" t="n">
        <v>3</v>
      </c>
      <c r="E146" s="37" t="n">
        <v>4</v>
      </c>
      <c r="F146" s="37" t="n">
        <v>5</v>
      </c>
      <c r="G146" s="37" t="n">
        <v>6</v>
      </c>
      <c r="H146" s="37" t="n">
        <v>7</v>
      </c>
      <c r="I146" s="37" t="n">
        <v>8</v>
      </c>
      <c r="J146" s="37" t="n">
        <v>9</v>
      </c>
      <c r="K146" s="37" t="n">
        <v>10</v>
      </c>
    </row>
    <row r="147" customFormat="false" ht="15" hidden="false" customHeight="true" outlineLevel="0" collapsed="false">
      <c r="A147" s="30" t="s">
        <v>447</v>
      </c>
      <c r="B147" s="74" t="n">
        <v>68</v>
      </c>
      <c r="C147" s="74" t="n">
        <v>52</v>
      </c>
      <c r="D147" s="74" t="n">
        <v>48</v>
      </c>
      <c r="E147" s="74" t="n">
        <v>48</v>
      </c>
      <c r="F147" s="74" t="n">
        <v>11</v>
      </c>
      <c r="G147" s="74" t="n">
        <v>5</v>
      </c>
      <c r="H147" s="74" t="n">
        <v>5</v>
      </c>
      <c r="I147" s="74" t="n">
        <v>2</v>
      </c>
      <c r="J147" s="74" t="n">
        <v>1</v>
      </c>
      <c r="K147" s="74" t="n">
        <v>1</v>
      </c>
    </row>
    <row r="148" customFormat="false" ht="15" hidden="false" customHeight="true" outlineLevel="0" collapsed="false">
      <c r="A148" s="30" t="s">
        <v>510</v>
      </c>
      <c r="B148" s="74"/>
      <c r="C148" s="75" t="n">
        <v>0.764705882352941</v>
      </c>
      <c r="D148" s="75" t="n">
        <v>0.923076923076923</v>
      </c>
      <c r="E148" s="75" t="n">
        <v>1</v>
      </c>
      <c r="F148" s="75" t="n">
        <v>0.229166666666667</v>
      </c>
      <c r="G148" s="75" t="n">
        <v>0.454545454545455</v>
      </c>
      <c r="H148" s="75" t="n">
        <v>1</v>
      </c>
      <c r="I148" s="75" t="n">
        <v>0.4</v>
      </c>
      <c r="J148" s="75" t="n">
        <v>0.5</v>
      </c>
      <c r="K148" s="75" t="n">
        <v>1</v>
      </c>
    </row>
    <row r="149" customFormat="false" ht="15" hidden="false" customHeight="true" outlineLevel="0" collapsed="false">
      <c r="A149" s="30" t="s">
        <v>449</v>
      </c>
      <c r="B149" s="75" t="n">
        <v>1</v>
      </c>
      <c r="C149" s="75" t="n">
        <v>0.764705882352941</v>
      </c>
      <c r="D149" s="75" t="n">
        <v>0.705882352941177</v>
      </c>
      <c r="E149" s="75" t="n">
        <v>0.705882352941177</v>
      </c>
      <c r="F149" s="75" t="n">
        <v>0.161764705882353</v>
      </c>
      <c r="G149" s="75" t="n">
        <v>0.0735294117647059</v>
      </c>
      <c r="H149" s="75" t="n">
        <v>0.0735294117647059</v>
      </c>
      <c r="I149" s="75" t="n">
        <v>0.0294117647058824</v>
      </c>
      <c r="J149" s="75" t="n">
        <v>0.0147058823529412</v>
      </c>
      <c r="K149" s="75" t="n">
        <v>0.0147058823529412</v>
      </c>
    </row>
    <row r="151" customFormat="false" ht="24" hidden="false" customHeight="true" outlineLevel="0" collapsed="false">
      <c r="A151" s="65" t="s">
        <v>423</v>
      </c>
      <c r="B151" s="65"/>
      <c r="C151" s="65"/>
      <c r="D151" s="65"/>
      <c r="E151" s="65"/>
      <c r="F151" s="65"/>
      <c r="G151" s="65"/>
      <c r="H151" s="65"/>
    </row>
    <row r="152" customFormat="false" ht="15" hidden="false" customHeight="true" outlineLevel="0" collapsed="false">
      <c r="A152" s="29" t="s">
        <v>272</v>
      </c>
      <c r="B152" s="29"/>
      <c r="C152" s="29"/>
      <c r="D152" s="29"/>
      <c r="E152" s="29"/>
      <c r="F152" s="29"/>
      <c r="G152" s="29"/>
      <c r="H152" s="29"/>
    </row>
    <row r="154" customFormat="false" ht="24" hidden="false" customHeight="true" outlineLevel="0" collapsed="false">
      <c r="A154" s="65" t="s">
        <v>424</v>
      </c>
      <c r="B154" s="65"/>
      <c r="C154" s="65"/>
      <c r="D154" s="65"/>
      <c r="E154" s="65"/>
      <c r="F154" s="65"/>
      <c r="G154" s="65"/>
      <c r="H154" s="65"/>
      <c r="I154" s="65"/>
      <c r="J154" s="65"/>
    </row>
    <row r="155" customFormat="false" ht="27.75" hidden="false" customHeight="true" outlineLevel="0" collapsed="false">
      <c r="B155" s="69" t="s">
        <v>509</v>
      </c>
      <c r="C155" s="69"/>
      <c r="D155" s="69"/>
      <c r="E155" s="69"/>
      <c r="F155" s="69"/>
      <c r="G155" s="69"/>
      <c r="H155" s="69"/>
      <c r="I155" s="69"/>
      <c r="J155" s="69"/>
    </row>
    <row r="156" customFormat="false" ht="6" hidden="false" customHeight="true" outlineLevel="0" collapsed="false">
      <c r="B156" s="71"/>
      <c r="C156" s="72"/>
      <c r="D156" s="72"/>
      <c r="E156" s="72"/>
      <c r="F156" s="72"/>
      <c r="G156" s="72"/>
      <c r="H156" s="72"/>
      <c r="I156" s="72"/>
      <c r="J156" s="73"/>
    </row>
    <row r="157" customFormat="false" ht="15" hidden="false" customHeight="true" outlineLevel="0" collapsed="false">
      <c r="A157" s="12" t="s">
        <v>275</v>
      </c>
      <c r="B157" s="37" t="n">
        <v>1</v>
      </c>
      <c r="C157" s="37" t="n">
        <v>2</v>
      </c>
      <c r="D157" s="37" t="n">
        <v>3</v>
      </c>
      <c r="E157" s="37" t="n">
        <v>4</v>
      </c>
      <c r="F157" s="37" t="n">
        <v>5</v>
      </c>
      <c r="G157" s="37" t="n">
        <v>6</v>
      </c>
      <c r="H157" s="37" t="n">
        <v>7</v>
      </c>
      <c r="I157" s="37" t="n">
        <v>8</v>
      </c>
      <c r="J157" s="37" t="n">
        <v>9</v>
      </c>
    </row>
    <row r="158" customFormat="false" ht="15" hidden="false" customHeight="true" outlineLevel="0" collapsed="false">
      <c r="A158" s="30" t="s">
        <v>447</v>
      </c>
      <c r="B158" s="74" t="n">
        <v>49</v>
      </c>
      <c r="C158" s="74" t="n">
        <v>27</v>
      </c>
      <c r="D158" s="74" t="n">
        <v>21</v>
      </c>
      <c r="E158" s="74" t="n">
        <v>21</v>
      </c>
      <c r="F158" s="74" t="n">
        <v>19</v>
      </c>
      <c r="G158" s="74" t="n">
        <v>6</v>
      </c>
      <c r="H158" s="74" t="n">
        <v>6</v>
      </c>
      <c r="I158" s="74" t="n">
        <v>2</v>
      </c>
      <c r="J158" s="74" t="n">
        <v>2</v>
      </c>
    </row>
    <row r="159" customFormat="false" ht="15" hidden="false" customHeight="true" outlineLevel="0" collapsed="false">
      <c r="A159" s="30" t="s">
        <v>510</v>
      </c>
      <c r="B159" s="74"/>
      <c r="C159" s="75" t="n">
        <v>0.551020408163265</v>
      </c>
      <c r="D159" s="75" t="n">
        <v>0.777777777777778</v>
      </c>
      <c r="E159" s="75" t="n">
        <v>1</v>
      </c>
      <c r="F159" s="75" t="n">
        <v>0.904761904761905</v>
      </c>
      <c r="G159" s="75" t="n">
        <v>0.315789473684211</v>
      </c>
      <c r="H159" s="75" t="n">
        <v>1</v>
      </c>
      <c r="I159" s="75" t="n">
        <v>0.333333333333333</v>
      </c>
      <c r="J159" s="75" t="n">
        <v>1</v>
      </c>
    </row>
    <row r="160" customFormat="false" ht="15" hidden="false" customHeight="true" outlineLevel="0" collapsed="false">
      <c r="A160" s="30" t="s">
        <v>449</v>
      </c>
      <c r="B160" s="75" t="n">
        <v>1</v>
      </c>
      <c r="C160" s="75" t="n">
        <v>0.551020408163265</v>
      </c>
      <c r="D160" s="75" t="n">
        <v>0.428571428571429</v>
      </c>
      <c r="E160" s="75" t="n">
        <v>0.428571428571429</v>
      </c>
      <c r="F160" s="75" t="n">
        <v>0.387755102040816</v>
      </c>
      <c r="G160" s="75" t="n">
        <v>0.122448979591837</v>
      </c>
      <c r="H160" s="75" t="n">
        <v>0.122448979591837</v>
      </c>
      <c r="I160" s="75" t="n">
        <v>0.0408163265306122</v>
      </c>
      <c r="J160" s="75" t="n">
        <v>0.0408163265306122</v>
      </c>
    </row>
    <row r="162" customFormat="false" ht="24" hidden="false" customHeight="true" outlineLevel="0" collapsed="false">
      <c r="A162" s="65" t="s">
        <v>425</v>
      </c>
      <c r="B162" s="65"/>
      <c r="C162" s="65"/>
      <c r="D162" s="65"/>
      <c r="E162" s="65"/>
      <c r="F162" s="65"/>
      <c r="G162" s="65"/>
      <c r="H162" s="65"/>
      <c r="I162" s="65"/>
      <c r="J162" s="65"/>
      <c r="K162" s="65"/>
    </row>
    <row r="163" customFormat="false" ht="27.75" hidden="false" customHeight="true" outlineLevel="0" collapsed="false">
      <c r="B163" s="69" t="s">
        <v>509</v>
      </c>
      <c r="C163" s="69"/>
      <c r="D163" s="69"/>
      <c r="E163" s="69"/>
      <c r="F163" s="69"/>
      <c r="G163" s="69"/>
      <c r="H163" s="69"/>
      <c r="I163" s="69"/>
      <c r="J163" s="69"/>
      <c r="K163" s="69"/>
    </row>
    <row r="164" customFormat="false" ht="6" hidden="false" customHeight="true" outlineLevel="0" collapsed="false">
      <c r="B164" s="71"/>
      <c r="C164" s="72"/>
      <c r="D164" s="72"/>
      <c r="E164" s="72"/>
      <c r="F164" s="72"/>
      <c r="G164" s="72"/>
      <c r="H164" s="72"/>
      <c r="I164" s="72"/>
      <c r="J164" s="72"/>
      <c r="K164" s="73"/>
    </row>
    <row r="165" customFormat="false" ht="15" hidden="false" customHeight="true" outlineLevel="0" collapsed="false">
      <c r="A165" s="12" t="s">
        <v>275</v>
      </c>
      <c r="B165" s="37" t="n">
        <v>1</v>
      </c>
      <c r="C165" s="37" t="n">
        <v>2</v>
      </c>
      <c r="D165" s="37" t="n">
        <v>3</v>
      </c>
      <c r="E165" s="37" t="n">
        <v>4</v>
      </c>
      <c r="F165" s="37" t="n">
        <v>5</v>
      </c>
      <c r="G165" s="37" t="n">
        <v>6</v>
      </c>
      <c r="H165" s="37" t="n">
        <v>7</v>
      </c>
      <c r="I165" s="37" t="n">
        <v>8</v>
      </c>
      <c r="J165" s="37" t="n">
        <v>9</v>
      </c>
      <c r="K165" s="37" t="n">
        <v>10</v>
      </c>
    </row>
    <row r="166" customFormat="false" ht="15" hidden="false" customHeight="true" outlineLevel="0" collapsed="false">
      <c r="A166" s="30" t="s">
        <v>447</v>
      </c>
      <c r="B166" s="74" t="n">
        <v>77</v>
      </c>
      <c r="C166" s="74" t="n">
        <v>57</v>
      </c>
      <c r="D166" s="74" t="n">
        <v>47</v>
      </c>
      <c r="E166" s="74" t="n">
        <v>49</v>
      </c>
      <c r="F166" s="74" t="n">
        <v>13</v>
      </c>
      <c r="G166" s="74" t="n">
        <v>6</v>
      </c>
      <c r="H166" s="74" t="n">
        <v>5</v>
      </c>
      <c r="I166" s="74" t="n">
        <v>5</v>
      </c>
      <c r="J166" s="74" t="n">
        <v>4</v>
      </c>
      <c r="K166" s="74" t="n">
        <v>1</v>
      </c>
    </row>
    <row r="167" customFormat="false" ht="15" hidden="false" customHeight="true" outlineLevel="0" collapsed="false">
      <c r="A167" s="30" t="s">
        <v>510</v>
      </c>
      <c r="B167" s="74"/>
      <c r="C167" s="75" t="n">
        <v>0.74025974025974</v>
      </c>
      <c r="D167" s="75" t="n">
        <v>0.824561403508772</v>
      </c>
      <c r="E167" s="75" t="n">
        <v>1.04255319148936</v>
      </c>
      <c r="F167" s="75" t="n">
        <v>0.26530612244898</v>
      </c>
      <c r="G167" s="75" t="n">
        <v>0.461538461538462</v>
      </c>
      <c r="H167" s="75" t="n">
        <v>0.833333333333333</v>
      </c>
      <c r="I167" s="75" t="n">
        <v>1</v>
      </c>
      <c r="J167" s="75" t="n">
        <v>0.8</v>
      </c>
      <c r="K167" s="75" t="n">
        <v>0.25</v>
      </c>
    </row>
    <row r="168" customFormat="false" ht="15" hidden="false" customHeight="true" outlineLevel="0" collapsed="false">
      <c r="A168" s="30" t="s">
        <v>449</v>
      </c>
      <c r="B168" s="75" t="n">
        <v>1</v>
      </c>
      <c r="C168" s="75" t="n">
        <v>0.74025974025974</v>
      </c>
      <c r="D168" s="75" t="n">
        <v>0.61038961038961</v>
      </c>
      <c r="E168" s="75" t="n">
        <v>0.636363636363636</v>
      </c>
      <c r="F168" s="75" t="n">
        <v>0.168831168831169</v>
      </c>
      <c r="G168" s="75" t="n">
        <v>0.0779220779220779</v>
      </c>
      <c r="H168" s="75" t="n">
        <v>0.0649350649350649</v>
      </c>
      <c r="I168" s="75" t="n">
        <v>0.0649350649350649</v>
      </c>
      <c r="J168" s="75" t="n">
        <v>0.051948051948052</v>
      </c>
      <c r="K168" s="75" t="n">
        <v>0.012987012987013</v>
      </c>
    </row>
    <row r="170" customFormat="false" ht="24" hidden="false" customHeight="true" outlineLevel="0" collapsed="false">
      <c r="A170" s="65" t="s">
        <v>426</v>
      </c>
      <c r="B170" s="65"/>
      <c r="C170" s="65"/>
      <c r="D170" s="65"/>
      <c r="E170" s="65"/>
      <c r="F170" s="65"/>
      <c r="G170" s="65"/>
      <c r="H170" s="65"/>
      <c r="I170" s="65"/>
      <c r="J170" s="65"/>
      <c r="K170" s="65"/>
      <c r="L170" s="65"/>
      <c r="M170" s="65"/>
      <c r="N170" s="65"/>
      <c r="O170" s="65"/>
      <c r="P170" s="65"/>
      <c r="Q170" s="65"/>
    </row>
    <row r="171" customFormat="false" ht="27.75" hidden="false" customHeight="true" outlineLevel="0" collapsed="false">
      <c r="B171" s="69" t="s">
        <v>509</v>
      </c>
      <c r="C171" s="69"/>
      <c r="D171" s="69"/>
      <c r="E171" s="69"/>
      <c r="F171" s="69"/>
      <c r="G171" s="69"/>
      <c r="H171" s="69"/>
      <c r="I171" s="69"/>
      <c r="J171" s="69"/>
      <c r="K171" s="69"/>
      <c r="L171" s="69"/>
      <c r="M171" s="69"/>
      <c r="N171" s="69"/>
      <c r="O171" s="69"/>
      <c r="P171" s="69"/>
      <c r="Q171" s="69"/>
    </row>
    <row r="172" customFormat="false" ht="6" hidden="false" customHeight="true" outlineLevel="0" collapsed="false">
      <c r="B172" s="71"/>
      <c r="C172" s="72"/>
      <c r="D172" s="72"/>
      <c r="E172" s="72"/>
      <c r="F172" s="72"/>
      <c r="G172" s="72"/>
      <c r="H172" s="72"/>
      <c r="I172" s="72"/>
      <c r="J172" s="72"/>
      <c r="K172" s="72"/>
      <c r="L172" s="72"/>
      <c r="M172" s="72"/>
      <c r="N172" s="72"/>
      <c r="O172" s="72"/>
      <c r="P172" s="72"/>
      <c r="Q172" s="73"/>
    </row>
    <row r="173" customFormat="false" ht="15" hidden="false" customHeight="true" outlineLevel="0" collapsed="false">
      <c r="A173" s="12" t="s">
        <v>275</v>
      </c>
      <c r="B173" s="37" t="n">
        <v>1</v>
      </c>
      <c r="C173" s="37" t="n">
        <v>2</v>
      </c>
      <c r="D173" s="37" t="n">
        <v>3</v>
      </c>
      <c r="E173" s="37" t="n">
        <v>4</v>
      </c>
      <c r="F173" s="37" t="n">
        <v>5</v>
      </c>
      <c r="G173" s="37" t="n">
        <v>6</v>
      </c>
      <c r="H173" s="37" t="n">
        <v>7</v>
      </c>
      <c r="I173" s="37" t="n">
        <v>8</v>
      </c>
      <c r="J173" s="37" t="n">
        <v>9</v>
      </c>
      <c r="K173" s="37" t="n">
        <v>10</v>
      </c>
      <c r="L173" s="37" t="n">
        <v>11</v>
      </c>
      <c r="M173" s="37" t="n">
        <v>12</v>
      </c>
      <c r="N173" s="37" t="n">
        <v>13</v>
      </c>
      <c r="O173" s="37" t="n">
        <v>14</v>
      </c>
      <c r="P173" s="37" t="n">
        <v>15</v>
      </c>
      <c r="Q173" s="37" t="n">
        <v>16</v>
      </c>
    </row>
    <row r="174" customFormat="false" ht="15" hidden="false" customHeight="true" outlineLevel="0" collapsed="false">
      <c r="A174" s="30" t="s">
        <v>447</v>
      </c>
      <c r="B174" s="74" t="n">
        <v>145</v>
      </c>
      <c r="C174" s="74" t="n">
        <v>121</v>
      </c>
      <c r="D174" s="74" t="n">
        <v>121</v>
      </c>
      <c r="E174" s="74" t="n">
        <v>111</v>
      </c>
      <c r="F174" s="74" t="n">
        <v>80</v>
      </c>
      <c r="G174" s="74" t="n">
        <v>43</v>
      </c>
      <c r="H174" s="74" t="n">
        <v>18</v>
      </c>
      <c r="I174" s="74" t="n">
        <v>17</v>
      </c>
      <c r="J174" s="74" t="n">
        <v>8</v>
      </c>
      <c r="K174" s="74" t="n">
        <v>5</v>
      </c>
      <c r="L174" s="74" t="n">
        <v>4</v>
      </c>
      <c r="M174" s="74" t="n">
        <v>2</v>
      </c>
      <c r="N174" s="74" t="n">
        <v>1</v>
      </c>
      <c r="O174" s="74" t="n">
        <v>0</v>
      </c>
      <c r="P174" s="74" t="n">
        <v>1</v>
      </c>
      <c r="Q174" s="74" t="n">
        <v>1</v>
      </c>
    </row>
    <row r="175" customFormat="false" ht="15" hidden="false" customHeight="true" outlineLevel="0" collapsed="false">
      <c r="A175" s="30" t="s">
        <v>510</v>
      </c>
      <c r="B175" s="74"/>
      <c r="C175" s="75" t="n">
        <v>0.83448275862069</v>
      </c>
      <c r="D175" s="75" t="n">
        <v>1</v>
      </c>
      <c r="E175" s="75" t="n">
        <v>0.917355371900827</v>
      </c>
      <c r="F175" s="75" t="n">
        <v>0.720720720720721</v>
      </c>
      <c r="G175" s="75" t="n">
        <v>0.5375</v>
      </c>
      <c r="H175" s="75" t="n">
        <v>0.418604651162791</v>
      </c>
      <c r="I175" s="75" t="n">
        <v>0.944444444444444</v>
      </c>
      <c r="J175" s="75" t="n">
        <v>0.470588235294118</v>
      </c>
      <c r="K175" s="75" t="n">
        <v>0.625</v>
      </c>
      <c r="L175" s="75" t="n">
        <v>0.8</v>
      </c>
      <c r="M175" s="75" t="n">
        <v>0.5</v>
      </c>
      <c r="N175" s="75" t="n">
        <v>0.5</v>
      </c>
      <c r="O175" s="75" t="n">
        <v>0</v>
      </c>
      <c r="P175" s="74"/>
      <c r="Q175" s="75" t="n">
        <v>1</v>
      </c>
    </row>
    <row r="176" customFormat="false" ht="15" hidden="false" customHeight="true" outlineLevel="0" collapsed="false">
      <c r="A176" s="30" t="s">
        <v>449</v>
      </c>
      <c r="B176" s="75" t="n">
        <v>1</v>
      </c>
      <c r="C176" s="75" t="n">
        <v>0.83448275862069</v>
      </c>
      <c r="D176" s="75" t="n">
        <v>0.83448275862069</v>
      </c>
      <c r="E176" s="75" t="n">
        <v>0.76551724137931</v>
      </c>
      <c r="F176" s="75" t="n">
        <v>0.551724137931035</v>
      </c>
      <c r="G176" s="75" t="n">
        <v>0.296551724137931</v>
      </c>
      <c r="H176" s="75" t="n">
        <v>0.124137931034483</v>
      </c>
      <c r="I176" s="75" t="n">
        <v>0.117241379310345</v>
      </c>
      <c r="J176" s="75" t="n">
        <v>0.0551724137931035</v>
      </c>
      <c r="K176" s="75" t="n">
        <v>0.0344827586206897</v>
      </c>
      <c r="L176" s="75" t="n">
        <v>0.0275862068965517</v>
      </c>
      <c r="M176" s="75" t="n">
        <v>0.0137931034482759</v>
      </c>
      <c r="N176" s="75" t="n">
        <v>0.00689655172413793</v>
      </c>
      <c r="O176" s="75" t="n">
        <v>0</v>
      </c>
      <c r="P176" s="75" t="n">
        <v>0.00689655172413793</v>
      </c>
      <c r="Q176" s="75" t="n">
        <v>0.00689655172413793</v>
      </c>
    </row>
    <row r="178" customFormat="false" ht="24" hidden="false" customHeight="true" outlineLevel="0" collapsed="false">
      <c r="A178" s="65" t="s">
        <v>427</v>
      </c>
      <c r="B178" s="65"/>
      <c r="C178" s="65"/>
      <c r="D178" s="65"/>
      <c r="E178" s="65"/>
      <c r="F178" s="65"/>
      <c r="G178" s="65"/>
      <c r="H178" s="65"/>
      <c r="I178" s="65"/>
      <c r="J178" s="65"/>
      <c r="K178" s="65"/>
      <c r="L178" s="65"/>
      <c r="M178" s="65"/>
      <c r="N178" s="65"/>
    </row>
    <row r="179" customFormat="false" ht="27.75" hidden="false" customHeight="true" outlineLevel="0" collapsed="false">
      <c r="B179" s="69" t="s">
        <v>509</v>
      </c>
      <c r="C179" s="69"/>
      <c r="D179" s="69"/>
      <c r="E179" s="69"/>
      <c r="F179" s="69"/>
      <c r="G179" s="69"/>
      <c r="H179" s="69"/>
      <c r="I179" s="69"/>
      <c r="J179" s="69"/>
      <c r="K179" s="69"/>
      <c r="L179" s="69"/>
      <c r="M179" s="69"/>
      <c r="N179" s="69"/>
    </row>
    <row r="180" customFormat="false" ht="6" hidden="false" customHeight="true" outlineLevel="0" collapsed="false">
      <c r="B180" s="71"/>
      <c r="C180" s="72"/>
      <c r="D180" s="72"/>
      <c r="E180" s="72"/>
      <c r="F180" s="72"/>
      <c r="G180" s="72"/>
      <c r="H180" s="72"/>
      <c r="I180" s="72"/>
      <c r="J180" s="72"/>
      <c r="K180" s="72"/>
      <c r="L180" s="72"/>
      <c r="M180" s="72"/>
      <c r="N180" s="73"/>
    </row>
    <row r="181" customFormat="false" ht="15" hidden="false" customHeight="true" outlineLevel="0" collapsed="false">
      <c r="A181" s="12" t="s">
        <v>275</v>
      </c>
      <c r="B181" s="37" t="n">
        <v>1</v>
      </c>
      <c r="C181" s="37" t="n">
        <v>2</v>
      </c>
      <c r="D181" s="37" t="n">
        <v>3</v>
      </c>
      <c r="E181" s="37" t="n">
        <v>4</v>
      </c>
      <c r="F181" s="37" t="n">
        <v>5</v>
      </c>
      <c r="G181" s="37" t="n">
        <v>6</v>
      </c>
      <c r="H181" s="37" t="n">
        <v>7</v>
      </c>
      <c r="I181" s="37" t="n">
        <v>8</v>
      </c>
      <c r="J181" s="37" t="n">
        <v>9</v>
      </c>
      <c r="K181" s="37" t="n">
        <v>10</v>
      </c>
      <c r="L181" s="37" t="n">
        <v>11</v>
      </c>
      <c r="M181" s="37" t="n">
        <v>12</v>
      </c>
      <c r="N181" s="37" t="n">
        <v>13</v>
      </c>
    </row>
    <row r="182" customFormat="false" ht="15" hidden="false" customHeight="true" outlineLevel="0" collapsed="false">
      <c r="A182" s="30" t="s">
        <v>447</v>
      </c>
      <c r="B182" s="74" t="n">
        <v>218</v>
      </c>
      <c r="C182" s="74" t="n">
        <v>153</v>
      </c>
      <c r="D182" s="74" t="n">
        <v>121</v>
      </c>
      <c r="E182" s="74" t="n">
        <v>116</v>
      </c>
      <c r="F182" s="74" t="n">
        <v>104</v>
      </c>
      <c r="G182" s="74" t="n">
        <v>69</v>
      </c>
      <c r="H182" s="74" t="n">
        <v>45</v>
      </c>
      <c r="I182" s="74" t="n">
        <v>22</v>
      </c>
      <c r="J182" s="74" t="n">
        <v>11</v>
      </c>
      <c r="K182" s="74" t="n">
        <v>8</v>
      </c>
      <c r="L182" s="74" t="n">
        <v>9</v>
      </c>
      <c r="M182" s="74" t="n">
        <v>4</v>
      </c>
      <c r="N182" s="74" t="n">
        <v>1</v>
      </c>
    </row>
    <row r="183" customFormat="false" ht="15" hidden="false" customHeight="true" outlineLevel="0" collapsed="false">
      <c r="A183" s="30" t="s">
        <v>510</v>
      </c>
      <c r="B183" s="74"/>
      <c r="C183" s="75" t="n">
        <v>0.701834862385321</v>
      </c>
      <c r="D183" s="75" t="n">
        <v>0.790849673202614</v>
      </c>
      <c r="E183" s="75" t="n">
        <v>0.958677685950413</v>
      </c>
      <c r="F183" s="75" t="n">
        <v>0.896551724137931</v>
      </c>
      <c r="G183" s="75" t="n">
        <v>0.663461538461538</v>
      </c>
      <c r="H183" s="75" t="n">
        <v>0.652173913043478</v>
      </c>
      <c r="I183" s="75" t="n">
        <v>0.488888888888889</v>
      </c>
      <c r="J183" s="75" t="n">
        <v>0.5</v>
      </c>
      <c r="K183" s="75" t="n">
        <v>0.727272727272727</v>
      </c>
      <c r="L183" s="75" t="n">
        <v>1.125</v>
      </c>
      <c r="M183" s="75" t="n">
        <v>0.444444444444444</v>
      </c>
      <c r="N183" s="75" t="n">
        <v>0.25</v>
      </c>
    </row>
    <row r="184" customFormat="false" ht="15" hidden="false" customHeight="true" outlineLevel="0" collapsed="false">
      <c r="A184" s="30" t="s">
        <v>449</v>
      </c>
      <c r="B184" s="75" t="n">
        <v>1</v>
      </c>
      <c r="C184" s="75" t="n">
        <v>0.701834862385321</v>
      </c>
      <c r="D184" s="75" t="n">
        <v>0.555045871559633</v>
      </c>
      <c r="E184" s="75" t="n">
        <v>0.532110091743119</v>
      </c>
      <c r="F184" s="75" t="n">
        <v>0.477064220183486</v>
      </c>
      <c r="G184" s="75" t="n">
        <v>0.31651376146789</v>
      </c>
      <c r="H184" s="75" t="n">
        <v>0.206422018348624</v>
      </c>
      <c r="I184" s="75" t="n">
        <v>0.100917431192661</v>
      </c>
      <c r="J184" s="75" t="n">
        <v>0.0504587155963303</v>
      </c>
      <c r="K184" s="75" t="n">
        <v>0.036697247706422</v>
      </c>
      <c r="L184" s="75" t="n">
        <v>0.0412844036697248</v>
      </c>
      <c r="M184" s="75" t="n">
        <v>0.018348623853211</v>
      </c>
      <c r="N184" s="75" t="n">
        <v>0.00458715596330275</v>
      </c>
    </row>
    <row r="186" customFormat="false" ht="24" hidden="false" customHeight="true" outlineLevel="0" collapsed="false">
      <c r="A186" s="65" t="s">
        <v>428</v>
      </c>
      <c r="B186" s="65"/>
      <c r="C186" s="65"/>
      <c r="D186" s="65"/>
      <c r="E186" s="65"/>
      <c r="F186" s="65"/>
      <c r="G186" s="65"/>
      <c r="H186" s="65"/>
    </row>
    <row r="187" customFormat="false" ht="15" hidden="false" customHeight="true" outlineLevel="0" collapsed="false">
      <c r="A187" s="29" t="s">
        <v>272</v>
      </c>
      <c r="B187" s="29"/>
      <c r="C187" s="29"/>
      <c r="D187" s="29"/>
      <c r="E187" s="29"/>
      <c r="F187" s="29"/>
      <c r="G187" s="29"/>
      <c r="H187" s="29"/>
    </row>
    <row r="189" customFormat="false" ht="24" hidden="false" customHeight="true" outlineLevel="0" collapsed="false">
      <c r="A189" s="65" t="s">
        <v>429</v>
      </c>
      <c r="B189" s="65"/>
      <c r="C189" s="65"/>
      <c r="D189" s="65"/>
      <c r="E189" s="65"/>
      <c r="F189" s="65"/>
      <c r="G189" s="65"/>
      <c r="H189" s="65"/>
    </row>
    <row r="190" customFormat="false" ht="27.75" hidden="false" customHeight="true" outlineLevel="0" collapsed="false">
      <c r="B190" s="69" t="s">
        <v>509</v>
      </c>
      <c r="C190" s="69"/>
      <c r="D190" s="69"/>
      <c r="E190" s="69"/>
      <c r="F190" s="69"/>
      <c r="G190" s="69"/>
      <c r="H190" s="69"/>
    </row>
    <row r="191" customFormat="false" ht="6" hidden="false" customHeight="true" outlineLevel="0" collapsed="false">
      <c r="B191" s="71"/>
      <c r="C191" s="72"/>
      <c r="D191" s="72"/>
      <c r="E191" s="72"/>
      <c r="F191" s="72"/>
      <c r="G191" s="72"/>
      <c r="H191" s="73"/>
    </row>
    <row r="192" customFormat="false" ht="15" hidden="false" customHeight="true" outlineLevel="0" collapsed="false">
      <c r="A192" s="12" t="s">
        <v>275</v>
      </c>
      <c r="B192" s="37" t="n">
        <v>1</v>
      </c>
      <c r="C192" s="37" t="n">
        <v>2</v>
      </c>
      <c r="D192" s="37" t="n">
        <v>3</v>
      </c>
      <c r="E192" s="37" t="n">
        <v>4</v>
      </c>
      <c r="F192" s="37" t="n">
        <v>5</v>
      </c>
      <c r="G192" s="37" t="n">
        <v>6</v>
      </c>
      <c r="H192" s="37" t="n">
        <v>7</v>
      </c>
    </row>
    <row r="193" customFormat="false" ht="15" hidden="false" customHeight="true" outlineLevel="0" collapsed="false">
      <c r="A193" s="30" t="s">
        <v>447</v>
      </c>
      <c r="B193" s="74" t="n">
        <v>24</v>
      </c>
      <c r="C193" s="74" t="n">
        <v>20</v>
      </c>
      <c r="D193" s="74" t="n">
        <v>19</v>
      </c>
      <c r="E193" s="74" t="n">
        <v>12</v>
      </c>
      <c r="F193" s="74" t="n">
        <v>12</v>
      </c>
      <c r="G193" s="74" t="n">
        <v>0</v>
      </c>
      <c r="H193" s="74" t="n">
        <v>0</v>
      </c>
    </row>
    <row r="194" customFormat="false" ht="15" hidden="false" customHeight="true" outlineLevel="0" collapsed="false">
      <c r="A194" s="30" t="s">
        <v>510</v>
      </c>
      <c r="B194" s="74"/>
      <c r="C194" s="75" t="n">
        <v>0.833333333333333</v>
      </c>
      <c r="D194" s="75" t="n">
        <v>0.95</v>
      </c>
      <c r="E194" s="75" t="n">
        <v>0.631578947368421</v>
      </c>
      <c r="F194" s="75" t="n">
        <v>1</v>
      </c>
      <c r="G194" s="75" t="n">
        <v>0</v>
      </c>
      <c r="H194" s="74"/>
    </row>
    <row r="195" customFormat="false" ht="15" hidden="false" customHeight="true" outlineLevel="0" collapsed="false">
      <c r="A195" s="30" t="s">
        <v>449</v>
      </c>
      <c r="B195" s="75" t="n">
        <v>1</v>
      </c>
      <c r="C195" s="75" t="n">
        <v>0.833333333333333</v>
      </c>
      <c r="D195" s="75" t="n">
        <v>0.791666666666667</v>
      </c>
      <c r="E195" s="75" t="n">
        <v>0.5</v>
      </c>
      <c r="F195" s="75" t="n">
        <v>0.5</v>
      </c>
      <c r="G195" s="75" t="n">
        <v>0</v>
      </c>
      <c r="H195" s="75" t="n">
        <v>0</v>
      </c>
    </row>
    <row r="197" customFormat="false" ht="24" hidden="false" customHeight="true" outlineLevel="0" collapsed="false">
      <c r="A197" s="65" t="s">
        <v>430</v>
      </c>
      <c r="B197" s="65"/>
      <c r="C197" s="65"/>
      <c r="D197" s="65"/>
      <c r="E197" s="65"/>
      <c r="F197" s="65"/>
      <c r="G197" s="65"/>
      <c r="H197" s="65"/>
      <c r="I197" s="65"/>
      <c r="J197" s="65"/>
      <c r="K197" s="65"/>
      <c r="L197" s="65"/>
      <c r="M197" s="65"/>
      <c r="N197" s="65"/>
      <c r="O197" s="65"/>
    </row>
    <row r="198" customFormat="false" ht="27.75" hidden="false" customHeight="true" outlineLevel="0" collapsed="false">
      <c r="B198" s="69" t="s">
        <v>509</v>
      </c>
      <c r="C198" s="69"/>
      <c r="D198" s="69"/>
      <c r="E198" s="69"/>
      <c r="F198" s="69"/>
      <c r="G198" s="69"/>
      <c r="H198" s="69"/>
      <c r="I198" s="69"/>
      <c r="J198" s="69"/>
      <c r="K198" s="69"/>
      <c r="L198" s="69"/>
      <c r="M198" s="69"/>
      <c r="N198" s="69"/>
      <c r="O198" s="69"/>
    </row>
    <row r="199" customFormat="false" ht="6" hidden="false" customHeight="true" outlineLevel="0" collapsed="false">
      <c r="B199" s="71"/>
      <c r="C199" s="72"/>
      <c r="D199" s="72"/>
      <c r="E199" s="72"/>
      <c r="F199" s="72"/>
      <c r="G199" s="72"/>
      <c r="H199" s="72"/>
      <c r="I199" s="72"/>
      <c r="J199" s="72"/>
      <c r="K199" s="72"/>
      <c r="L199" s="72"/>
      <c r="M199" s="72"/>
      <c r="N199" s="72"/>
      <c r="O199" s="73"/>
    </row>
    <row r="200" customFormat="false" ht="15" hidden="false" customHeight="true" outlineLevel="0" collapsed="false">
      <c r="A200" s="12" t="s">
        <v>275</v>
      </c>
      <c r="B200" s="37" t="n">
        <v>1</v>
      </c>
      <c r="C200" s="37" t="n">
        <v>2</v>
      </c>
      <c r="D200" s="37" t="n">
        <v>3</v>
      </c>
      <c r="E200" s="37" t="n">
        <v>4</v>
      </c>
      <c r="F200" s="37" t="n">
        <v>5</v>
      </c>
      <c r="G200" s="37" t="n">
        <v>6</v>
      </c>
      <c r="H200" s="37" t="n">
        <v>7</v>
      </c>
      <c r="I200" s="37" t="n">
        <v>8</v>
      </c>
      <c r="J200" s="37" t="n">
        <v>9</v>
      </c>
      <c r="K200" s="37" t="n">
        <v>10</v>
      </c>
      <c r="L200" s="37" t="n">
        <v>11</v>
      </c>
      <c r="M200" s="37" t="n">
        <v>12</v>
      </c>
      <c r="N200" s="37" t="n">
        <v>13</v>
      </c>
      <c r="O200" s="37" t="n">
        <v>14</v>
      </c>
    </row>
    <row r="201" customFormat="false" ht="15" hidden="false" customHeight="true" outlineLevel="0" collapsed="false">
      <c r="A201" s="30" t="s">
        <v>447</v>
      </c>
      <c r="B201" s="74" t="n">
        <v>262</v>
      </c>
      <c r="C201" s="74" t="n">
        <v>214</v>
      </c>
      <c r="D201" s="74" t="n">
        <v>195</v>
      </c>
      <c r="E201" s="74" t="n">
        <v>176</v>
      </c>
      <c r="F201" s="74" t="n">
        <v>44</v>
      </c>
      <c r="G201" s="74" t="n">
        <v>26</v>
      </c>
      <c r="H201" s="74" t="n">
        <v>21</v>
      </c>
      <c r="I201" s="74" t="n">
        <v>12</v>
      </c>
      <c r="J201" s="74" t="n">
        <v>7</v>
      </c>
      <c r="K201" s="74" t="n">
        <v>6</v>
      </c>
      <c r="L201" s="74" t="n">
        <v>5</v>
      </c>
      <c r="M201" s="74" t="n">
        <v>3</v>
      </c>
      <c r="N201" s="74" t="n">
        <v>2</v>
      </c>
      <c r="O201" s="74" t="n">
        <v>1</v>
      </c>
    </row>
    <row r="202" customFormat="false" ht="15" hidden="false" customHeight="true" outlineLevel="0" collapsed="false">
      <c r="A202" s="30" t="s">
        <v>510</v>
      </c>
      <c r="B202" s="74"/>
      <c r="C202" s="75" t="n">
        <v>0.816793893129771</v>
      </c>
      <c r="D202" s="75" t="n">
        <v>0.911214953271028</v>
      </c>
      <c r="E202" s="75" t="n">
        <v>0.902564102564103</v>
      </c>
      <c r="F202" s="75" t="n">
        <v>0.25</v>
      </c>
      <c r="G202" s="75" t="n">
        <v>0.590909090909091</v>
      </c>
      <c r="H202" s="75" t="n">
        <v>0.807692307692308</v>
      </c>
      <c r="I202" s="75" t="n">
        <v>0.571428571428571</v>
      </c>
      <c r="J202" s="75" t="n">
        <v>0.583333333333333</v>
      </c>
      <c r="K202" s="75" t="n">
        <v>0.857142857142857</v>
      </c>
      <c r="L202" s="75" t="n">
        <v>0.833333333333333</v>
      </c>
      <c r="M202" s="75" t="n">
        <v>0.6</v>
      </c>
      <c r="N202" s="75" t="n">
        <v>0.666666666666667</v>
      </c>
      <c r="O202" s="75" t="n">
        <v>0.5</v>
      </c>
    </row>
    <row r="203" customFormat="false" ht="15" hidden="false" customHeight="true" outlineLevel="0" collapsed="false">
      <c r="A203" s="30" t="s">
        <v>449</v>
      </c>
      <c r="B203" s="75" t="n">
        <v>1</v>
      </c>
      <c r="C203" s="75" t="n">
        <v>0.816793893129771</v>
      </c>
      <c r="D203" s="75" t="n">
        <v>0.744274809160305</v>
      </c>
      <c r="E203" s="75" t="n">
        <v>0.67175572519084</v>
      </c>
      <c r="F203" s="75" t="n">
        <v>0.16793893129771</v>
      </c>
      <c r="G203" s="75" t="n">
        <v>0.099236641221374</v>
      </c>
      <c r="H203" s="75" t="n">
        <v>0.0801526717557252</v>
      </c>
      <c r="I203" s="75" t="n">
        <v>0.0458015267175573</v>
      </c>
      <c r="J203" s="75" t="n">
        <v>0.0267175572519084</v>
      </c>
      <c r="K203" s="75" t="n">
        <v>0.0229007633587786</v>
      </c>
      <c r="L203" s="75" t="n">
        <v>0.0190839694656489</v>
      </c>
      <c r="M203" s="75" t="n">
        <v>0.0114503816793893</v>
      </c>
      <c r="N203" s="75" t="n">
        <v>0.00763358778625954</v>
      </c>
      <c r="O203" s="75" t="n">
        <v>0.00381679389312977</v>
      </c>
    </row>
    <row r="205" customFormat="false" ht="24" hidden="false" customHeight="true" outlineLevel="0" collapsed="false">
      <c r="A205" s="65" t="s">
        <v>431</v>
      </c>
      <c r="B205" s="65"/>
      <c r="C205" s="65"/>
      <c r="D205" s="65"/>
      <c r="E205" s="65"/>
      <c r="F205" s="65"/>
      <c r="G205" s="65"/>
      <c r="H205" s="65"/>
      <c r="I205" s="65"/>
      <c r="J205" s="65"/>
      <c r="K205" s="65"/>
      <c r="L205" s="65"/>
    </row>
    <row r="206" customFormat="false" ht="27.75" hidden="false" customHeight="true" outlineLevel="0" collapsed="false">
      <c r="B206" s="69" t="s">
        <v>509</v>
      </c>
      <c r="C206" s="69"/>
      <c r="D206" s="69"/>
      <c r="E206" s="69"/>
      <c r="F206" s="69"/>
      <c r="G206" s="69"/>
      <c r="H206" s="69"/>
      <c r="I206" s="69"/>
      <c r="J206" s="69"/>
      <c r="K206" s="69"/>
      <c r="L206" s="69"/>
    </row>
    <row r="207" customFormat="false" ht="6" hidden="false" customHeight="true" outlineLevel="0" collapsed="false">
      <c r="B207" s="71"/>
      <c r="C207" s="72"/>
      <c r="D207" s="72"/>
      <c r="E207" s="72"/>
      <c r="F207" s="72"/>
      <c r="G207" s="72"/>
      <c r="H207" s="72"/>
      <c r="I207" s="72"/>
      <c r="J207" s="72"/>
      <c r="K207" s="72"/>
      <c r="L207" s="73"/>
    </row>
    <row r="208" customFormat="false" ht="15" hidden="false" customHeight="true" outlineLevel="0" collapsed="false">
      <c r="A208" s="12" t="s">
        <v>275</v>
      </c>
      <c r="B208" s="37" t="n">
        <v>1</v>
      </c>
      <c r="C208" s="37" t="n">
        <v>2</v>
      </c>
      <c r="D208" s="37" t="n">
        <v>3</v>
      </c>
      <c r="E208" s="37" t="n">
        <v>4</v>
      </c>
      <c r="F208" s="37" t="n">
        <v>5</v>
      </c>
      <c r="G208" s="37" t="n">
        <v>6</v>
      </c>
      <c r="H208" s="37" t="n">
        <v>7</v>
      </c>
      <c r="I208" s="37" t="n">
        <v>8</v>
      </c>
      <c r="J208" s="37" t="n">
        <v>9</v>
      </c>
      <c r="K208" s="37" t="n">
        <v>10</v>
      </c>
      <c r="L208" s="37" t="n">
        <v>11</v>
      </c>
    </row>
    <row r="209" customFormat="false" ht="15" hidden="false" customHeight="true" outlineLevel="0" collapsed="false">
      <c r="A209" s="30" t="s">
        <v>447</v>
      </c>
      <c r="B209" s="74" t="n">
        <v>103</v>
      </c>
      <c r="C209" s="74" t="n">
        <v>86</v>
      </c>
      <c r="D209" s="74" t="n">
        <v>72</v>
      </c>
      <c r="E209" s="74" t="n">
        <v>70</v>
      </c>
      <c r="F209" s="74" t="n">
        <v>70</v>
      </c>
      <c r="G209" s="74" t="n">
        <v>18</v>
      </c>
      <c r="H209" s="74" t="n">
        <v>12</v>
      </c>
      <c r="I209" s="74" t="n">
        <v>6</v>
      </c>
      <c r="J209" s="74" t="n">
        <v>2</v>
      </c>
      <c r="K209" s="74" t="n">
        <v>2</v>
      </c>
      <c r="L209" s="74" t="n">
        <v>2</v>
      </c>
    </row>
    <row r="210" customFormat="false" ht="15" hidden="false" customHeight="true" outlineLevel="0" collapsed="false">
      <c r="A210" s="30" t="s">
        <v>510</v>
      </c>
      <c r="B210" s="74"/>
      <c r="C210" s="75" t="n">
        <v>0.83495145631068</v>
      </c>
      <c r="D210" s="75" t="n">
        <v>0.837209302325581</v>
      </c>
      <c r="E210" s="75" t="n">
        <v>0.972222222222222</v>
      </c>
      <c r="F210" s="75" t="n">
        <v>1</v>
      </c>
      <c r="G210" s="75" t="n">
        <v>0.257142857142857</v>
      </c>
      <c r="H210" s="75" t="n">
        <v>0.666666666666667</v>
      </c>
      <c r="I210" s="75" t="n">
        <v>0.5</v>
      </c>
      <c r="J210" s="75" t="n">
        <v>0.333333333333333</v>
      </c>
      <c r="K210" s="75" t="n">
        <v>1</v>
      </c>
      <c r="L210" s="75" t="n">
        <v>1</v>
      </c>
    </row>
    <row r="211" customFormat="false" ht="15" hidden="false" customHeight="true" outlineLevel="0" collapsed="false">
      <c r="A211" s="30" t="s">
        <v>449</v>
      </c>
      <c r="B211" s="75" t="n">
        <v>1</v>
      </c>
      <c r="C211" s="75" t="n">
        <v>0.83495145631068</v>
      </c>
      <c r="D211" s="75" t="n">
        <v>0.699029126213592</v>
      </c>
      <c r="E211" s="75" t="n">
        <v>0.679611650485437</v>
      </c>
      <c r="F211" s="75" t="n">
        <v>0.679611650485437</v>
      </c>
      <c r="G211" s="75" t="n">
        <v>0.174757281553398</v>
      </c>
      <c r="H211" s="75" t="n">
        <v>0.116504854368932</v>
      </c>
      <c r="I211" s="75" t="n">
        <v>0.058252427184466</v>
      </c>
      <c r="J211" s="75" t="n">
        <v>0.0194174757281553</v>
      </c>
      <c r="K211" s="75" t="n">
        <v>0.0194174757281553</v>
      </c>
      <c r="L211" s="75" t="n">
        <v>0.0194174757281553</v>
      </c>
    </row>
    <row r="213" customFormat="false" ht="24" hidden="false" customHeight="true" outlineLevel="0" collapsed="false">
      <c r="A213" s="65" t="s">
        <v>432</v>
      </c>
      <c r="B213" s="65"/>
      <c r="C213" s="65"/>
      <c r="D213" s="65"/>
      <c r="E213" s="65"/>
      <c r="F213" s="65"/>
      <c r="G213" s="65"/>
      <c r="H213" s="65"/>
      <c r="I213" s="65"/>
      <c r="J213" s="65"/>
      <c r="K213" s="65"/>
      <c r="L213" s="65"/>
      <c r="M213" s="65"/>
      <c r="N213" s="65"/>
      <c r="O213" s="65"/>
    </row>
    <row r="214" customFormat="false" ht="27.75" hidden="false" customHeight="true" outlineLevel="0" collapsed="false">
      <c r="B214" s="69" t="s">
        <v>509</v>
      </c>
      <c r="C214" s="69"/>
      <c r="D214" s="69"/>
      <c r="E214" s="69"/>
      <c r="F214" s="69"/>
      <c r="G214" s="69"/>
      <c r="H214" s="69"/>
      <c r="I214" s="69"/>
      <c r="J214" s="69"/>
      <c r="K214" s="69"/>
      <c r="L214" s="69"/>
      <c r="M214" s="69"/>
      <c r="N214" s="69"/>
      <c r="O214" s="69"/>
    </row>
    <row r="215" customFormat="false" ht="6" hidden="false" customHeight="true" outlineLevel="0" collapsed="false">
      <c r="B215" s="71"/>
      <c r="C215" s="72"/>
      <c r="D215" s="72"/>
      <c r="E215" s="72"/>
      <c r="F215" s="72"/>
      <c r="G215" s="72"/>
      <c r="H215" s="72"/>
      <c r="I215" s="72"/>
      <c r="J215" s="72"/>
      <c r="K215" s="72"/>
      <c r="L215" s="72"/>
      <c r="M215" s="72"/>
      <c r="N215" s="72"/>
      <c r="O215" s="73"/>
    </row>
    <row r="216" customFormat="false" ht="15" hidden="false" customHeight="true" outlineLevel="0" collapsed="false">
      <c r="A216" s="12" t="s">
        <v>275</v>
      </c>
      <c r="B216" s="37" t="n">
        <v>1</v>
      </c>
      <c r="C216" s="37" t="n">
        <v>2</v>
      </c>
      <c r="D216" s="37" t="n">
        <v>3</v>
      </c>
      <c r="E216" s="37" t="n">
        <v>4</v>
      </c>
      <c r="F216" s="37" t="n">
        <v>5</v>
      </c>
      <c r="G216" s="37" t="n">
        <v>6</v>
      </c>
      <c r="H216" s="37" t="n">
        <v>7</v>
      </c>
      <c r="I216" s="37" t="n">
        <v>8</v>
      </c>
      <c r="J216" s="37" t="n">
        <v>9</v>
      </c>
      <c r="K216" s="37" t="n">
        <v>10</v>
      </c>
      <c r="L216" s="37" t="n">
        <v>11</v>
      </c>
      <c r="M216" s="37" t="n">
        <v>12</v>
      </c>
      <c r="N216" s="37" t="n">
        <v>13</v>
      </c>
      <c r="O216" s="37" t="n">
        <v>14</v>
      </c>
    </row>
    <row r="217" customFormat="false" ht="15" hidden="false" customHeight="true" outlineLevel="0" collapsed="false">
      <c r="A217" s="30" t="s">
        <v>447</v>
      </c>
      <c r="B217" s="74" t="n">
        <v>91</v>
      </c>
      <c r="C217" s="74" t="n">
        <v>61</v>
      </c>
      <c r="D217" s="74" t="n">
        <v>54</v>
      </c>
      <c r="E217" s="74" t="n">
        <v>54</v>
      </c>
      <c r="F217" s="74" t="n">
        <v>51</v>
      </c>
      <c r="G217" s="74" t="n">
        <v>25</v>
      </c>
      <c r="H217" s="74" t="n">
        <v>16</v>
      </c>
      <c r="I217" s="74" t="n">
        <v>10</v>
      </c>
      <c r="J217" s="74" t="n">
        <v>8</v>
      </c>
      <c r="K217" s="74" t="n">
        <v>4</v>
      </c>
      <c r="L217" s="74" t="n">
        <v>3</v>
      </c>
      <c r="M217" s="74" t="n">
        <v>0</v>
      </c>
      <c r="N217" s="74" t="n">
        <v>1</v>
      </c>
      <c r="O217" s="74" t="n">
        <v>1</v>
      </c>
    </row>
    <row r="218" customFormat="false" ht="15" hidden="false" customHeight="true" outlineLevel="0" collapsed="false">
      <c r="A218" s="30" t="s">
        <v>510</v>
      </c>
      <c r="B218" s="74"/>
      <c r="C218" s="75" t="n">
        <v>0.67032967032967</v>
      </c>
      <c r="D218" s="75" t="n">
        <v>0.885245901639344</v>
      </c>
      <c r="E218" s="75" t="n">
        <v>1</v>
      </c>
      <c r="F218" s="75" t="n">
        <v>0.944444444444444</v>
      </c>
      <c r="G218" s="75" t="n">
        <v>0.490196078431373</v>
      </c>
      <c r="H218" s="75" t="n">
        <v>0.64</v>
      </c>
      <c r="I218" s="75" t="n">
        <v>0.625</v>
      </c>
      <c r="J218" s="75" t="n">
        <v>0.8</v>
      </c>
      <c r="K218" s="75" t="n">
        <v>0.5</v>
      </c>
      <c r="L218" s="75" t="n">
        <v>0.75</v>
      </c>
      <c r="M218" s="75" t="n">
        <v>0</v>
      </c>
      <c r="N218" s="74"/>
      <c r="O218" s="75" t="n">
        <v>1</v>
      </c>
    </row>
    <row r="219" customFormat="false" ht="15" hidden="false" customHeight="true" outlineLevel="0" collapsed="false">
      <c r="A219" s="30" t="s">
        <v>449</v>
      </c>
      <c r="B219" s="75" t="n">
        <v>1</v>
      </c>
      <c r="C219" s="75" t="n">
        <v>0.67032967032967</v>
      </c>
      <c r="D219" s="75" t="n">
        <v>0.593406593406593</v>
      </c>
      <c r="E219" s="75" t="n">
        <v>0.593406593406593</v>
      </c>
      <c r="F219" s="75" t="n">
        <v>0.56043956043956</v>
      </c>
      <c r="G219" s="75" t="n">
        <v>0.274725274725275</v>
      </c>
      <c r="H219" s="75" t="n">
        <v>0.175824175824176</v>
      </c>
      <c r="I219" s="75" t="n">
        <v>0.10989010989011</v>
      </c>
      <c r="J219" s="75" t="n">
        <v>0.0879120879120879</v>
      </c>
      <c r="K219" s="75" t="n">
        <v>0.043956043956044</v>
      </c>
      <c r="L219" s="75" t="n">
        <v>0.032967032967033</v>
      </c>
      <c r="M219" s="75" t="n">
        <v>0</v>
      </c>
      <c r="N219" s="75" t="n">
        <v>0.010989010989011</v>
      </c>
      <c r="O219" s="75" t="n">
        <v>0.010989010989011</v>
      </c>
    </row>
    <row r="221" customFormat="false" ht="24" hidden="false" customHeight="true" outlineLevel="0" collapsed="false">
      <c r="A221" s="65" t="s">
        <v>433</v>
      </c>
      <c r="B221" s="65"/>
      <c r="C221" s="65"/>
      <c r="D221" s="65"/>
      <c r="E221" s="65"/>
      <c r="F221" s="65"/>
      <c r="G221" s="65"/>
      <c r="H221" s="65"/>
      <c r="I221" s="65"/>
      <c r="J221" s="65"/>
      <c r="K221" s="65"/>
      <c r="L221" s="65"/>
      <c r="M221" s="65"/>
      <c r="N221" s="65"/>
    </row>
    <row r="222" customFormat="false" ht="27.75" hidden="false" customHeight="true" outlineLevel="0" collapsed="false">
      <c r="B222" s="69" t="s">
        <v>509</v>
      </c>
      <c r="C222" s="69"/>
      <c r="D222" s="69"/>
      <c r="E222" s="69"/>
      <c r="F222" s="69"/>
      <c r="G222" s="69"/>
      <c r="H222" s="69"/>
      <c r="I222" s="69"/>
      <c r="J222" s="69"/>
      <c r="K222" s="69"/>
      <c r="L222" s="69"/>
      <c r="M222" s="69"/>
      <c r="N222" s="69"/>
    </row>
    <row r="223" customFormat="false" ht="6" hidden="false" customHeight="true" outlineLevel="0" collapsed="false">
      <c r="B223" s="71"/>
      <c r="C223" s="72"/>
      <c r="D223" s="72"/>
      <c r="E223" s="72"/>
      <c r="F223" s="72"/>
      <c r="G223" s="72"/>
      <c r="H223" s="72"/>
      <c r="I223" s="72"/>
      <c r="J223" s="72"/>
      <c r="K223" s="72"/>
      <c r="L223" s="72"/>
      <c r="M223" s="72"/>
      <c r="N223" s="73"/>
    </row>
    <row r="224" customFormat="false" ht="15" hidden="false" customHeight="true" outlineLevel="0" collapsed="false">
      <c r="A224" s="12" t="s">
        <v>275</v>
      </c>
      <c r="B224" s="37" t="n">
        <v>1</v>
      </c>
      <c r="C224" s="37" t="n">
        <v>2</v>
      </c>
      <c r="D224" s="37" t="n">
        <v>3</v>
      </c>
      <c r="E224" s="37" t="n">
        <v>4</v>
      </c>
      <c r="F224" s="37" t="n">
        <v>5</v>
      </c>
      <c r="G224" s="37" t="n">
        <v>6</v>
      </c>
      <c r="H224" s="37" t="n">
        <v>7</v>
      </c>
      <c r="I224" s="37" t="n">
        <v>8</v>
      </c>
      <c r="J224" s="37" t="n">
        <v>9</v>
      </c>
      <c r="K224" s="37" t="n">
        <v>10</v>
      </c>
      <c r="L224" s="37" t="n">
        <v>11</v>
      </c>
      <c r="M224" s="37" t="n">
        <v>12</v>
      </c>
      <c r="N224" s="37" t="n">
        <v>13</v>
      </c>
    </row>
    <row r="225" customFormat="false" ht="15" hidden="false" customHeight="true" outlineLevel="0" collapsed="false">
      <c r="A225" s="30" t="s">
        <v>447</v>
      </c>
      <c r="B225" s="74" t="n">
        <v>82</v>
      </c>
      <c r="C225" s="74" t="n">
        <v>64</v>
      </c>
      <c r="D225" s="74" t="n">
        <v>54</v>
      </c>
      <c r="E225" s="74" t="n">
        <v>59</v>
      </c>
      <c r="F225" s="74" t="n">
        <v>52</v>
      </c>
      <c r="G225" s="74" t="n">
        <v>30</v>
      </c>
      <c r="H225" s="74" t="n">
        <v>13</v>
      </c>
      <c r="I225" s="74" t="n">
        <v>8</v>
      </c>
      <c r="J225" s="74" t="n">
        <v>7</v>
      </c>
      <c r="K225" s="74" t="n">
        <v>5</v>
      </c>
      <c r="L225" s="74" t="n">
        <v>3</v>
      </c>
      <c r="M225" s="74" t="n">
        <v>2</v>
      </c>
      <c r="N225" s="74" t="n">
        <v>1</v>
      </c>
    </row>
    <row r="226" customFormat="false" ht="15" hidden="false" customHeight="true" outlineLevel="0" collapsed="false">
      <c r="A226" s="30" t="s">
        <v>510</v>
      </c>
      <c r="B226" s="74"/>
      <c r="C226" s="75" t="n">
        <v>0.780487804878049</v>
      </c>
      <c r="D226" s="75" t="n">
        <v>0.84375</v>
      </c>
      <c r="E226" s="75" t="n">
        <v>1.09259259259259</v>
      </c>
      <c r="F226" s="75" t="n">
        <v>0.88135593220339</v>
      </c>
      <c r="G226" s="75" t="n">
        <v>0.576923076923077</v>
      </c>
      <c r="H226" s="75" t="n">
        <v>0.433333333333333</v>
      </c>
      <c r="I226" s="75" t="n">
        <v>0.615384615384615</v>
      </c>
      <c r="J226" s="75" t="n">
        <v>0.875</v>
      </c>
      <c r="K226" s="75" t="n">
        <v>0.714285714285714</v>
      </c>
      <c r="L226" s="75" t="n">
        <v>0.6</v>
      </c>
      <c r="M226" s="75" t="n">
        <v>0.666666666666667</v>
      </c>
      <c r="N226" s="75" t="n">
        <v>0.5</v>
      </c>
    </row>
    <row r="227" customFormat="false" ht="15" hidden="false" customHeight="true" outlineLevel="0" collapsed="false">
      <c r="A227" s="30" t="s">
        <v>449</v>
      </c>
      <c r="B227" s="75" t="n">
        <v>1</v>
      </c>
      <c r="C227" s="75" t="n">
        <v>0.780487804878049</v>
      </c>
      <c r="D227" s="75" t="n">
        <v>0.658536585365854</v>
      </c>
      <c r="E227" s="75" t="n">
        <v>0.719512195121951</v>
      </c>
      <c r="F227" s="75" t="n">
        <v>0.634146341463415</v>
      </c>
      <c r="G227" s="75" t="n">
        <v>0.365853658536585</v>
      </c>
      <c r="H227" s="75" t="n">
        <v>0.158536585365854</v>
      </c>
      <c r="I227" s="75" t="n">
        <v>0.0975609756097561</v>
      </c>
      <c r="J227" s="75" t="n">
        <v>0.0853658536585366</v>
      </c>
      <c r="K227" s="75" t="n">
        <v>0.0609756097560976</v>
      </c>
      <c r="L227" s="75" t="n">
        <v>0.0365853658536585</v>
      </c>
      <c r="M227" s="75" t="n">
        <v>0.024390243902439</v>
      </c>
      <c r="N227" s="75" t="n">
        <v>0.0121951219512195</v>
      </c>
    </row>
    <row r="229" customFormat="false" ht="24" hidden="false" customHeight="true" outlineLevel="0" collapsed="false">
      <c r="A229" s="65" t="s">
        <v>434</v>
      </c>
      <c r="B229" s="65"/>
      <c r="C229" s="65"/>
      <c r="D229" s="65"/>
      <c r="E229" s="65"/>
      <c r="F229" s="65"/>
      <c r="G229" s="65"/>
      <c r="H229" s="65"/>
      <c r="I229" s="65"/>
      <c r="J229" s="65"/>
      <c r="K229" s="65"/>
    </row>
    <row r="230" customFormat="false" ht="27.75" hidden="false" customHeight="true" outlineLevel="0" collapsed="false">
      <c r="B230" s="69" t="s">
        <v>509</v>
      </c>
      <c r="C230" s="69"/>
      <c r="D230" s="69"/>
      <c r="E230" s="69"/>
      <c r="F230" s="69"/>
      <c r="G230" s="69"/>
      <c r="H230" s="69"/>
      <c r="I230" s="69"/>
      <c r="J230" s="69"/>
      <c r="K230" s="69"/>
    </row>
    <row r="231" customFormat="false" ht="6" hidden="false" customHeight="true" outlineLevel="0" collapsed="false">
      <c r="B231" s="71"/>
      <c r="C231" s="72"/>
      <c r="D231" s="72"/>
      <c r="E231" s="72"/>
      <c r="F231" s="72"/>
      <c r="G231" s="72"/>
      <c r="H231" s="72"/>
      <c r="I231" s="72"/>
      <c r="J231" s="72"/>
      <c r="K231" s="73"/>
    </row>
    <row r="232" customFormat="false" ht="15" hidden="false" customHeight="true" outlineLevel="0" collapsed="false">
      <c r="A232" s="12" t="s">
        <v>275</v>
      </c>
      <c r="B232" s="37" t="n">
        <v>1</v>
      </c>
      <c r="C232" s="37" t="n">
        <v>2</v>
      </c>
      <c r="D232" s="37" t="n">
        <v>3</v>
      </c>
      <c r="E232" s="37" t="n">
        <v>4</v>
      </c>
      <c r="F232" s="37" t="n">
        <v>5</v>
      </c>
      <c r="G232" s="37" t="n">
        <v>6</v>
      </c>
      <c r="H232" s="37" t="n">
        <v>7</v>
      </c>
      <c r="I232" s="37" t="n">
        <v>8</v>
      </c>
      <c r="J232" s="37" t="n">
        <v>9</v>
      </c>
      <c r="K232" s="37" t="n">
        <v>10</v>
      </c>
    </row>
    <row r="233" customFormat="false" ht="15" hidden="false" customHeight="true" outlineLevel="0" collapsed="false">
      <c r="A233" s="30" t="s">
        <v>447</v>
      </c>
      <c r="B233" s="74" t="n">
        <v>88</v>
      </c>
      <c r="C233" s="74" t="n">
        <v>78</v>
      </c>
      <c r="D233" s="74" t="n">
        <v>72</v>
      </c>
      <c r="E233" s="74" t="n">
        <v>71</v>
      </c>
      <c r="F233" s="74" t="n">
        <v>10</v>
      </c>
      <c r="G233" s="74" t="n">
        <v>8</v>
      </c>
      <c r="H233" s="74" t="n">
        <v>4</v>
      </c>
      <c r="I233" s="74" t="n">
        <v>0</v>
      </c>
      <c r="J233" s="74" t="n">
        <v>1</v>
      </c>
      <c r="K233" s="74" t="n">
        <v>1</v>
      </c>
    </row>
    <row r="234" customFormat="false" ht="15" hidden="false" customHeight="true" outlineLevel="0" collapsed="false">
      <c r="A234" s="30" t="s">
        <v>510</v>
      </c>
      <c r="B234" s="74"/>
      <c r="C234" s="75" t="n">
        <v>0.886363636363636</v>
      </c>
      <c r="D234" s="75" t="n">
        <v>0.923076923076923</v>
      </c>
      <c r="E234" s="75" t="n">
        <v>0.986111111111111</v>
      </c>
      <c r="F234" s="75" t="n">
        <v>0.140845070422535</v>
      </c>
      <c r="G234" s="75" t="n">
        <v>0.8</v>
      </c>
      <c r="H234" s="75" t="n">
        <v>0.5</v>
      </c>
      <c r="I234" s="75" t="n">
        <v>0</v>
      </c>
      <c r="J234" s="74"/>
      <c r="K234" s="75" t="n">
        <v>1</v>
      </c>
    </row>
    <row r="235" customFormat="false" ht="15" hidden="false" customHeight="true" outlineLevel="0" collapsed="false">
      <c r="A235" s="30" t="s">
        <v>449</v>
      </c>
      <c r="B235" s="75" t="n">
        <v>1</v>
      </c>
      <c r="C235" s="75" t="n">
        <v>0.886363636363636</v>
      </c>
      <c r="D235" s="75" t="n">
        <v>0.818181818181818</v>
      </c>
      <c r="E235" s="75" t="n">
        <v>0.806818181818182</v>
      </c>
      <c r="F235" s="75" t="n">
        <v>0.113636363636364</v>
      </c>
      <c r="G235" s="75" t="n">
        <v>0.0909090909090909</v>
      </c>
      <c r="H235" s="75" t="n">
        <v>0.0454545454545455</v>
      </c>
      <c r="I235" s="75" t="n">
        <v>0</v>
      </c>
      <c r="J235" s="75" t="n">
        <v>0.0113636363636364</v>
      </c>
      <c r="K235" s="75" t="n">
        <v>0.0113636363636364</v>
      </c>
    </row>
    <row r="237" customFormat="false" ht="24" hidden="false" customHeight="true" outlineLevel="0" collapsed="false">
      <c r="A237" s="65" t="s">
        <v>435</v>
      </c>
      <c r="B237" s="65"/>
      <c r="C237" s="65"/>
      <c r="D237" s="65"/>
      <c r="E237" s="65"/>
      <c r="F237" s="65"/>
      <c r="G237" s="65"/>
      <c r="H237" s="65"/>
      <c r="I237" s="65"/>
    </row>
    <row r="238" customFormat="false" ht="27.75" hidden="false" customHeight="true" outlineLevel="0" collapsed="false">
      <c r="B238" s="69" t="s">
        <v>509</v>
      </c>
      <c r="C238" s="69"/>
      <c r="D238" s="69"/>
      <c r="E238" s="69"/>
      <c r="F238" s="69"/>
      <c r="G238" s="69"/>
      <c r="H238" s="69"/>
      <c r="I238" s="69"/>
    </row>
    <row r="239" customFormat="false" ht="6" hidden="false" customHeight="true" outlineLevel="0" collapsed="false">
      <c r="B239" s="71"/>
      <c r="C239" s="72"/>
      <c r="D239" s="72"/>
      <c r="E239" s="72"/>
      <c r="F239" s="72"/>
      <c r="G239" s="72"/>
      <c r="H239" s="72"/>
      <c r="I239" s="73"/>
    </row>
    <row r="240" customFormat="false" ht="15" hidden="false" customHeight="true" outlineLevel="0" collapsed="false">
      <c r="A240" s="12" t="s">
        <v>275</v>
      </c>
      <c r="B240" s="37" t="n">
        <v>1</v>
      </c>
      <c r="C240" s="37" t="n">
        <v>2</v>
      </c>
      <c r="D240" s="37" t="n">
        <v>3</v>
      </c>
      <c r="E240" s="37" t="n">
        <v>4</v>
      </c>
      <c r="F240" s="37" t="n">
        <v>5</v>
      </c>
      <c r="G240" s="37" t="n">
        <v>6</v>
      </c>
      <c r="H240" s="37" t="n">
        <v>7</v>
      </c>
      <c r="I240" s="37" t="n">
        <v>8</v>
      </c>
    </row>
    <row r="241" customFormat="false" ht="15" hidden="false" customHeight="true" outlineLevel="0" collapsed="false">
      <c r="A241" s="30" t="s">
        <v>447</v>
      </c>
      <c r="B241" s="74" t="n">
        <v>26</v>
      </c>
      <c r="C241" s="74" t="n">
        <v>18</v>
      </c>
      <c r="D241" s="74" t="n">
        <v>16</v>
      </c>
      <c r="E241" s="74" t="n">
        <v>14</v>
      </c>
      <c r="F241" s="74" t="n">
        <v>14</v>
      </c>
      <c r="G241" s="74" t="n">
        <v>1</v>
      </c>
      <c r="H241" s="74" t="n">
        <v>2</v>
      </c>
      <c r="I241" s="74" t="n">
        <v>1</v>
      </c>
    </row>
    <row r="242" customFormat="false" ht="15" hidden="false" customHeight="true" outlineLevel="0" collapsed="false">
      <c r="A242" s="30" t="s">
        <v>510</v>
      </c>
      <c r="B242" s="74"/>
      <c r="C242" s="75" t="n">
        <v>0.692307692307692</v>
      </c>
      <c r="D242" s="75" t="n">
        <v>0.888888888888889</v>
      </c>
      <c r="E242" s="75" t="n">
        <v>0.875</v>
      </c>
      <c r="F242" s="75" t="n">
        <v>1</v>
      </c>
      <c r="G242" s="75" t="n">
        <v>0.0714285714285714</v>
      </c>
      <c r="H242" s="75" t="n">
        <v>2</v>
      </c>
      <c r="I242" s="75" t="n">
        <v>0.5</v>
      </c>
    </row>
    <row r="243" customFormat="false" ht="15" hidden="false" customHeight="true" outlineLevel="0" collapsed="false">
      <c r="A243" s="30" t="s">
        <v>449</v>
      </c>
      <c r="B243" s="75" t="n">
        <v>1</v>
      </c>
      <c r="C243" s="75" t="n">
        <v>0.692307692307692</v>
      </c>
      <c r="D243" s="75" t="n">
        <v>0.615384615384615</v>
      </c>
      <c r="E243" s="75" t="n">
        <v>0.538461538461538</v>
      </c>
      <c r="F243" s="75" t="n">
        <v>0.538461538461538</v>
      </c>
      <c r="G243" s="75" t="n">
        <v>0.0384615384615385</v>
      </c>
      <c r="H243" s="75" t="n">
        <v>0.0769230769230769</v>
      </c>
      <c r="I243" s="75" t="n">
        <v>0.0384615384615385</v>
      </c>
    </row>
    <row r="245" customFormat="false" ht="24" hidden="false" customHeight="true" outlineLevel="0" collapsed="false">
      <c r="A245" s="65" t="s">
        <v>436</v>
      </c>
      <c r="B245" s="65"/>
      <c r="C245" s="65"/>
      <c r="D245" s="65"/>
      <c r="E245" s="65"/>
      <c r="F245" s="65"/>
      <c r="G245" s="65"/>
      <c r="H245" s="65"/>
    </row>
    <row r="246" customFormat="false" ht="27.75" hidden="false" customHeight="true" outlineLevel="0" collapsed="false">
      <c r="B246" s="69" t="s">
        <v>509</v>
      </c>
      <c r="C246" s="69"/>
      <c r="D246" s="69"/>
      <c r="E246" s="69"/>
      <c r="F246" s="69"/>
      <c r="G246" s="69"/>
      <c r="H246" s="69"/>
    </row>
    <row r="247" customFormat="false" ht="6" hidden="false" customHeight="true" outlineLevel="0" collapsed="false">
      <c r="B247" s="71"/>
      <c r="C247" s="72"/>
      <c r="D247" s="72"/>
      <c r="E247" s="72"/>
      <c r="F247" s="72"/>
      <c r="G247" s="72"/>
      <c r="H247" s="73"/>
    </row>
    <row r="248" customFormat="false" ht="15" hidden="false" customHeight="true" outlineLevel="0" collapsed="false">
      <c r="A248" s="12" t="s">
        <v>275</v>
      </c>
      <c r="B248" s="37" t="n">
        <v>1</v>
      </c>
      <c r="C248" s="37" t="n">
        <v>2</v>
      </c>
      <c r="D248" s="37" t="n">
        <v>3</v>
      </c>
      <c r="E248" s="37" t="n">
        <v>4</v>
      </c>
      <c r="F248" s="37" t="n">
        <v>5</v>
      </c>
      <c r="G248" s="37" t="n">
        <v>6</v>
      </c>
      <c r="H248" s="37" t="n">
        <v>7</v>
      </c>
    </row>
    <row r="249" customFormat="false" ht="15" hidden="false" customHeight="true" outlineLevel="0" collapsed="false">
      <c r="A249" s="30" t="s">
        <v>447</v>
      </c>
      <c r="B249" s="74" t="n">
        <v>20</v>
      </c>
      <c r="C249" s="74" t="n">
        <v>13</v>
      </c>
      <c r="D249" s="74" t="n">
        <v>15</v>
      </c>
      <c r="E249" s="74" t="n">
        <v>14</v>
      </c>
      <c r="F249" s="74" t="n">
        <v>1</v>
      </c>
      <c r="G249" s="74" t="n">
        <v>1</v>
      </c>
      <c r="H249" s="74" t="n">
        <v>0</v>
      </c>
    </row>
    <row r="250" customFormat="false" ht="15" hidden="false" customHeight="true" outlineLevel="0" collapsed="false">
      <c r="A250" s="30" t="s">
        <v>510</v>
      </c>
      <c r="B250" s="74"/>
      <c r="C250" s="75" t="n">
        <v>0.65</v>
      </c>
      <c r="D250" s="75" t="n">
        <v>1.15384615384615</v>
      </c>
      <c r="E250" s="75" t="n">
        <v>0.933333333333333</v>
      </c>
      <c r="F250" s="75" t="n">
        <v>0.0714285714285714</v>
      </c>
      <c r="G250" s="75" t="n">
        <v>1</v>
      </c>
      <c r="H250" s="75" t="n">
        <v>0</v>
      </c>
    </row>
    <row r="251" customFormat="false" ht="15" hidden="false" customHeight="true" outlineLevel="0" collapsed="false">
      <c r="A251" s="30" t="s">
        <v>449</v>
      </c>
      <c r="B251" s="75" t="n">
        <v>1</v>
      </c>
      <c r="C251" s="75" t="n">
        <v>0.65</v>
      </c>
      <c r="D251" s="75" t="n">
        <v>0.75</v>
      </c>
      <c r="E251" s="75" t="n">
        <v>0.7</v>
      </c>
      <c r="F251" s="75" t="n">
        <v>0.05</v>
      </c>
      <c r="G251" s="75" t="n">
        <v>0.05</v>
      </c>
      <c r="H251" s="75" t="n">
        <v>0</v>
      </c>
    </row>
    <row r="253" customFormat="false" ht="24" hidden="false" customHeight="true" outlineLevel="0" collapsed="false">
      <c r="A253" s="65" t="s">
        <v>437</v>
      </c>
      <c r="B253" s="65"/>
      <c r="C253" s="65"/>
      <c r="D253" s="65"/>
      <c r="E253" s="65"/>
      <c r="F253" s="65"/>
      <c r="G253" s="65"/>
      <c r="H253" s="65"/>
      <c r="I253" s="65"/>
      <c r="J253" s="65"/>
      <c r="K253" s="65"/>
      <c r="L253" s="65"/>
      <c r="M253" s="65"/>
      <c r="N253" s="65"/>
      <c r="O253" s="65"/>
      <c r="P253" s="65"/>
      <c r="Q253" s="65"/>
      <c r="R253" s="65"/>
      <c r="S253" s="65"/>
    </row>
    <row r="254" customFormat="false" ht="27.75" hidden="false" customHeight="true" outlineLevel="0" collapsed="false">
      <c r="B254" s="69" t="s">
        <v>509</v>
      </c>
      <c r="C254" s="69"/>
      <c r="D254" s="69"/>
      <c r="E254" s="69"/>
      <c r="F254" s="69"/>
      <c r="G254" s="69"/>
      <c r="H254" s="69"/>
      <c r="I254" s="69"/>
      <c r="J254" s="69"/>
      <c r="K254" s="69"/>
      <c r="L254" s="69"/>
      <c r="M254" s="69"/>
      <c r="N254" s="69"/>
      <c r="O254" s="69"/>
      <c r="P254" s="69"/>
      <c r="Q254" s="69"/>
      <c r="R254" s="69"/>
      <c r="S254" s="69"/>
    </row>
    <row r="255" customFormat="false" ht="6" hidden="false" customHeight="true" outlineLevel="0" collapsed="false">
      <c r="B255" s="71"/>
      <c r="C255" s="72"/>
      <c r="D255" s="72"/>
      <c r="E255" s="72"/>
      <c r="F255" s="72"/>
      <c r="G255" s="72"/>
      <c r="H255" s="72"/>
      <c r="I255" s="72"/>
      <c r="J255" s="72"/>
      <c r="K255" s="72"/>
      <c r="L255" s="72"/>
      <c r="M255" s="72"/>
      <c r="N255" s="72"/>
      <c r="O255" s="72"/>
      <c r="P255" s="72"/>
      <c r="Q255" s="72"/>
      <c r="R255" s="72"/>
      <c r="S255" s="73"/>
    </row>
    <row r="256" customFormat="false" ht="15" hidden="false" customHeight="true" outlineLevel="0" collapsed="false">
      <c r="A256" s="12" t="s">
        <v>275</v>
      </c>
      <c r="B256" s="37" t="n">
        <v>1</v>
      </c>
      <c r="C256" s="37" t="n">
        <v>2</v>
      </c>
      <c r="D256" s="37" t="n">
        <v>3</v>
      </c>
      <c r="E256" s="37" t="n">
        <v>4</v>
      </c>
      <c r="F256" s="37" t="n">
        <v>5</v>
      </c>
      <c r="G256" s="37" t="n">
        <v>6</v>
      </c>
      <c r="H256" s="37" t="n">
        <v>7</v>
      </c>
      <c r="I256" s="37" t="n">
        <v>8</v>
      </c>
      <c r="J256" s="37" t="n">
        <v>9</v>
      </c>
      <c r="K256" s="37" t="n">
        <v>10</v>
      </c>
      <c r="L256" s="37" t="n">
        <v>11</v>
      </c>
      <c r="M256" s="37" t="n">
        <v>12</v>
      </c>
      <c r="N256" s="37" t="n">
        <v>13</v>
      </c>
      <c r="O256" s="37" t="n">
        <v>14</v>
      </c>
      <c r="P256" s="37" t="n">
        <v>15</v>
      </c>
      <c r="Q256" s="37" t="n">
        <v>16</v>
      </c>
      <c r="R256" s="37" t="n">
        <v>17</v>
      </c>
      <c r="S256" s="37" t="n">
        <v>18</v>
      </c>
    </row>
    <row r="257" customFormat="false" ht="15" hidden="false" customHeight="true" outlineLevel="0" collapsed="false">
      <c r="A257" s="30" t="s">
        <v>447</v>
      </c>
      <c r="B257" s="74" t="n">
        <v>771</v>
      </c>
      <c r="C257" s="74" t="n">
        <v>673</v>
      </c>
      <c r="D257" s="74" t="n">
        <v>595</v>
      </c>
      <c r="E257" s="74" t="n">
        <v>600</v>
      </c>
      <c r="F257" s="74" t="n">
        <v>556</v>
      </c>
      <c r="G257" s="74" t="n">
        <v>551</v>
      </c>
      <c r="H257" s="74" t="n">
        <v>539</v>
      </c>
      <c r="I257" s="74" t="n">
        <v>269</v>
      </c>
      <c r="J257" s="74" t="n">
        <v>197</v>
      </c>
      <c r="K257" s="74" t="n">
        <v>84</v>
      </c>
      <c r="L257" s="74" t="n">
        <v>33</v>
      </c>
      <c r="M257" s="74" t="n">
        <v>22</v>
      </c>
      <c r="N257" s="74" t="n">
        <v>10</v>
      </c>
      <c r="O257" s="74" t="n">
        <v>4</v>
      </c>
      <c r="P257" s="74" t="n">
        <v>5</v>
      </c>
      <c r="Q257" s="74" t="n">
        <v>2</v>
      </c>
      <c r="R257" s="74" t="n">
        <v>2</v>
      </c>
      <c r="S257" s="74" t="n">
        <v>2</v>
      </c>
    </row>
    <row r="258" customFormat="false" ht="15" hidden="false" customHeight="true" outlineLevel="0" collapsed="false">
      <c r="A258" s="30" t="s">
        <v>510</v>
      </c>
      <c r="B258" s="74"/>
      <c r="C258" s="75" t="n">
        <v>0.872892347600519</v>
      </c>
      <c r="D258" s="75" t="n">
        <v>0.884101040118871</v>
      </c>
      <c r="E258" s="75" t="n">
        <v>1.00840336134454</v>
      </c>
      <c r="F258" s="75" t="n">
        <v>0.926666666666667</v>
      </c>
      <c r="G258" s="75" t="n">
        <v>0.991007194244604</v>
      </c>
      <c r="H258" s="75" t="n">
        <v>0.978221415607986</v>
      </c>
      <c r="I258" s="75" t="n">
        <v>0.499072356215213</v>
      </c>
      <c r="J258" s="75" t="n">
        <v>0.732342007434944</v>
      </c>
      <c r="K258" s="75" t="n">
        <v>0.426395939086294</v>
      </c>
      <c r="L258" s="75" t="n">
        <v>0.392857142857143</v>
      </c>
      <c r="M258" s="75" t="n">
        <v>0.666666666666667</v>
      </c>
      <c r="N258" s="75" t="n">
        <v>0.454545454545455</v>
      </c>
      <c r="O258" s="75" t="n">
        <v>0.4</v>
      </c>
      <c r="P258" s="75" t="n">
        <v>1.25</v>
      </c>
      <c r="Q258" s="75" t="n">
        <v>0.4</v>
      </c>
      <c r="R258" s="75" t="n">
        <v>1</v>
      </c>
      <c r="S258" s="75" t="n">
        <v>1</v>
      </c>
    </row>
    <row r="259" customFormat="false" ht="15" hidden="false" customHeight="true" outlineLevel="0" collapsed="false">
      <c r="A259" s="30" t="s">
        <v>449</v>
      </c>
      <c r="B259" s="75" t="n">
        <v>1</v>
      </c>
      <c r="C259" s="75" t="n">
        <v>0.872892347600519</v>
      </c>
      <c r="D259" s="75" t="n">
        <v>0.771725032425422</v>
      </c>
      <c r="E259" s="75" t="n">
        <v>0.778210116731518</v>
      </c>
      <c r="F259" s="75" t="n">
        <v>0.721141374837873</v>
      </c>
      <c r="G259" s="75" t="n">
        <v>0.714656290531777</v>
      </c>
      <c r="H259" s="75" t="n">
        <v>0.699092088197147</v>
      </c>
      <c r="I259" s="75" t="n">
        <v>0.348897535667964</v>
      </c>
      <c r="J259" s="75" t="n">
        <v>0.255512321660182</v>
      </c>
      <c r="K259" s="75" t="n">
        <v>0.108949416342413</v>
      </c>
      <c r="L259" s="75" t="n">
        <v>0.0428015564202335</v>
      </c>
      <c r="M259" s="75" t="n">
        <v>0.0285343709468223</v>
      </c>
      <c r="N259" s="75" t="n">
        <v>0.012970168612192</v>
      </c>
      <c r="O259" s="75" t="n">
        <v>0.00518806744487678</v>
      </c>
      <c r="P259" s="75" t="n">
        <v>0.00648508430609598</v>
      </c>
      <c r="Q259" s="75" t="n">
        <v>0.00259403372243839</v>
      </c>
      <c r="R259" s="75" t="n">
        <v>0.00259403372243839</v>
      </c>
      <c r="S259" s="75" t="n">
        <v>0.00259403372243839</v>
      </c>
    </row>
    <row r="261" customFormat="false" ht="24" hidden="false" customHeight="true" outlineLevel="0" collapsed="false">
      <c r="A261" s="65" t="s">
        <v>438</v>
      </c>
      <c r="B261" s="65"/>
      <c r="C261" s="65"/>
      <c r="D261" s="65"/>
      <c r="E261" s="65"/>
      <c r="F261" s="65"/>
      <c r="G261" s="65"/>
      <c r="H261" s="65"/>
    </row>
    <row r="262" customFormat="false" ht="15" hidden="false" customHeight="true" outlineLevel="0" collapsed="false">
      <c r="A262" s="29" t="s">
        <v>272</v>
      </c>
      <c r="B262" s="29"/>
      <c r="C262" s="29"/>
      <c r="D262" s="29"/>
      <c r="E262" s="29"/>
      <c r="F262" s="29"/>
      <c r="G262" s="29"/>
      <c r="H262" s="29"/>
    </row>
    <row r="264" customFormat="false" ht="24" hidden="false" customHeight="true" outlineLevel="0" collapsed="false">
      <c r="A264" s="65" t="s">
        <v>439</v>
      </c>
      <c r="B264" s="65"/>
      <c r="C264" s="65"/>
      <c r="D264" s="65"/>
      <c r="E264" s="65"/>
      <c r="F264" s="65"/>
      <c r="G264" s="65"/>
      <c r="H264" s="65"/>
    </row>
    <row r="265" customFormat="false" ht="27.75" hidden="false" customHeight="true" outlineLevel="0" collapsed="false">
      <c r="B265" s="69" t="s">
        <v>509</v>
      </c>
      <c r="C265" s="69"/>
      <c r="D265" s="69"/>
      <c r="E265" s="69"/>
    </row>
    <row r="266" customFormat="false" ht="6" hidden="false" customHeight="true" outlineLevel="0" collapsed="false">
      <c r="B266" s="71"/>
      <c r="C266" s="72"/>
      <c r="D266" s="72"/>
      <c r="E266" s="73"/>
    </row>
    <row r="267" customFormat="false" ht="15" hidden="false" customHeight="true" outlineLevel="0" collapsed="false">
      <c r="A267" s="12" t="s">
        <v>275</v>
      </c>
      <c r="B267" s="37" t="n">
        <v>1</v>
      </c>
      <c r="C267" s="37" t="n">
        <v>2</v>
      </c>
      <c r="D267" s="37" t="n">
        <v>3</v>
      </c>
      <c r="E267" s="37" t="n">
        <v>4</v>
      </c>
      <c r="F267" s="12"/>
      <c r="G267" s="12"/>
      <c r="H267" s="12"/>
    </row>
    <row r="268" customFormat="false" ht="15" hidden="false" customHeight="true" outlineLevel="0" collapsed="false">
      <c r="A268" s="30" t="s">
        <v>447</v>
      </c>
      <c r="B268" s="74" t="n">
        <v>9</v>
      </c>
      <c r="C268" s="74" t="n">
        <v>4</v>
      </c>
      <c r="D268" s="74" t="n">
        <v>4</v>
      </c>
      <c r="E268" s="74" t="n">
        <v>4</v>
      </c>
      <c r="F268" s="32"/>
      <c r="G268" s="32"/>
      <c r="H268" s="32"/>
    </row>
    <row r="269" customFormat="false" ht="15" hidden="false" customHeight="true" outlineLevel="0" collapsed="false">
      <c r="A269" s="30" t="s">
        <v>510</v>
      </c>
      <c r="B269" s="74"/>
      <c r="C269" s="75" t="n">
        <v>0.444444444444444</v>
      </c>
      <c r="D269" s="75" t="n">
        <v>1</v>
      </c>
      <c r="E269" s="75" t="n">
        <v>1</v>
      </c>
      <c r="F269" s="32"/>
      <c r="G269" s="32"/>
      <c r="H269" s="32"/>
    </row>
    <row r="270" customFormat="false" ht="15" hidden="false" customHeight="true" outlineLevel="0" collapsed="false">
      <c r="A270" s="30" t="s">
        <v>449</v>
      </c>
      <c r="B270" s="75" t="n">
        <v>1</v>
      </c>
      <c r="C270" s="75" t="n">
        <v>0.444444444444444</v>
      </c>
      <c r="D270" s="75" t="n">
        <v>0.444444444444444</v>
      </c>
      <c r="E270" s="75" t="n">
        <v>0.444444444444444</v>
      </c>
      <c r="F270" s="32"/>
      <c r="G270" s="32"/>
      <c r="H270" s="32"/>
    </row>
    <row r="272" customFormat="false" ht="24" hidden="false" customHeight="true" outlineLevel="0" collapsed="false">
      <c r="A272" s="65" t="s">
        <v>440</v>
      </c>
      <c r="B272" s="65"/>
      <c r="C272" s="65"/>
      <c r="D272" s="65"/>
      <c r="E272" s="65"/>
      <c r="F272" s="65"/>
      <c r="G272" s="65"/>
      <c r="H272" s="65"/>
    </row>
    <row r="273" customFormat="false" ht="27.75" hidden="false" customHeight="true" outlineLevel="0" collapsed="false">
      <c r="B273" s="69" t="s">
        <v>509</v>
      </c>
      <c r="C273" s="69"/>
      <c r="D273" s="69"/>
      <c r="E273" s="69"/>
    </row>
    <row r="274" customFormat="false" ht="6" hidden="false" customHeight="true" outlineLevel="0" collapsed="false">
      <c r="B274" s="71"/>
      <c r="C274" s="72"/>
      <c r="D274" s="72"/>
      <c r="E274" s="73"/>
    </row>
    <row r="275" customFormat="false" ht="15" hidden="false" customHeight="true" outlineLevel="0" collapsed="false">
      <c r="A275" s="12" t="s">
        <v>275</v>
      </c>
      <c r="B275" s="37" t="n">
        <v>1</v>
      </c>
      <c r="C275" s="37" t="n">
        <v>2</v>
      </c>
      <c r="D275" s="37" t="n">
        <v>3</v>
      </c>
      <c r="E275" s="37" t="n">
        <v>4</v>
      </c>
      <c r="F275" s="12"/>
      <c r="G275" s="12"/>
      <c r="H275" s="12"/>
    </row>
    <row r="276" customFormat="false" ht="15" hidden="false" customHeight="true" outlineLevel="0" collapsed="false">
      <c r="A276" s="30" t="s">
        <v>447</v>
      </c>
      <c r="B276" s="74" t="n">
        <v>9</v>
      </c>
      <c r="C276" s="74" t="n">
        <v>3</v>
      </c>
      <c r="D276" s="74" t="n">
        <v>3</v>
      </c>
      <c r="E276" s="74" t="n">
        <v>3</v>
      </c>
      <c r="F276" s="32"/>
      <c r="G276" s="32"/>
      <c r="H276" s="32"/>
    </row>
    <row r="277" customFormat="false" ht="15" hidden="false" customHeight="true" outlineLevel="0" collapsed="false">
      <c r="A277" s="30" t="s">
        <v>510</v>
      </c>
      <c r="B277" s="74"/>
      <c r="C277" s="75" t="n">
        <v>0.333333333333333</v>
      </c>
      <c r="D277" s="75" t="n">
        <v>1</v>
      </c>
      <c r="E277" s="75" t="n">
        <v>1</v>
      </c>
      <c r="F277" s="32"/>
      <c r="G277" s="32"/>
      <c r="H277" s="32"/>
    </row>
    <row r="278" customFormat="false" ht="15" hidden="false" customHeight="true" outlineLevel="0" collapsed="false">
      <c r="A278" s="30" t="s">
        <v>449</v>
      </c>
      <c r="B278" s="75" t="n">
        <v>1</v>
      </c>
      <c r="C278" s="75" t="n">
        <v>0.333333333333333</v>
      </c>
      <c r="D278" s="75" t="n">
        <v>0.333333333333333</v>
      </c>
      <c r="E278" s="75" t="n">
        <v>0.333333333333333</v>
      </c>
      <c r="F278" s="32"/>
      <c r="G278" s="32"/>
      <c r="H278" s="32"/>
    </row>
    <row r="280" customFormat="false" ht="24" hidden="false" customHeight="true" outlineLevel="0" collapsed="false">
      <c r="A280" s="65" t="s">
        <v>441</v>
      </c>
      <c r="B280" s="65"/>
      <c r="C280" s="65"/>
      <c r="D280" s="65"/>
      <c r="E280" s="65"/>
      <c r="F280" s="65"/>
      <c r="G280" s="65"/>
      <c r="H280" s="65"/>
      <c r="I280" s="65"/>
      <c r="J280" s="65"/>
      <c r="K280" s="65"/>
    </row>
    <row r="281" customFormat="false" ht="27.75" hidden="false" customHeight="true" outlineLevel="0" collapsed="false">
      <c r="B281" s="69" t="s">
        <v>509</v>
      </c>
      <c r="C281" s="69"/>
      <c r="D281" s="69"/>
      <c r="E281" s="69"/>
      <c r="F281" s="69"/>
      <c r="G281" s="69"/>
      <c r="H281" s="69"/>
      <c r="I281" s="69"/>
      <c r="J281" s="69"/>
      <c r="K281" s="69"/>
    </row>
    <row r="282" customFormat="false" ht="6" hidden="false" customHeight="true" outlineLevel="0" collapsed="false">
      <c r="B282" s="71"/>
      <c r="C282" s="72"/>
      <c r="D282" s="72"/>
      <c r="E282" s="72"/>
      <c r="F282" s="72"/>
      <c r="G282" s="72"/>
      <c r="H282" s="72"/>
      <c r="I282" s="72"/>
      <c r="J282" s="72"/>
      <c r="K282" s="73"/>
    </row>
    <row r="283" customFormat="false" ht="15" hidden="false" customHeight="true" outlineLevel="0" collapsed="false">
      <c r="A283" s="12" t="s">
        <v>275</v>
      </c>
      <c r="B283" s="37" t="n">
        <v>1</v>
      </c>
      <c r="C283" s="37" t="n">
        <v>2</v>
      </c>
      <c r="D283" s="37" t="n">
        <v>3</v>
      </c>
      <c r="E283" s="37" t="n">
        <v>4</v>
      </c>
      <c r="F283" s="37" t="n">
        <v>5</v>
      </c>
      <c r="G283" s="37" t="n">
        <v>6</v>
      </c>
      <c r="H283" s="37" t="n">
        <v>7</v>
      </c>
      <c r="I283" s="37" t="n">
        <v>8</v>
      </c>
      <c r="J283" s="37" t="n">
        <v>9</v>
      </c>
      <c r="K283" s="37" t="n">
        <v>10</v>
      </c>
    </row>
    <row r="284" customFormat="false" ht="15" hidden="false" customHeight="true" outlineLevel="0" collapsed="false">
      <c r="A284" s="30" t="s">
        <v>447</v>
      </c>
      <c r="B284" s="74" t="n">
        <v>19</v>
      </c>
      <c r="C284" s="74" t="n">
        <v>16</v>
      </c>
      <c r="D284" s="74" t="n">
        <v>7</v>
      </c>
      <c r="E284" s="74" t="n">
        <v>8</v>
      </c>
      <c r="F284" s="74" t="n">
        <v>3</v>
      </c>
      <c r="G284" s="74" t="n">
        <v>1</v>
      </c>
      <c r="H284" s="74" t="n">
        <v>1</v>
      </c>
      <c r="I284" s="74" t="n">
        <v>1</v>
      </c>
      <c r="J284" s="74" t="n">
        <v>0</v>
      </c>
      <c r="K284" s="74" t="n">
        <v>1</v>
      </c>
    </row>
    <row r="285" customFormat="false" ht="15" hidden="false" customHeight="true" outlineLevel="0" collapsed="false">
      <c r="A285" s="30" t="s">
        <v>510</v>
      </c>
      <c r="B285" s="74"/>
      <c r="C285" s="75" t="n">
        <v>0.842105263157895</v>
      </c>
      <c r="D285" s="75" t="n">
        <v>0.4375</v>
      </c>
      <c r="E285" s="75" t="n">
        <v>1.14285714285714</v>
      </c>
      <c r="F285" s="75" t="n">
        <v>0.375</v>
      </c>
      <c r="G285" s="75" t="n">
        <v>0.333333333333333</v>
      </c>
      <c r="H285" s="75" t="n">
        <v>1</v>
      </c>
      <c r="I285" s="75" t="n">
        <v>1</v>
      </c>
      <c r="J285" s="75" t="n">
        <v>0</v>
      </c>
      <c r="K285" s="74"/>
    </row>
    <row r="286" customFormat="false" ht="15" hidden="false" customHeight="true" outlineLevel="0" collapsed="false">
      <c r="A286" s="30" t="s">
        <v>449</v>
      </c>
      <c r="B286" s="75" t="n">
        <v>1</v>
      </c>
      <c r="C286" s="75" t="n">
        <v>0.842105263157895</v>
      </c>
      <c r="D286" s="75" t="n">
        <v>0.368421052631579</v>
      </c>
      <c r="E286" s="75" t="n">
        <v>0.421052631578947</v>
      </c>
      <c r="F286" s="75" t="n">
        <v>0.157894736842105</v>
      </c>
      <c r="G286" s="75" t="n">
        <v>0.0526315789473684</v>
      </c>
      <c r="H286" s="75" t="n">
        <v>0.0526315789473684</v>
      </c>
      <c r="I286" s="75" t="n">
        <v>0.0526315789473684</v>
      </c>
      <c r="J286" s="75" t="n">
        <v>0</v>
      </c>
      <c r="K286" s="75" t="n">
        <v>0.0526315789473684</v>
      </c>
    </row>
    <row r="288" customFormat="false" ht="24" hidden="false" customHeight="true" outlineLevel="0" collapsed="false">
      <c r="A288" s="65" t="s">
        <v>442</v>
      </c>
      <c r="B288" s="65"/>
      <c r="C288" s="65"/>
      <c r="D288" s="65"/>
      <c r="E288" s="65"/>
      <c r="F288" s="65"/>
      <c r="G288" s="65"/>
      <c r="H288" s="65"/>
    </row>
    <row r="289" customFormat="false" ht="27.75" hidden="false" customHeight="true" outlineLevel="0" collapsed="false">
      <c r="B289" s="69" t="s">
        <v>509</v>
      </c>
      <c r="C289" s="69"/>
      <c r="D289" s="69"/>
      <c r="E289" s="69"/>
    </row>
    <row r="290" customFormat="false" ht="6" hidden="false" customHeight="true" outlineLevel="0" collapsed="false">
      <c r="B290" s="71"/>
      <c r="C290" s="72"/>
      <c r="D290" s="72"/>
      <c r="E290" s="73"/>
    </row>
    <row r="291" customFormat="false" ht="15" hidden="false" customHeight="true" outlineLevel="0" collapsed="false">
      <c r="A291" s="12" t="s">
        <v>275</v>
      </c>
      <c r="B291" s="37" t="n">
        <v>1</v>
      </c>
      <c r="C291" s="37" t="n">
        <v>2</v>
      </c>
      <c r="D291" s="37" t="n">
        <v>3</v>
      </c>
      <c r="E291" s="37" t="n">
        <v>4</v>
      </c>
      <c r="F291" s="12"/>
      <c r="G291" s="12"/>
      <c r="H291" s="12"/>
    </row>
    <row r="292" customFormat="false" ht="15" hidden="false" customHeight="true" outlineLevel="0" collapsed="false">
      <c r="A292" s="30" t="s">
        <v>447</v>
      </c>
      <c r="B292" s="74" t="n">
        <v>2</v>
      </c>
      <c r="C292" s="74" t="n">
        <v>2</v>
      </c>
      <c r="D292" s="74" t="n">
        <v>1</v>
      </c>
      <c r="E292" s="74" t="n">
        <v>0</v>
      </c>
      <c r="F292" s="32"/>
      <c r="G292" s="32"/>
      <c r="H292" s="32"/>
    </row>
    <row r="293" customFormat="false" ht="15" hidden="false" customHeight="true" outlineLevel="0" collapsed="false">
      <c r="A293" s="30" t="s">
        <v>510</v>
      </c>
      <c r="B293" s="74"/>
      <c r="C293" s="75" t="n">
        <v>1</v>
      </c>
      <c r="D293" s="75" t="n">
        <v>0.5</v>
      </c>
      <c r="E293" s="75" t="n">
        <v>0</v>
      </c>
      <c r="F293" s="32"/>
      <c r="G293" s="32"/>
      <c r="H293" s="32"/>
    </row>
    <row r="294" customFormat="false" ht="15" hidden="false" customHeight="true" outlineLevel="0" collapsed="false">
      <c r="A294" s="30" t="s">
        <v>449</v>
      </c>
      <c r="B294" s="75" t="n">
        <v>1</v>
      </c>
      <c r="C294" s="75" t="n">
        <v>1</v>
      </c>
      <c r="D294" s="75" t="n">
        <v>0.5</v>
      </c>
      <c r="E294" s="75" t="n">
        <v>0</v>
      </c>
      <c r="F294" s="32"/>
      <c r="G294" s="32"/>
      <c r="H294" s="32"/>
    </row>
  </sheetData>
  <mergeCells count="87">
    <mergeCell ref="A1:J1"/>
    <mergeCell ref="A2:J2"/>
    <mergeCell ref="A4:S4"/>
    <mergeCell ref="A5:S5"/>
    <mergeCell ref="B6:S6"/>
    <mergeCell ref="A13:H13"/>
    <mergeCell ref="A14:H14"/>
    <mergeCell ref="A16:I16"/>
    <mergeCell ref="A17:I17"/>
    <mergeCell ref="A19:L19"/>
    <mergeCell ref="B20:L20"/>
    <mergeCell ref="A27:H27"/>
    <mergeCell ref="A28:H28"/>
    <mergeCell ref="A30:Q30"/>
    <mergeCell ref="B31:Q31"/>
    <mergeCell ref="A38:N38"/>
    <mergeCell ref="B39:N39"/>
    <mergeCell ref="A46:J46"/>
    <mergeCell ref="B47:J47"/>
    <mergeCell ref="A54:R54"/>
    <mergeCell ref="B55:R55"/>
    <mergeCell ref="A62:P62"/>
    <mergeCell ref="B63:P63"/>
    <mergeCell ref="A70:R70"/>
    <mergeCell ref="B71:R71"/>
    <mergeCell ref="A78:Q78"/>
    <mergeCell ref="B79:Q79"/>
    <mergeCell ref="A86:M86"/>
    <mergeCell ref="B87:M87"/>
    <mergeCell ref="A94:P94"/>
    <mergeCell ref="B95:P95"/>
    <mergeCell ref="A102:H102"/>
    <mergeCell ref="A103:H103"/>
    <mergeCell ref="A105:H105"/>
    <mergeCell ref="A106:H106"/>
    <mergeCell ref="A108:Q108"/>
    <mergeCell ref="B109:Q109"/>
    <mergeCell ref="A116:N116"/>
    <mergeCell ref="B117:N117"/>
    <mergeCell ref="A124:H124"/>
    <mergeCell ref="A125:H125"/>
    <mergeCell ref="A127:N127"/>
    <mergeCell ref="B128:N128"/>
    <mergeCell ref="A135:S135"/>
    <mergeCell ref="B136:S136"/>
    <mergeCell ref="A143:K143"/>
    <mergeCell ref="B144:K144"/>
    <mergeCell ref="A151:H151"/>
    <mergeCell ref="A152:H152"/>
    <mergeCell ref="A154:J154"/>
    <mergeCell ref="B155:J155"/>
    <mergeCell ref="A162:K162"/>
    <mergeCell ref="B163:K163"/>
    <mergeCell ref="A170:Q170"/>
    <mergeCell ref="B171:Q171"/>
    <mergeCell ref="A178:N178"/>
    <mergeCell ref="B179:N179"/>
    <mergeCell ref="A186:H186"/>
    <mergeCell ref="A187:H187"/>
    <mergeCell ref="A189:H189"/>
    <mergeCell ref="B190:H190"/>
    <mergeCell ref="A197:O197"/>
    <mergeCell ref="B198:O198"/>
    <mergeCell ref="A205:L205"/>
    <mergeCell ref="B206:L206"/>
    <mergeCell ref="A213:O213"/>
    <mergeCell ref="B214:O214"/>
    <mergeCell ref="A221:N221"/>
    <mergeCell ref="B222:N222"/>
    <mergeCell ref="A229:K229"/>
    <mergeCell ref="B230:K230"/>
    <mergeCell ref="A237:I237"/>
    <mergeCell ref="B238:I238"/>
    <mergeCell ref="A245:H245"/>
    <mergeCell ref="B246:H246"/>
    <mergeCell ref="A253:S253"/>
    <mergeCell ref="B254:S254"/>
    <mergeCell ref="A261:H261"/>
    <mergeCell ref="A262:H262"/>
    <mergeCell ref="A264:H264"/>
    <mergeCell ref="B265:E265"/>
    <mergeCell ref="A272:H272"/>
    <mergeCell ref="B273:E273"/>
    <mergeCell ref="A280:K280"/>
    <mergeCell ref="B281:K281"/>
    <mergeCell ref="A288:H288"/>
    <mergeCell ref="B289:E28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5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6"/>
    <col collapsed="false" customWidth="true" hidden="false" outlineLevel="0" max="21" min="2" style="0" width="8"/>
  </cols>
  <sheetData>
    <row r="1" customFormat="false" ht="19.5" hidden="false" customHeight="true" outlineLevel="0" collapsed="false">
      <c r="A1" s="62" t="s">
        <v>511</v>
      </c>
      <c r="B1" s="62"/>
      <c r="C1" s="62"/>
      <c r="D1" s="62"/>
      <c r="E1" s="62"/>
      <c r="F1" s="62"/>
      <c r="G1" s="62"/>
      <c r="H1" s="62"/>
      <c r="I1" s="62"/>
      <c r="J1" s="62"/>
    </row>
    <row r="2" customFormat="false" ht="30" hidden="false" customHeight="true" outlineLevel="0" collapsed="false">
      <c r="A2" s="47" t="s">
        <v>512</v>
      </c>
      <c r="B2" s="47"/>
      <c r="C2" s="47"/>
      <c r="D2" s="47"/>
      <c r="E2" s="47"/>
      <c r="F2" s="47"/>
      <c r="G2" s="47"/>
      <c r="H2" s="47"/>
      <c r="I2" s="47"/>
      <c r="J2" s="47"/>
    </row>
    <row r="4" customFormat="false" ht="45" hidden="false" customHeight="true" outlineLevel="0" collapsed="false">
      <c r="A4" s="65" t="s">
        <v>395</v>
      </c>
      <c r="B4" s="65"/>
      <c r="C4" s="65"/>
      <c r="D4" s="65"/>
      <c r="E4" s="65"/>
      <c r="F4" s="65"/>
      <c r="G4" s="65"/>
      <c r="H4" s="65"/>
      <c r="I4" s="65"/>
    </row>
    <row r="5" customFormat="false" ht="15" hidden="false" customHeight="true" outlineLevel="0" collapsed="false">
      <c r="A5" s="29" t="s">
        <v>272</v>
      </c>
      <c r="B5" s="29"/>
      <c r="C5" s="29"/>
      <c r="D5" s="29"/>
      <c r="E5" s="29"/>
      <c r="F5" s="29"/>
      <c r="G5" s="29"/>
      <c r="H5" s="29"/>
      <c r="I5" s="29"/>
    </row>
    <row r="7" customFormat="false" ht="45" hidden="false" customHeight="true" outlineLevel="0" collapsed="false">
      <c r="A7" s="65" t="s">
        <v>397</v>
      </c>
      <c r="B7" s="65"/>
      <c r="C7" s="65"/>
      <c r="D7" s="65"/>
      <c r="E7" s="65"/>
      <c r="F7" s="65"/>
      <c r="G7" s="65"/>
      <c r="H7" s="65"/>
      <c r="I7" s="65"/>
    </row>
    <row r="8" customFormat="false" ht="15" hidden="false" customHeight="true" outlineLevel="0" collapsed="false">
      <c r="A8" s="29" t="s">
        <v>272</v>
      </c>
      <c r="B8" s="29"/>
      <c r="C8" s="29"/>
      <c r="D8" s="29"/>
      <c r="E8" s="29"/>
      <c r="F8" s="29"/>
      <c r="G8" s="29"/>
      <c r="H8" s="29"/>
      <c r="I8" s="29"/>
    </row>
    <row r="10" customFormat="false" ht="19.5" hidden="false" customHeight="true" outlineLevel="0" collapsed="false">
      <c r="A10" s="65" t="s">
        <v>403</v>
      </c>
      <c r="B10" s="65"/>
      <c r="C10" s="65"/>
      <c r="D10" s="65"/>
      <c r="E10" s="65"/>
      <c r="F10" s="65"/>
      <c r="G10" s="65"/>
      <c r="H10" s="65"/>
      <c r="I10" s="65"/>
      <c r="J10" s="65"/>
      <c r="K10" s="65"/>
      <c r="L10" s="65"/>
      <c r="M10" s="65"/>
      <c r="N10" s="65"/>
      <c r="O10" s="65"/>
      <c r="P10" s="65"/>
      <c r="Q10" s="65"/>
      <c r="R10" s="65"/>
      <c r="S10" s="65"/>
      <c r="T10" s="65"/>
      <c r="U10" s="65"/>
    </row>
    <row r="11" customFormat="false" ht="15" hidden="false" customHeight="true" outlineLevel="0" collapsed="false">
      <c r="A11" s="12" t="s">
        <v>513</v>
      </c>
      <c r="B11" s="12" t="s">
        <v>113</v>
      </c>
      <c r="C11" s="12" t="s">
        <v>114</v>
      </c>
      <c r="D11" s="12" t="s">
        <v>115</v>
      </c>
      <c r="E11" s="12" t="s">
        <v>116</v>
      </c>
      <c r="F11" s="12" t="s">
        <v>117</v>
      </c>
      <c r="G11" s="12" t="s">
        <v>118</v>
      </c>
      <c r="H11" s="12" t="s">
        <v>119</v>
      </c>
      <c r="I11" s="12" t="s">
        <v>120</v>
      </c>
      <c r="J11" s="12" t="s">
        <v>121</v>
      </c>
      <c r="K11" s="12" t="s">
        <v>122</v>
      </c>
      <c r="L11" s="12" t="s">
        <v>123</v>
      </c>
      <c r="M11" s="12" t="s">
        <v>124</v>
      </c>
      <c r="N11" s="12" t="s">
        <v>125</v>
      </c>
      <c r="O11" s="12" t="s">
        <v>126</v>
      </c>
      <c r="P11" s="12" t="s">
        <v>127</v>
      </c>
      <c r="Q11" s="12" t="s">
        <v>128</v>
      </c>
      <c r="R11" s="12" t="s">
        <v>129</v>
      </c>
      <c r="S11" s="12" t="s">
        <v>130</v>
      </c>
      <c r="T11" s="12" t="s">
        <v>131</v>
      </c>
      <c r="U11" s="12" t="s">
        <v>132</v>
      </c>
    </row>
    <row r="12" customFormat="false" ht="15" hidden="false" customHeight="true" outlineLevel="0" collapsed="false">
      <c r="A12" s="30" t="s">
        <v>114</v>
      </c>
      <c r="B12" s="76"/>
      <c r="C12" s="74" t="n">
        <v>17</v>
      </c>
      <c r="D12" s="74" t="n">
        <v>17</v>
      </c>
      <c r="E12" s="74" t="n">
        <v>17</v>
      </c>
      <c r="F12" s="74" t="n">
        <v>17</v>
      </c>
      <c r="G12" s="74" t="n">
        <v>0</v>
      </c>
      <c r="H12" s="74" t="n">
        <v>1</v>
      </c>
      <c r="I12" s="74" t="n">
        <v>0</v>
      </c>
      <c r="J12" s="74" t="n">
        <v>0</v>
      </c>
      <c r="K12" s="74" t="n">
        <v>0</v>
      </c>
      <c r="L12" s="74" t="n">
        <v>0</v>
      </c>
      <c r="M12" s="74" t="n">
        <v>0</v>
      </c>
      <c r="N12" s="74" t="n">
        <v>0</v>
      </c>
      <c r="O12" s="74" t="n">
        <v>0</v>
      </c>
      <c r="P12" s="74" t="n">
        <v>0</v>
      </c>
      <c r="Q12" s="74" t="n">
        <v>0</v>
      </c>
      <c r="R12" s="74" t="n">
        <v>0</v>
      </c>
      <c r="S12" s="74" t="n">
        <v>0</v>
      </c>
      <c r="T12" s="74" t="n">
        <v>0</v>
      </c>
      <c r="U12" s="74" t="n">
        <v>0</v>
      </c>
    </row>
    <row r="13" customFormat="false" ht="15" hidden="false" customHeight="true" outlineLevel="0" collapsed="false">
      <c r="A13" s="30" t="s">
        <v>115</v>
      </c>
      <c r="B13" s="76"/>
      <c r="C13" s="76"/>
      <c r="D13" s="74" t="n">
        <v>10</v>
      </c>
      <c r="E13" s="74" t="n">
        <v>10</v>
      </c>
      <c r="F13" s="74" t="n">
        <v>10</v>
      </c>
      <c r="G13" s="74" t="n">
        <v>10</v>
      </c>
      <c r="H13" s="74" t="n">
        <v>0</v>
      </c>
      <c r="I13" s="74" t="n">
        <v>0</v>
      </c>
      <c r="J13" s="74" t="n">
        <v>0</v>
      </c>
      <c r="K13" s="74" t="n">
        <v>0</v>
      </c>
      <c r="L13" s="74" t="n">
        <v>0</v>
      </c>
      <c r="M13" s="74" t="n">
        <v>0</v>
      </c>
      <c r="N13" s="74" t="n">
        <v>0</v>
      </c>
      <c r="O13" s="74" t="n">
        <v>0</v>
      </c>
      <c r="P13" s="74" t="n">
        <v>0</v>
      </c>
      <c r="Q13" s="74" t="n">
        <v>0</v>
      </c>
      <c r="R13" s="74" t="n">
        <v>0</v>
      </c>
      <c r="S13" s="74" t="n">
        <v>0</v>
      </c>
      <c r="T13" s="74" t="n">
        <v>0</v>
      </c>
      <c r="U13" s="74" t="n">
        <v>0</v>
      </c>
    </row>
    <row r="14" customFormat="false" ht="15" hidden="false" customHeight="true" outlineLevel="0" collapsed="false">
      <c r="A14" s="30" t="s">
        <v>116</v>
      </c>
      <c r="B14" s="76"/>
      <c r="C14" s="76"/>
      <c r="D14" s="76"/>
      <c r="E14" s="74" t="n">
        <v>11</v>
      </c>
      <c r="F14" s="74" t="n">
        <v>11</v>
      </c>
      <c r="G14" s="74" t="n">
        <v>10</v>
      </c>
      <c r="H14" s="74" t="n">
        <v>10</v>
      </c>
      <c r="I14" s="74" t="n">
        <v>9</v>
      </c>
      <c r="J14" s="74" t="n">
        <v>0</v>
      </c>
      <c r="K14" s="74" t="n">
        <v>1</v>
      </c>
      <c r="L14" s="74" t="n">
        <v>0</v>
      </c>
      <c r="M14" s="74" t="n">
        <v>0</v>
      </c>
      <c r="N14" s="74" t="n">
        <v>0</v>
      </c>
      <c r="O14" s="74" t="n">
        <v>0</v>
      </c>
      <c r="P14" s="74" t="n">
        <v>0</v>
      </c>
      <c r="Q14" s="74" t="n">
        <v>0</v>
      </c>
      <c r="R14" s="74" t="n">
        <v>0</v>
      </c>
      <c r="S14" s="74" t="n">
        <v>0</v>
      </c>
      <c r="T14" s="74" t="n">
        <v>0</v>
      </c>
      <c r="U14" s="74" t="n">
        <v>0</v>
      </c>
    </row>
    <row r="15" customFormat="false" ht="15" hidden="false" customHeight="true" outlineLevel="0" collapsed="false">
      <c r="A15" s="30" t="s">
        <v>117</v>
      </c>
      <c r="B15" s="76"/>
      <c r="C15" s="76"/>
      <c r="D15" s="76"/>
      <c r="E15" s="76"/>
      <c r="F15" s="74" t="n">
        <v>9</v>
      </c>
      <c r="G15" s="74" t="n">
        <v>9</v>
      </c>
      <c r="H15" s="74" t="n">
        <v>8</v>
      </c>
      <c r="I15" s="74" t="n">
        <v>8</v>
      </c>
      <c r="J15" s="74" t="n">
        <v>8</v>
      </c>
      <c r="K15" s="74" t="n">
        <v>0</v>
      </c>
      <c r="L15" s="74" t="n">
        <v>0</v>
      </c>
      <c r="M15" s="74" t="n">
        <v>0</v>
      </c>
      <c r="N15" s="74" t="n">
        <v>0</v>
      </c>
      <c r="O15" s="74" t="n">
        <v>0</v>
      </c>
      <c r="P15" s="74" t="n">
        <v>0</v>
      </c>
      <c r="Q15" s="74" t="n">
        <v>0</v>
      </c>
      <c r="R15" s="74" t="n">
        <v>0</v>
      </c>
      <c r="S15" s="74" t="n">
        <v>0</v>
      </c>
      <c r="T15" s="74" t="n">
        <v>0</v>
      </c>
      <c r="U15" s="74" t="n">
        <v>0</v>
      </c>
    </row>
    <row r="16" customFormat="false" ht="15" hidden="false" customHeight="true" outlineLevel="0" collapsed="false">
      <c r="A16" s="30" t="s">
        <v>119</v>
      </c>
      <c r="B16" s="76"/>
      <c r="C16" s="76"/>
      <c r="D16" s="76"/>
      <c r="E16" s="76"/>
      <c r="F16" s="76"/>
      <c r="G16" s="76"/>
      <c r="H16" s="74" t="n">
        <v>20</v>
      </c>
      <c r="I16" s="74" t="n">
        <v>20</v>
      </c>
      <c r="J16" s="74" t="n">
        <v>20</v>
      </c>
      <c r="K16" s="74" t="n">
        <v>19</v>
      </c>
      <c r="L16" s="74" t="n">
        <v>19</v>
      </c>
      <c r="M16" s="74" t="n">
        <v>0</v>
      </c>
      <c r="N16" s="74" t="n">
        <v>0</v>
      </c>
      <c r="O16" s="74" t="n">
        <v>0</v>
      </c>
      <c r="P16" s="74" t="n">
        <v>0</v>
      </c>
      <c r="Q16" s="74" t="n">
        <v>0</v>
      </c>
      <c r="R16" s="74" t="n">
        <v>0</v>
      </c>
      <c r="S16" s="74" t="n">
        <v>0</v>
      </c>
      <c r="T16" s="74" t="n">
        <v>0</v>
      </c>
      <c r="U16" s="74" t="n">
        <v>0</v>
      </c>
    </row>
    <row r="17" customFormat="false" ht="15" hidden="false" customHeight="true" outlineLevel="0" collapsed="false">
      <c r="A17" s="30" t="s">
        <v>120</v>
      </c>
      <c r="B17" s="76"/>
      <c r="C17" s="76"/>
      <c r="D17" s="76"/>
      <c r="E17" s="76"/>
      <c r="F17" s="76"/>
      <c r="G17" s="76"/>
      <c r="H17" s="76"/>
      <c r="I17" s="74" t="n">
        <v>18</v>
      </c>
      <c r="J17" s="74" t="n">
        <v>18</v>
      </c>
      <c r="K17" s="74" t="n">
        <v>17</v>
      </c>
      <c r="L17" s="74" t="n">
        <v>17</v>
      </c>
      <c r="M17" s="74" t="n">
        <v>17</v>
      </c>
      <c r="N17" s="74" t="n">
        <v>1</v>
      </c>
      <c r="O17" s="74" t="n">
        <v>1</v>
      </c>
      <c r="P17" s="74" t="n">
        <v>0</v>
      </c>
      <c r="Q17" s="74" t="n">
        <v>1</v>
      </c>
      <c r="R17" s="74" t="n">
        <v>1</v>
      </c>
      <c r="S17" s="74" t="n">
        <v>1</v>
      </c>
      <c r="T17" s="74" t="n">
        <v>0</v>
      </c>
      <c r="U17" s="74" t="n">
        <v>0</v>
      </c>
    </row>
    <row r="18" customFormat="false" ht="15" hidden="false" customHeight="true" outlineLevel="0" collapsed="false">
      <c r="A18" s="30" t="s">
        <v>122</v>
      </c>
      <c r="B18" s="76"/>
      <c r="C18" s="76"/>
      <c r="D18" s="76"/>
      <c r="E18" s="76"/>
      <c r="F18" s="76"/>
      <c r="G18" s="76"/>
      <c r="H18" s="76"/>
      <c r="I18" s="76"/>
      <c r="J18" s="76"/>
      <c r="K18" s="74" t="n">
        <v>12</v>
      </c>
      <c r="L18" s="74" t="n">
        <v>12</v>
      </c>
      <c r="M18" s="74" t="n">
        <v>12</v>
      </c>
      <c r="N18" s="74" t="n">
        <v>12</v>
      </c>
      <c r="O18" s="74" t="n">
        <v>12</v>
      </c>
      <c r="P18" s="74" t="n">
        <v>1</v>
      </c>
      <c r="Q18" s="74" t="n">
        <v>0</v>
      </c>
      <c r="R18" s="74" t="n">
        <v>0</v>
      </c>
      <c r="S18" s="74" t="n">
        <v>0</v>
      </c>
      <c r="T18" s="74" t="n">
        <v>0</v>
      </c>
      <c r="U18" s="74" t="n">
        <v>0</v>
      </c>
    </row>
    <row r="19" customFormat="false" ht="15" hidden="false" customHeight="true" outlineLevel="0" collapsed="false">
      <c r="A19" s="30" t="s">
        <v>123</v>
      </c>
      <c r="B19" s="76"/>
      <c r="C19" s="76"/>
      <c r="D19" s="76"/>
      <c r="E19" s="76"/>
      <c r="F19" s="76"/>
      <c r="G19" s="76"/>
      <c r="H19" s="76"/>
      <c r="I19" s="76"/>
      <c r="J19" s="76"/>
      <c r="K19" s="76"/>
      <c r="L19" s="74" t="n">
        <v>15</v>
      </c>
      <c r="M19" s="74" t="n">
        <v>15</v>
      </c>
      <c r="N19" s="74" t="n">
        <v>15</v>
      </c>
      <c r="O19" s="74" t="n">
        <v>15</v>
      </c>
      <c r="P19" s="74" t="n">
        <v>15</v>
      </c>
      <c r="Q19" s="74" t="n">
        <v>2</v>
      </c>
      <c r="R19" s="74" t="n">
        <v>0</v>
      </c>
      <c r="S19" s="74" t="n">
        <v>0</v>
      </c>
      <c r="T19" s="74" t="n">
        <v>0</v>
      </c>
      <c r="U19" s="74" t="n">
        <v>0</v>
      </c>
    </row>
    <row r="20" customFormat="false" ht="15" hidden="false" customHeight="true" outlineLevel="0" collapsed="false">
      <c r="A20" s="30" t="s">
        <v>125</v>
      </c>
      <c r="B20" s="76"/>
      <c r="C20" s="76"/>
      <c r="D20" s="76"/>
      <c r="E20" s="76"/>
      <c r="F20" s="76"/>
      <c r="G20" s="76"/>
      <c r="H20" s="76"/>
      <c r="I20" s="76"/>
      <c r="J20" s="76"/>
      <c r="K20" s="76"/>
      <c r="L20" s="76"/>
      <c r="M20" s="76"/>
      <c r="N20" s="74" t="n">
        <v>12</v>
      </c>
      <c r="O20" s="74" t="n">
        <v>12</v>
      </c>
      <c r="P20" s="74" t="n">
        <v>12</v>
      </c>
      <c r="Q20" s="74" t="n">
        <v>12</v>
      </c>
      <c r="R20" s="74" t="n">
        <v>12</v>
      </c>
      <c r="S20" s="74" t="n">
        <v>1</v>
      </c>
      <c r="T20" s="74" t="n">
        <v>0</v>
      </c>
      <c r="U20" s="74" t="n">
        <v>0</v>
      </c>
    </row>
    <row r="21" customFormat="false" ht="15" hidden="false" customHeight="true" outlineLevel="0" collapsed="false">
      <c r="A21" s="30" t="s">
        <v>126</v>
      </c>
      <c r="B21" s="76"/>
      <c r="C21" s="76"/>
      <c r="D21" s="76"/>
      <c r="E21" s="76"/>
      <c r="F21" s="76"/>
      <c r="G21" s="76"/>
      <c r="H21" s="76"/>
      <c r="I21" s="76"/>
      <c r="J21" s="76"/>
      <c r="K21" s="76"/>
      <c r="L21" s="76"/>
      <c r="M21" s="76"/>
      <c r="N21" s="76"/>
      <c r="O21" s="74" t="n">
        <v>12</v>
      </c>
      <c r="P21" s="74" t="n">
        <v>11</v>
      </c>
      <c r="Q21" s="74" t="n">
        <v>11</v>
      </c>
      <c r="R21" s="74" t="n">
        <v>11</v>
      </c>
      <c r="S21" s="74" t="n">
        <v>11</v>
      </c>
      <c r="T21" s="74" t="n">
        <v>0</v>
      </c>
      <c r="U21" s="74" t="n">
        <v>0</v>
      </c>
    </row>
    <row r="22" customFormat="false" ht="15" hidden="false" customHeight="true" outlineLevel="0" collapsed="false">
      <c r="A22" s="30" t="s">
        <v>128</v>
      </c>
      <c r="B22" s="76"/>
      <c r="C22" s="76"/>
      <c r="D22" s="76"/>
      <c r="E22" s="76"/>
      <c r="F22" s="76"/>
      <c r="G22" s="76"/>
      <c r="H22" s="76"/>
      <c r="I22" s="76"/>
      <c r="J22" s="76"/>
      <c r="K22" s="76"/>
      <c r="L22" s="76"/>
      <c r="M22" s="76"/>
      <c r="N22" s="76"/>
      <c r="O22" s="76"/>
      <c r="P22" s="76"/>
      <c r="Q22" s="74" t="n">
        <v>6</v>
      </c>
      <c r="R22" s="74" t="n">
        <v>6</v>
      </c>
      <c r="S22" s="74" t="n">
        <v>6</v>
      </c>
      <c r="T22" s="74" t="n">
        <v>6</v>
      </c>
      <c r="U22" s="74" t="n">
        <v>6</v>
      </c>
    </row>
    <row r="23" customFormat="false" ht="15" hidden="false" customHeight="true" outlineLevel="0" collapsed="false">
      <c r="A23" s="30" t="s">
        <v>129</v>
      </c>
      <c r="B23" s="76"/>
      <c r="C23" s="76"/>
      <c r="D23" s="76"/>
      <c r="E23" s="76"/>
      <c r="F23" s="76"/>
      <c r="G23" s="76"/>
      <c r="H23" s="76"/>
      <c r="I23" s="76"/>
      <c r="J23" s="76"/>
      <c r="K23" s="76"/>
      <c r="L23" s="76"/>
      <c r="M23" s="76"/>
      <c r="N23" s="76"/>
      <c r="O23" s="76"/>
      <c r="P23" s="76"/>
      <c r="Q23" s="76"/>
      <c r="R23" s="74" t="n">
        <v>9</v>
      </c>
      <c r="S23" s="74" t="n">
        <v>9</v>
      </c>
      <c r="T23" s="74" t="n">
        <v>8</v>
      </c>
      <c r="U23" s="74" t="n">
        <v>9</v>
      </c>
    </row>
    <row r="24" customFormat="false" ht="15" hidden="false" customHeight="true" outlineLevel="0" collapsed="false">
      <c r="A24" s="30" t="s">
        <v>130</v>
      </c>
      <c r="B24" s="76"/>
      <c r="C24" s="76"/>
      <c r="D24" s="76"/>
      <c r="E24" s="76"/>
      <c r="F24" s="76"/>
      <c r="G24" s="76"/>
      <c r="H24" s="76"/>
      <c r="I24" s="76"/>
      <c r="J24" s="76"/>
      <c r="K24" s="76"/>
      <c r="L24" s="76"/>
      <c r="M24" s="76"/>
      <c r="N24" s="76"/>
      <c r="O24" s="76"/>
      <c r="P24" s="76"/>
      <c r="Q24" s="76"/>
      <c r="R24" s="76"/>
      <c r="S24" s="74" t="n">
        <v>1</v>
      </c>
      <c r="T24" s="74" t="n">
        <v>1</v>
      </c>
      <c r="U24" s="74" t="n">
        <v>1</v>
      </c>
    </row>
    <row r="25" customFormat="false" ht="15" hidden="false" customHeight="true" outlineLevel="0" collapsed="false">
      <c r="A25" s="30" t="s">
        <v>131</v>
      </c>
      <c r="B25" s="76"/>
      <c r="C25" s="76"/>
      <c r="D25" s="76"/>
      <c r="E25" s="76"/>
      <c r="F25" s="76"/>
      <c r="G25" s="76"/>
      <c r="H25" s="76"/>
      <c r="I25" s="76"/>
      <c r="J25" s="76"/>
      <c r="K25" s="76"/>
      <c r="L25" s="76"/>
      <c r="M25" s="76"/>
      <c r="N25" s="76"/>
      <c r="O25" s="76"/>
      <c r="P25" s="76"/>
      <c r="Q25" s="76"/>
      <c r="R25" s="76"/>
      <c r="S25" s="76"/>
      <c r="T25" s="74" t="n">
        <v>5</v>
      </c>
      <c r="U25" s="74" t="n">
        <v>5</v>
      </c>
    </row>
    <row r="26" customFormat="false" ht="15" hidden="false" customHeight="true" outlineLevel="0" collapsed="false">
      <c r="A26" s="34" t="s">
        <v>514</v>
      </c>
      <c r="B26" s="79"/>
      <c r="C26" s="79" t="n">
        <v>17</v>
      </c>
      <c r="D26" s="79" t="n">
        <v>27</v>
      </c>
      <c r="E26" s="79" t="n">
        <v>38</v>
      </c>
      <c r="F26" s="79" t="n">
        <v>47</v>
      </c>
      <c r="G26" s="79" t="n">
        <v>29</v>
      </c>
      <c r="H26" s="79" t="n">
        <v>39</v>
      </c>
      <c r="I26" s="79" t="n">
        <v>55</v>
      </c>
      <c r="J26" s="79" t="n">
        <v>46</v>
      </c>
      <c r="K26" s="79" t="n">
        <v>49</v>
      </c>
      <c r="L26" s="79" t="n">
        <v>63</v>
      </c>
      <c r="M26" s="79" t="n">
        <v>44</v>
      </c>
      <c r="N26" s="79" t="n">
        <v>40</v>
      </c>
      <c r="O26" s="79" t="n">
        <v>52</v>
      </c>
      <c r="P26" s="79" t="n">
        <v>39</v>
      </c>
      <c r="Q26" s="79" t="n">
        <v>32</v>
      </c>
      <c r="R26" s="79" t="n">
        <v>39</v>
      </c>
      <c r="S26" s="79" t="n">
        <v>29</v>
      </c>
      <c r="T26" s="79" t="n">
        <v>20</v>
      </c>
      <c r="U26" s="79" t="n">
        <v>21</v>
      </c>
    </row>
    <row r="28" customFormat="false" ht="45" hidden="false" customHeight="true" outlineLevel="0" collapsed="false">
      <c r="A28" s="65" t="s">
        <v>405</v>
      </c>
      <c r="B28" s="65"/>
      <c r="C28" s="65"/>
      <c r="D28" s="65"/>
      <c r="E28" s="65"/>
      <c r="F28" s="65"/>
      <c r="G28" s="65"/>
      <c r="H28" s="65"/>
      <c r="I28" s="65"/>
    </row>
    <row r="29" customFormat="false" ht="15" hidden="false" customHeight="true" outlineLevel="0" collapsed="false">
      <c r="A29" s="29" t="s">
        <v>272</v>
      </c>
      <c r="B29" s="29"/>
      <c r="C29" s="29"/>
      <c r="D29" s="29"/>
      <c r="E29" s="29"/>
      <c r="F29" s="29"/>
      <c r="G29" s="29"/>
      <c r="H29" s="29"/>
      <c r="I29" s="29"/>
    </row>
    <row r="31" customFormat="false" ht="19.5" hidden="false" customHeight="true" outlineLevel="0" collapsed="false">
      <c r="A31" s="65" t="s">
        <v>406</v>
      </c>
      <c r="B31" s="65"/>
      <c r="C31" s="65"/>
      <c r="D31" s="65"/>
      <c r="E31" s="65"/>
      <c r="F31" s="65"/>
      <c r="G31" s="65"/>
      <c r="H31" s="65"/>
      <c r="I31" s="65"/>
      <c r="J31" s="65"/>
      <c r="K31" s="65"/>
      <c r="L31" s="65"/>
      <c r="M31" s="65"/>
      <c r="N31" s="65"/>
      <c r="O31" s="65"/>
      <c r="P31" s="65"/>
      <c r="Q31" s="65"/>
      <c r="R31" s="65"/>
      <c r="S31" s="65"/>
      <c r="T31" s="65"/>
      <c r="U31" s="65"/>
    </row>
    <row r="32" customFormat="false" ht="15" hidden="false" customHeight="true" outlineLevel="0" collapsed="false">
      <c r="A32" s="12" t="s">
        <v>513</v>
      </c>
      <c r="B32" s="12" t="s">
        <v>113</v>
      </c>
      <c r="C32" s="12" t="s">
        <v>114</v>
      </c>
      <c r="D32" s="12" t="s">
        <v>115</v>
      </c>
      <c r="E32" s="12" t="s">
        <v>116</v>
      </c>
      <c r="F32" s="12" t="s">
        <v>117</v>
      </c>
      <c r="G32" s="12" t="s">
        <v>118</v>
      </c>
      <c r="H32" s="12" t="s">
        <v>119</v>
      </c>
      <c r="I32" s="12" t="s">
        <v>120</v>
      </c>
      <c r="J32" s="12" t="s">
        <v>121</v>
      </c>
      <c r="K32" s="12" t="s">
        <v>122</v>
      </c>
      <c r="L32" s="12" t="s">
        <v>123</v>
      </c>
      <c r="M32" s="12" t="s">
        <v>124</v>
      </c>
      <c r="N32" s="12" t="s">
        <v>125</v>
      </c>
      <c r="O32" s="12" t="s">
        <v>126</v>
      </c>
      <c r="P32" s="12" t="s">
        <v>127</v>
      </c>
      <c r="Q32" s="12" t="s">
        <v>128</v>
      </c>
      <c r="R32" s="12" t="s">
        <v>129</v>
      </c>
      <c r="S32" s="12" t="s">
        <v>130</v>
      </c>
      <c r="T32" s="12" t="s">
        <v>131</v>
      </c>
      <c r="U32" s="12" t="s">
        <v>132</v>
      </c>
    </row>
    <row r="33" customFormat="false" ht="15" hidden="false" customHeight="true" outlineLevel="0" collapsed="false">
      <c r="A33" s="30" t="s">
        <v>113</v>
      </c>
      <c r="B33" s="74" t="n">
        <v>8</v>
      </c>
      <c r="C33" s="74" t="n">
        <v>7</v>
      </c>
      <c r="D33" s="74" t="n">
        <v>6</v>
      </c>
      <c r="E33" s="74" t="n">
        <v>1</v>
      </c>
      <c r="F33" s="74" t="n">
        <v>3</v>
      </c>
      <c r="G33" s="74" t="n">
        <v>2</v>
      </c>
      <c r="H33" s="74" t="n">
        <v>0</v>
      </c>
      <c r="I33" s="74" t="n">
        <v>1</v>
      </c>
      <c r="J33" s="74" t="n">
        <v>0</v>
      </c>
      <c r="K33" s="74" t="n">
        <v>0</v>
      </c>
      <c r="L33" s="74" t="n">
        <v>0</v>
      </c>
      <c r="M33" s="74" t="n">
        <v>0</v>
      </c>
      <c r="N33" s="74" t="n">
        <v>0</v>
      </c>
      <c r="O33" s="74" t="n">
        <v>0</v>
      </c>
      <c r="P33" s="74" t="n">
        <v>0</v>
      </c>
      <c r="Q33" s="74" t="n">
        <v>0</v>
      </c>
      <c r="R33" s="74" t="n">
        <v>0</v>
      </c>
      <c r="S33" s="74" t="n">
        <v>0</v>
      </c>
      <c r="T33" s="74" t="n">
        <v>0</v>
      </c>
      <c r="U33" s="74" t="n">
        <v>0</v>
      </c>
    </row>
    <row r="34" customFormat="false" ht="15" hidden="false" customHeight="true" outlineLevel="0" collapsed="false">
      <c r="A34" s="30" t="s">
        <v>114</v>
      </c>
      <c r="B34" s="76"/>
      <c r="C34" s="74" t="n">
        <v>31</v>
      </c>
      <c r="D34" s="74" t="n">
        <v>27</v>
      </c>
      <c r="E34" s="74" t="n">
        <v>22</v>
      </c>
      <c r="F34" s="74" t="n">
        <v>20</v>
      </c>
      <c r="G34" s="74" t="n">
        <v>18</v>
      </c>
      <c r="H34" s="74" t="n">
        <v>10</v>
      </c>
      <c r="I34" s="74" t="n">
        <v>9</v>
      </c>
      <c r="J34" s="74" t="n">
        <v>8</v>
      </c>
      <c r="K34" s="74" t="n">
        <v>3</v>
      </c>
      <c r="L34" s="74" t="n">
        <v>4</v>
      </c>
      <c r="M34" s="74" t="n">
        <v>2</v>
      </c>
      <c r="N34" s="74" t="n">
        <v>1</v>
      </c>
      <c r="O34" s="74" t="n">
        <v>2</v>
      </c>
      <c r="P34" s="74" t="n">
        <v>1</v>
      </c>
      <c r="Q34" s="74" t="n">
        <v>0</v>
      </c>
      <c r="R34" s="74" t="n">
        <v>0</v>
      </c>
      <c r="S34" s="74" t="n">
        <v>0</v>
      </c>
      <c r="T34" s="74" t="n">
        <v>0</v>
      </c>
      <c r="U34" s="74" t="n">
        <v>0</v>
      </c>
    </row>
    <row r="35" customFormat="false" ht="15" hidden="false" customHeight="true" outlineLevel="0" collapsed="false">
      <c r="A35" s="30" t="s">
        <v>115</v>
      </c>
      <c r="B35" s="76"/>
      <c r="C35" s="76"/>
      <c r="D35" s="74" t="n">
        <v>41</v>
      </c>
      <c r="E35" s="74" t="n">
        <v>31</v>
      </c>
      <c r="F35" s="74" t="n">
        <v>30</v>
      </c>
      <c r="G35" s="74" t="n">
        <v>29</v>
      </c>
      <c r="H35" s="74" t="n">
        <v>12</v>
      </c>
      <c r="I35" s="74" t="n">
        <v>17</v>
      </c>
      <c r="J35" s="74" t="n">
        <v>11</v>
      </c>
      <c r="K35" s="74" t="n">
        <v>5</v>
      </c>
      <c r="L35" s="74" t="n">
        <v>6</v>
      </c>
      <c r="M35" s="74" t="n">
        <v>5</v>
      </c>
      <c r="N35" s="74" t="n">
        <v>1</v>
      </c>
      <c r="O35" s="74" t="n">
        <v>1</v>
      </c>
      <c r="P35" s="74" t="n">
        <v>1</v>
      </c>
      <c r="Q35" s="74" t="n">
        <v>0</v>
      </c>
      <c r="R35" s="74" t="n">
        <v>0</v>
      </c>
      <c r="S35" s="74" t="n">
        <v>0</v>
      </c>
      <c r="T35" s="74" t="n">
        <v>0</v>
      </c>
      <c r="U35" s="74" t="n">
        <v>0</v>
      </c>
    </row>
    <row r="36" customFormat="false" ht="15" hidden="false" customHeight="true" outlineLevel="0" collapsed="false">
      <c r="A36" s="30" t="s">
        <v>116</v>
      </c>
      <c r="B36" s="76"/>
      <c r="C36" s="76"/>
      <c r="D36" s="76"/>
      <c r="E36" s="74" t="n">
        <v>12</v>
      </c>
      <c r="F36" s="74" t="n">
        <v>9</v>
      </c>
      <c r="G36" s="74" t="n">
        <v>9</v>
      </c>
      <c r="H36" s="74" t="n">
        <v>6</v>
      </c>
      <c r="I36" s="74" t="n">
        <v>6</v>
      </c>
      <c r="J36" s="74" t="n">
        <v>3</v>
      </c>
      <c r="K36" s="74" t="n">
        <v>1</v>
      </c>
      <c r="L36" s="74" t="n">
        <v>1</v>
      </c>
      <c r="M36" s="74" t="n">
        <v>1</v>
      </c>
      <c r="N36" s="74" t="n">
        <v>1</v>
      </c>
      <c r="O36" s="74" t="n">
        <v>1</v>
      </c>
      <c r="P36" s="74" t="n">
        <v>0</v>
      </c>
      <c r="Q36" s="74" t="n">
        <v>0</v>
      </c>
      <c r="R36" s="74" t="n">
        <v>0</v>
      </c>
      <c r="S36" s="74" t="n">
        <v>0</v>
      </c>
      <c r="T36" s="74" t="n">
        <v>0</v>
      </c>
      <c r="U36" s="74" t="n">
        <v>0</v>
      </c>
    </row>
    <row r="37" customFormat="false" ht="15" hidden="false" customHeight="true" outlineLevel="0" collapsed="false">
      <c r="A37" s="30" t="s">
        <v>117</v>
      </c>
      <c r="B37" s="76"/>
      <c r="C37" s="76"/>
      <c r="D37" s="76"/>
      <c r="E37" s="76"/>
      <c r="F37" s="74" t="n">
        <v>28</v>
      </c>
      <c r="G37" s="74" t="n">
        <v>26</v>
      </c>
      <c r="H37" s="74" t="n">
        <v>19</v>
      </c>
      <c r="I37" s="74" t="n">
        <v>21</v>
      </c>
      <c r="J37" s="74" t="n">
        <v>17</v>
      </c>
      <c r="K37" s="74" t="n">
        <v>9</v>
      </c>
      <c r="L37" s="74" t="n">
        <v>9</v>
      </c>
      <c r="M37" s="74" t="n">
        <v>6</v>
      </c>
      <c r="N37" s="74" t="n">
        <v>3</v>
      </c>
      <c r="O37" s="74" t="n">
        <v>3</v>
      </c>
      <c r="P37" s="74" t="n">
        <v>2</v>
      </c>
      <c r="Q37" s="74" t="n">
        <v>0</v>
      </c>
      <c r="R37" s="74" t="n">
        <v>1</v>
      </c>
      <c r="S37" s="74" t="n">
        <v>1</v>
      </c>
      <c r="T37" s="74" t="n">
        <v>0</v>
      </c>
      <c r="U37" s="74" t="n">
        <v>1</v>
      </c>
    </row>
    <row r="38" customFormat="false" ht="15" hidden="false" customHeight="true" outlineLevel="0" collapsed="false">
      <c r="A38" s="30" t="s">
        <v>118</v>
      </c>
      <c r="B38" s="76"/>
      <c r="C38" s="76"/>
      <c r="D38" s="76"/>
      <c r="E38" s="76"/>
      <c r="F38" s="76"/>
      <c r="G38" s="74" t="n">
        <v>29</v>
      </c>
      <c r="H38" s="74" t="n">
        <v>22</v>
      </c>
      <c r="I38" s="74" t="n">
        <v>22</v>
      </c>
      <c r="J38" s="74" t="n">
        <v>20</v>
      </c>
      <c r="K38" s="74" t="n">
        <v>12</v>
      </c>
      <c r="L38" s="74" t="n">
        <v>15</v>
      </c>
      <c r="M38" s="74" t="n">
        <v>10</v>
      </c>
      <c r="N38" s="74" t="n">
        <v>6</v>
      </c>
      <c r="O38" s="74" t="n">
        <v>6</v>
      </c>
      <c r="P38" s="74" t="n">
        <v>3</v>
      </c>
      <c r="Q38" s="74" t="n">
        <v>1</v>
      </c>
      <c r="R38" s="74" t="n">
        <v>3</v>
      </c>
      <c r="S38" s="74" t="n">
        <v>1</v>
      </c>
      <c r="T38" s="74" t="n">
        <v>0</v>
      </c>
      <c r="U38" s="74" t="n">
        <v>0</v>
      </c>
    </row>
    <row r="39" customFormat="false" ht="15" hidden="false" customHeight="true" outlineLevel="0" collapsed="false">
      <c r="A39" s="30" t="s">
        <v>119</v>
      </c>
      <c r="B39" s="76"/>
      <c r="C39" s="76"/>
      <c r="D39" s="76"/>
      <c r="E39" s="76"/>
      <c r="F39" s="76"/>
      <c r="G39" s="76"/>
      <c r="H39" s="74" t="n">
        <v>7</v>
      </c>
      <c r="I39" s="74" t="n">
        <v>7</v>
      </c>
      <c r="J39" s="74" t="n">
        <v>6</v>
      </c>
      <c r="K39" s="74" t="n">
        <v>3</v>
      </c>
      <c r="L39" s="74" t="n">
        <v>5</v>
      </c>
      <c r="M39" s="74" t="n">
        <v>3</v>
      </c>
      <c r="N39" s="74" t="n">
        <v>2</v>
      </c>
      <c r="O39" s="74" t="n">
        <v>2</v>
      </c>
      <c r="P39" s="74" t="n">
        <v>1</v>
      </c>
      <c r="Q39" s="74" t="n">
        <v>0</v>
      </c>
      <c r="R39" s="74" t="n">
        <v>0</v>
      </c>
      <c r="S39" s="74" t="n">
        <v>0</v>
      </c>
      <c r="T39" s="74" t="n">
        <v>0</v>
      </c>
      <c r="U39" s="74" t="n">
        <v>0</v>
      </c>
    </row>
    <row r="40" customFormat="false" ht="15" hidden="false" customHeight="true" outlineLevel="0" collapsed="false">
      <c r="A40" s="30" t="s">
        <v>120</v>
      </c>
      <c r="B40" s="76"/>
      <c r="C40" s="76"/>
      <c r="D40" s="76"/>
      <c r="E40" s="76"/>
      <c r="F40" s="76"/>
      <c r="G40" s="76"/>
      <c r="H40" s="76"/>
      <c r="I40" s="74" t="n">
        <v>29</v>
      </c>
      <c r="J40" s="74" t="n">
        <v>26</v>
      </c>
      <c r="K40" s="74" t="n">
        <v>19</v>
      </c>
      <c r="L40" s="74" t="n">
        <v>17</v>
      </c>
      <c r="M40" s="74" t="n">
        <v>14</v>
      </c>
      <c r="N40" s="74" t="n">
        <v>8</v>
      </c>
      <c r="O40" s="74" t="n">
        <v>4</v>
      </c>
      <c r="P40" s="74" t="n">
        <v>4</v>
      </c>
      <c r="Q40" s="74" t="n">
        <v>1</v>
      </c>
      <c r="R40" s="74" t="n">
        <v>2</v>
      </c>
      <c r="S40" s="74" t="n">
        <v>1</v>
      </c>
      <c r="T40" s="74" t="n">
        <v>1</v>
      </c>
      <c r="U40" s="74" t="n">
        <v>1</v>
      </c>
    </row>
    <row r="41" customFormat="false" ht="15" hidden="false" customHeight="true" outlineLevel="0" collapsed="false">
      <c r="A41" s="30" t="s">
        <v>121</v>
      </c>
      <c r="B41" s="76"/>
      <c r="C41" s="76"/>
      <c r="D41" s="76"/>
      <c r="E41" s="76"/>
      <c r="F41" s="76"/>
      <c r="G41" s="76"/>
      <c r="H41" s="76"/>
      <c r="I41" s="76"/>
      <c r="J41" s="74" t="n">
        <v>16</v>
      </c>
      <c r="K41" s="74" t="n">
        <v>10</v>
      </c>
      <c r="L41" s="74" t="n">
        <v>9</v>
      </c>
      <c r="M41" s="74" t="n">
        <v>7</v>
      </c>
      <c r="N41" s="74" t="n">
        <v>5</v>
      </c>
      <c r="O41" s="74" t="n">
        <v>6</v>
      </c>
      <c r="P41" s="74" t="n">
        <v>4</v>
      </c>
      <c r="Q41" s="74" t="n">
        <v>2</v>
      </c>
      <c r="R41" s="74" t="n">
        <v>3</v>
      </c>
      <c r="S41" s="74" t="n">
        <v>1</v>
      </c>
      <c r="T41" s="74" t="n">
        <v>2</v>
      </c>
      <c r="U41" s="74" t="n">
        <v>0</v>
      </c>
    </row>
    <row r="42" customFormat="false" ht="15" hidden="false" customHeight="true" outlineLevel="0" collapsed="false">
      <c r="A42" s="30" t="s">
        <v>122</v>
      </c>
      <c r="B42" s="76"/>
      <c r="C42" s="76"/>
      <c r="D42" s="76"/>
      <c r="E42" s="76"/>
      <c r="F42" s="76"/>
      <c r="G42" s="76"/>
      <c r="H42" s="76"/>
      <c r="I42" s="76"/>
      <c r="J42" s="76"/>
      <c r="K42" s="74" t="n">
        <v>17</v>
      </c>
      <c r="L42" s="74" t="n">
        <v>10</v>
      </c>
      <c r="M42" s="74" t="n">
        <v>8</v>
      </c>
      <c r="N42" s="74" t="n">
        <v>6</v>
      </c>
      <c r="O42" s="74" t="n">
        <v>7</v>
      </c>
      <c r="P42" s="74" t="n">
        <v>6</v>
      </c>
      <c r="Q42" s="74" t="n">
        <v>1</v>
      </c>
      <c r="R42" s="74" t="n">
        <v>2</v>
      </c>
      <c r="S42" s="74" t="n">
        <v>1</v>
      </c>
      <c r="T42" s="74" t="n">
        <v>1</v>
      </c>
      <c r="U42" s="74" t="n">
        <v>1</v>
      </c>
    </row>
    <row r="43" customFormat="false" ht="15" hidden="false" customHeight="true" outlineLevel="0" collapsed="false">
      <c r="A43" s="30" t="s">
        <v>123</v>
      </c>
      <c r="B43" s="76"/>
      <c r="C43" s="76"/>
      <c r="D43" s="76"/>
      <c r="E43" s="76"/>
      <c r="F43" s="76"/>
      <c r="G43" s="76"/>
      <c r="H43" s="76"/>
      <c r="I43" s="76"/>
      <c r="J43" s="76"/>
      <c r="K43" s="76"/>
      <c r="L43" s="74" t="n">
        <v>30</v>
      </c>
      <c r="M43" s="74" t="n">
        <v>24</v>
      </c>
      <c r="N43" s="74" t="n">
        <v>18</v>
      </c>
      <c r="O43" s="74" t="n">
        <v>17</v>
      </c>
      <c r="P43" s="74" t="n">
        <v>15</v>
      </c>
      <c r="Q43" s="74" t="n">
        <v>8</v>
      </c>
      <c r="R43" s="74" t="n">
        <v>10</v>
      </c>
      <c r="S43" s="74" t="n">
        <v>5</v>
      </c>
      <c r="T43" s="74" t="n">
        <v>2</v>
      </c>
      <c r="U43" s="74" t="n">
        <v>4</v>
      </c>
    </row>
    <row r="44" customFormat="false" ht="15" hidden="false" customHeight="true" outlineLevel="0" collapsed="false">
      <c r="A44" s="30" t="s">
        <v>124</v>
      </c>
      <c r="B44" s="76"/>
      <c r="C44" s="76"/>
      <c r="D44" s="76"/>
      <c r="E44" s="76"/>
      <c r="F44" s="76"/>
      <c r="G44" s="76"/>
      <c r="H44" s="76"/>
      <c r="I44" s="76"/>
      <c r="J44" s="76"/>
      <c r="K44" s="76"/>
      <c r="L44" s="76"/>
      <c r="M44" s="74" t="n">
        <v>24</v>
      </c>
      <c r="N44" s="74" t="n">
        <v>16</v>
      </c>
      <c r="O44" s="74" t="n">
        <v>20</v>
      </c>
      <c r="P44" s="74" t="n">
        <v>13</v>
      </c>
      <c r="Q44" s="74" t="n">
        <v>6</v>
      </c>
      <c r="R44" s="74" t="n">
        <v>8</v>
      </c>
      <c r="S44" s="74" t="n">
        <v>4</v>
      </c>
      <c r="T44" s="74" t="n">
        <v>4</v>
      </c>
      <c r="U44" s="74" t="n">
        <v>0</v>
      </c>
    </row>
    <row r="45" customFormat="false" ht="15" hidden="false" customHeight="true" outlineLevel="0" collapsed="false">
      <c r="A45" s="30" t="s">
        <v>125</v>
      </c>
      <c r="B45" s="76"/>
      <c r="C45" s="76"/>
      <c r="D45" s="76"/>
      <c r="E45" s="76"/>
      <c r="F45" s="76"/>
      <c r="G45" s="76"/>
      <c r="H45" s="76"/>
      <c r="I45" s="76"/>
      <c r="J45" s="76"/>
      <c r="K45" s="76"/>
      <c r="L45" s="76"/>
      <c r="M45" s="76"/>
      <c r="N45" s="74" t="n">
        <v>9</v>
      </c>
      <c r="O45" s="74" t="n">
        <v>9</v>
      </c>
      <c r="P45" s="74" t="n">
        <v>6</v>
      </c>
      <c r="Q45" s="74" t="n">
        <v>5</v>
      </c>
      <c r="R45" s="74" t="n">
        <v>6</v>
      </c>
      <c r="S45" s="74" t="n">
        <v>3</v>
      </c>
      <c r="T45" s="74" t="n">
        <v>0</v>
      </c>
      <c r="U45" s="74" t="n">
        <v>1</v>
      </c>
    </row>
    <row r="46" customFormat="false" ht="15" hidden="false" customHeight="true" outlineLevel="0" collapsed="false">
      <c r="A46" s="30" t="s">
        <v>126</v>
      </c>
      <c r="B46" s="76"/>
      <c r="C46" s="76"/>
      <c r="D46" s="76"/>
      <c r="E46" s="76"/>
      <c r="F46" s="76"/>
      <c r="G46" s="76"/>
      <c r="H46" s="76"/>
      <c r="I46" s="76"/>
      <c r="J46" s="76"/>
      <c r="K46" s="76"/>
      <c r="L46" s="76"/>
      <c r="M46" s="76"/>
      <c r="N46" s="76"/>
      <c r="O46" s="74" t="n">
        <v>30</v>
      </c>
      <c r="P46" s="74" t="n">
        <v>25</v>
      </c>
      <c r="Q46" s="74" t="n">
        <v>23</v>
      </c>
      <c r="R46" s="74" t="n">
        <v>24</v>
      </c>
      <c r="S46" s="74" t="n">
        <v>20</v>
      </c>
      <c r="T46" s="74" t="n">
        <v>10</v>
      </c>
      <c r="U46" s="74" t="n">
        <v>5</v>
      </c>
    </row>
    <row r="47" customFormat="false" ht="15" hidden="false" customHeight="true" outlineLevel="0" collapsed="false">
      <c r="A47" s="30" t="s">
        <v>127</v>
      </c>
      <c r="B47" s="76"/>
      <c r="C47" s="76"/>
      <c r="D47" s="76"/>
      <c r="E47" s="76"/>
      <c r="F47" s="76"/>
      <c r="G47" s="76"/>
      <c r="H47" s="76"/>
      <c r="I47" s="76"/>
      <c r="J47" s="76"/>
      <c r="K47" s="76"/>
      <c r="L47" s="76"/>
      <c r="M47" s="76"/>
      <c r="N47" s="76"/>
      <c r="O47" s="76"/>
      <c r="P47" s="74" t="n">
        <v>15</v>
      </c>
      <c r="Q47" s="74" t="n">
        <v>9</v>
      </c>
      <c r="R47" s="74" t="n">
        <v>13</v>
      </c>
      <c r="S47" s="74" t="n">
        <v>9</v>
      </c>
      <c r="T47" s="74" t="n">
        <v>7</v>
      </c>
      <c r="U47" s="74" t="n">
        <v>6</v>
      </c>
    </row>
    <row r="48" customFormat="false" ht="15" hidden="false" customHeight="true" outlineLevel="0" collapsed="false">
      <c r="A48" s="30" t="s">
        <v>128</v>
      </c>
      <c r="B48" s="76"/>
      <c r="C48" s="76"/>
      <c r="D48" s="76"/>
      <c r="E48" s="76"/>
      <c r="F48" s="76"/>
      <c r="G48" s="76"/>
      <c r="H48" s="76"/>
      <c r="I48" s="76"/>
      <c r="J48" s="76"/>
      <c r="K48" s="76"/>
      <c r="L48" s="76"/>
      <c r="M48" s="76"/>
      <c r="N48" s="76"/>
      <c r="O48" s="76"/>
      <c r="P48" s="76"/>
      <c r="Q48" s="74" t="n">
        <v>14</v>
      </c>
      <c r="R48" s="74" t="n">
        <v>14</v>
      </c>
      <c r="S48" s="74" t="n">
        <v>12</v>
      </c>
      <c r="T48" s="74" t="n">
        <v>10</v>
      </c>
      <c r="U48" s="74" t="n">
        <v>10</v>
      </c>
    </row>
    <row r="49" customFormat="false" ht="15" hidden="false" customHeight="true" outlineLevel="0" collapsed="false">
      <c r="A49" s="30" t="s">
        <v>129</v>
      </c>
      <c r="B49" s="76"/>
      <c r="C49" s="76"/>
      <c r="D49" s="76"/>
      <c r="E49" s="76"/>
      <c r="F49" s="76"/>
      <c r="G49" s="76"/>
      <c r="H49" s="76"/>
      <c r="I49" s="76"/>
      <c r="J49" s="76"/>
      <c r="K49" s="76"/>
      <c r="L49" s="76"/>
      <c r="M49" s="76"/>
      <c r="N49" s="76"/>
      <c r="O49" s="76"/>
      <c r="P49" s="76"/>
      <c r="Q49" s="76"/>
      <c r="R49" s="74" t="n">
        <v>29</v>
      </c>
      <c r="S49" s="74" t="n">
        <v>25</v>
      </c>
      <c r="T49" s="74" t="n">
        <v>15</v>
      </c>
      <c r="U49" s="74" t="n">
        <v>18</v>
      </c>
    </row>
    <row r="50" customFormat="false" ht="15" hidden="false" customHeight="true" outlineLevel="0" collapsed="false">
      <c r="A50" s="30" t="s">
        <v>130</v>
      </c>
      <c r="B50" s="76"/>
      <c r="C50" s="76"/>
      <c r="D50" s="76"/>
      <c r="E50" s="76"/>
      <c r="F50" s="76"/>
      <c r="G50" s="76"/>
      <c r="H50" s="76"/>
      <c r="I50" s="76"/>
      <c r="J50" s="76"/>
      <c r="K50" s="76"/>
      <c r="L50" s="76"/>
      <c r="M50" s="76"/>
      <c r="N50" s="76"/>
      <c r="O50" s="76"/>
      <c r="P50" s="76"/>
      <c r="Q50" s="76"/>
      <c r="R50" s="76"/>
      <c r="S50" s="74" t="n">
        <v>23</v>
      </c>
      <c r="T50" s="74" t="n">
        <v>18</v>
      </c>
      <c r="U50" s="74" t="n">
        <v>16</v>
      </c>
    </row>
    <row r="51" customFormat="false" ht="15" hidden="false" customHeight="true" outlineLevel="0" collapsed="false">
      <c r="A51" s="30" t="s">
        <v>131</v>
      </c>
      <c r="B51" s="76"/>
      <c r="C51" s="76"/>
      <c r="D51" s="76"/>
      <c r="E51" s="76"/>
      <c r="F51" s="76"/>
      <c r="G51" s="76"/>
      <c r="H51" s="76"/>
      <c r="I51" s="76"/>
      <c r="J51" s="76"/>
      <c r="K51" s="76"/>
      <c r="L51" s="76"/>
      <c r="M51" s="76"/>
      <c r="N51" s="76"/>
      <c r="O51" s="76"/>
      <c r="P51" s="76"/>
      <c r="Q51" s="76"/>
      <c r="R51" s="76"/>
      <c r="S51" s="76"/>
      <c r="T51" s="74" t="n">
        <v>10</v>
      </c>
      <c r="U51" s="74" t="n">
        <v>9</v>
      </c>
    </row>
    <row r="52" customFormat="false" ht="15" hidden="false" customHeight="true" outlineLevel="0" collapsed="false">
      <c r="A52" s="30" t="s">
        <v>132</v>
      </c>
      <c r="B52" s="76"/>
      <c r="C52" s="76"/>
      <c r="D52" s="76"/>
      <c r="E52" s="76"/>
      <c r="F52" s="76"/>
      <c r="G52" s="76"/>
      <c r="H52" s="76"/>
      <c r="I52" s="76"/>
      <c r="J52" s="76"/>
      <c r="K52" s="76"/>
      <c r="L52" s="76"/>
      <c r="M52" s="76"/>
      <c r="N52" s="76"/>
      <c r="O52" s="76"/>
      <c r="P52" s="76"/>
      <c r="Q52" s="76"/>
      <c r="R52" s="76"/>
      <c r="S52" s="76"/>
      <c r="T52" s="76"/>
      <c r="U52" s="74" t="n">
        <v>24</v>
      </c>
    </row>
    <row r="53" customFormat="false" ht="15" hidden="false" customHeight="true" outlineLevel="0" collapsed="false">
      <c r="A53" s="34" t="s">
        <v>514</v>
      </c>
      <c r="B53" s="79" t="n">
        <v>8</v>
      </c>
      <c r="C53" s="79" t="n">
        <v>38</v>
      </c>
      <c r="D53" s="79" t="n">
        <v>74</v>
      </c>
      <c r="E53" s="79" t="n">
        <v>66</v>
      </c>
      <c r="F53" s="79" t="n">
        <v>90</v>
      </c>
      <c r="G53" s="79" t="n">
        <v>113</v>
      </c>
      <c r="H53" s="79" t="n">
        <v>76</v>
      </c>
      <c r="I53" s="79" t="n">
        <v>112</v>
      </c>
      <c r="J53" s="79" t="n">
        <v>107</v>
      </c>
      <c r="K53" s="79" t="n">
        <v>79</v>
      </c>
      <c r="L53" s="79" t="n">
        <v>106</v>
      </c>
      <c r="M53" s="79" t="n">
        <v>104</v>
      </c>
      <c r="N53" s="79" t="n">
        <v>76</v>
      </c>
      <c r="O53" s="79" t="n">
        <v>108</v>
      </c>
      <c r="P53" s="79" t="n">
        <v>96</v>
      </c>
      <c r="Q53" s="79" t="n">
        <v>70</v>
      </c>
      <c r="R53" s="79" t="n">
        <v>115</v>
      </c>
      <c r="S53" s="79" t="n">
        <v>106</v>
      </c>
      <c r="T53" s="79" t="n">
        <v>80</v>
      </c>
      <c r="U53" s="79" t="n">
        <v>96</v>
      </c>
    </row>
    <row r="55" customFormat="false" ht="19.5" hidden="false" customHeight="true" outlineLevel="0" collapsed="false">
      <c r="A55" s="65" t="s">
        <v>407</v>
      </c>
      <c r="B55" s="65"/>
      <c r="C55" s="65"/>
      <c r="D55" s="65"/>
      <c r="E55" s="65"/>
      <c r="F55" s="65"/>
      <c r="G55" s="65"/>
      <c r="H55" s="65"/>
      <c r="I55" s="65"/>
      <c r="J55" s="65"/>
      <c r="K55" s="65"/>
      <c r="L55" s="65"/>
      <c r="M55" s="65"/>
      <c r="N55" s="65"/>
      <c r="O55" s="65"/>
      <c r="P55" s="65"/>
      <c r="Q55" s="65"/>
      <c r="R55" s="65"/>
      <c r="S55" s="65"/>
      <c r="T55" s="65"/>
      <c r="U55" s="65"/>
    </row>
    <row r="56" customFormat="false" ht="15" hidden="false" customHeight="true" outlineLevel="0" collapsed="false">
      <c r="A56" s="12" t="s">
        <v>513</v>
      </c>
      <c r="B56" s="12" t="s">
        <v>113</v>
      </c>
      <c r="C56" s="12" t="s">
        <v>114</v>
      </c>
      <c r="D56" s="12" t="s">
        <v>115</v>
      </c>
      <c r="E56" s="12" t="s">
        <v>116</v>
      </c>
      <c r="F56" s="12" t="s">
        <v>117</v>
      </c>
      <c r="G56" s="12" t="s">
        <v>118</v>
      </c>
      <c r="H56" s="12" t="s">
        <v>119</v>
      </c>
      <c r="I56" s="12" t="s">
        <v>120</v>
      </c>
      <c r="J56" s="12" t="s">
        <v>121</v>
      </c>
      <c r="K56" s="12" t="s">
        <v>122</v>
      </c>
      <c r="L56" s="12" t="s">
        <v>123</v>
      </c>
      <c r="M56" s="12" t="s">
        <v>124</v>
      </c>
      <c r="N56" s="12" t="s">
        <v>125</v>
      </c>
      <c r="O56" s="12" t="s">
        <v>126</v>
      </c>
      <c r="P56" s="12" t="s">
        <v>127</v>
      </c>
      <c r="Q56" s="12" t="s">
        <v>128</v>
      </c>
      <c r="R56" s="12" t="s">
        <v>129</v>
      </c>
      <c r="S56" s="12" t="s">
        <v>130</v>
      </c>
      <c r="T56" s="12" t="s">
        <v>131</v>
      </c>
      <c r="U56" s="12" t="s">
        <v>132</v>
      </c>
    </row>
    <row r="57" customFormat="false" ht="15" hidden="false" customHeight="true" outlineLevel="0" collapsed="false">
      <c r="A57" s="30" t="s">
        <v>117</v>
      </c>
      <c r="B57" s="76"/>
      <c r="C57" s="76"/>
      <c r="D57" s="76"/>
      <c r="E57" s="76"/>
      <c r="F57" s="74" t="n">
        <v>23</v>
      </c>
      <c r="G57" s="74" t="n">
        <v>20</v>
      </c>
      <c r="H57" s="74" t="n">
        <v>17</v>
      </c>
      <c r="I57" s="74" t="n">
        <v>19</v>
      </c>
      <c r="J57" s="74" t="n">
        <v>16</v>
      </c>
      <c r="K57" s="74" t="n">
        <v>2</v>
      </c>
      <c r="L57" s="74" t="n">
        <v>0</v>
      </c>
      <c r="M57" s="74" t="n">
        <v>0</v>
      </c>
      <c r="N57" s="74" t="n">
        <v>0</v>
      </c>
      <c r="O57" s="74" t="n">
        <v>0</v>
      </c>
      <c r="P57" s="74" t="n">
        <v>0</v>
      </c>
      <c r="Q57" s="74" t="n">
        <v>0</v>
      </c>
      <c r="R57" s="74" t="n">
        <v>0</v>
      </c>
      <c r="S57" s="74" t="n">
        <v>0</v>
      </c>
      <c r="T57" s="74" t="n">
        <v>0</v>
      </c>
      <c r="U57" s="74" t="n">
        <v>0</v>
      </c>
    </row>
    <row r="58" customFormat="false" ht="15" hidden="false" customHeight="true" outlineLevel="0" collapsed="false">
      <c r="A58" s="30" t="s">
        <v>118</v>
      </c>
      <c r="B58" s="76"/>
      <c r="C58" s="76"/>
      <c r="D58" s="76"/>
      <c r="E58" s="76"/>
      <c r="F58" s="76"/>
      <c r="G58" s="74" t="n">
        <v>27</v>
      </c>
      <c r="H58" s="74" t="n">
        <v>15</v>
      </c>
      <c r="I58" s="74" t="n">
        <v>15</v>
      </c>
      <c r="J58" s="74" t="n">
        <v>13</v>
      </c>
      <c r="K58" s="74" t="n">
        <v>11</v>
      </c>
      <c r="L58" s="74" t="n">
        <v>1</v>
      </c>
      <c r="M58" s="74" t="n">
        <v>3</v>
      </c>
      <c r="N58" s="74" t="n">
        <v>0</v>
      </c>
      <c r="O58" s="74" t="n">
        <v>0</v>
      </c>
      <c r="P58" s="74" t="n">
        <v>0</v>
      </c>
      <c r="Q58" s="74" t="n">
        <v>0</v>
      </c>
      <c r="R58" s="74" t="n">
        <v>0</v>
      </c>
      <c r="S58" s="74" t="n">
        <v>0</v>
      </c>
      <c r="T58" s="74" t="n">
        <v>0</v>
      </c>
      <c r="U58" s="74" t="n">
        <v>0</v>
      </c>
    </row>
    <row r="59" customFormat="false" ht="15" hidden="false" customHeight="true" outlineLevel="0" collapsed="false">
      <c r="A59" s="30" t="s">
        <v>120</v>
      </c>
      <c r="B59" s="76"/>
      <c r="C59" s="76"/>
      <c r="D59" s="76"/>
      <c r="E59" s="76"/>
      <c r="F59" s="76"/>
      <c r="G59" s="76"/>
      <c r="H59" s="76"/>
      <c r="I59" s="74" t="n">
        <v>31</v>
      </c>
      <c r="J59" s="74" t="n">
        <v>27</v>
      </c>
      <c r="K59" s="74" t="n">
        <v>22</v>
      </c>
      <c r="L59" s="74" t="n">
        <v>20</v>
      </c>
      <c r="M59" s="74" t="n">
        <v>20</v>
      </c>
      <c r="N59" s="74" t="n">
        <v>2</v>
      </c>
      <c r="O59" s="74" t="n">
        <v>1</v>
      </c>
      <c r="P59" s="74" t="n">
        <v>1</v>
      </c>
      <c r="Q59" s="74" t="n">
        <v>0</v>
      </c>
      <c r="R59" s="74" t="n">
        <v>0</v>
      </c>
      <c r="S59" s="74" t="n">
        <v>1</v>
      </c>
      <c r="T59" s="74" t="n">
        <v>1</v>
      </c>
      <c r="U59" s="74" t="n">
        <v>1</v>
      </c>
    </row>
    <row r="60" customFormat="false" ht="15" hidden="false" customHeight="true" outlineLevel="0" collapsed="false">
      <c r="A60" s="30" t="s">
        <v>121</v>
      </c>
      <c r="B60" s="76"/>
      <c r="C60" s="76"/>
      <c r="D60" s="76"/>
      <c r="E60" s="76"/>
      <c r="F60" s="76"/>
      <c r="G60" s="76"/>
      <c r="H60" s="76"/>
      <c r="I60" s="76"/>
      <c r="J60" s="74" t="n">
        <v>17</v>
      </c>
      <c r="K60" s="74" t="n">
        <v>16</v>
      </c>
      <c r="L60" s="74" t="n">
        <v>16</v>
      </c>
      <c r="M60" s="74" t="n">
        <v>14</v>
      </c>
      <c r="N60" s="74" t="n">
        <v>12</v>
      </c>
      <c r="O60" s="74" t="n">
        <v>1</v>
      </c>
      <c r="P60" s="74" t="n">
        <v>1</v>
      </c>
      <c r="Q60" s="74" t="n">
        <v>0</v>
      </c>
      <c r="R60" s="74" t="n">
        <v>2</v>
      </c>
      <c r="S60" s="74" t="n">
        <v>2</v>
      </c>
      <c r="T60" s="74" t="n">
        <v>1</v>
      </c>
      <c r="U60" s="74" t="n">
        <v>0</v>
      </c>
    </row>
    <row r="61" customFormat="false" ht="15" hidden="false" customHeight="true" outlineLevel="0" collapsed="false">
      <c r="A61" s="30" t="s">
        <v>123</v>
      </c>
      <c r="B61" s="76"/>
      <c r="C61" s="76"/>
      <c r="D61" s="76"/>
      <c r="E61" s="76"/>
      <c r="F61" s="76"/>
      <c r="G61" s="76"/>
      <c r="H61" s="76"/>
      <c r="I61" s="76"/>
      <c r="J61" s="76"/>
      <c r="K61" s="76"/>
      <c r="L61" s="74" t="n">
        <v>31</v>
      </c>
      <c r="M61" s="74" t="n">
        <v>26</v>
      </c>
      <c r="N61" s="74" t="n">
        <v>19</v>
      </c>
      <c r="O61" s="74" t="n">
        <v>18</v>
      </c>
      <c r="P61" s="74" t="n">
        <v>17</v>
      </c>
      <c r="Q61" s="74" t="n">
        <v>3</v>
      </c>
      <c r="R61" s="74" t="n">
        <v>2</v>
      </c>
      <c r="S61" s="74" t="n">
        <v>1</v>
      </c>
      <c r="T61" s="74" t="n">
        <v>2</v>
      </c>
      <c r="U61" s="74" t="n">
        <v>1</v>
      </c>
    </row>
    <row r="62" customFormat="false" ht="15" hidden="false" customHeight="true" outlineLevel="0" collapsed="false">
      <c r="A62" s="30" t="s">
        <v>124</v>
      </c>
      <c r="B62" s="76"/>
      <c r="C62" s="76"/>
      <c r="D62" s="76"/>
      <c r="E62" s="76"/>
      <c r="F62" s="76"/>
      <c r="G62" s="76"/>
      <c r="H62" s="76"/>
      <c r="I62" s="76"/>
      <c r="J62" s="76"/>
      <c r="K62" s="76"/>
      <c r="L62" s="76"/>
      <c r="M62" s="74" t="n">
        <v>17</v>
      </c>
      <c r="N62" s="74" t="n">
        <v>14</v>
      </c>
      <c r="O62" s="74" t="n">
        <v>12</v>
      </c>
      <c r="P62" s="74" t="n">
        <v>13</v>
      </c>
      <c r="Q62" s="74" t="n">
        <v>11</v>
      </c>
      <c r="R62" s="74" t="n">
        <v>0</v>
      </c>
      <c r="S62" s="74" t="n">
        <v>0</v>
      </c>
      <c r="T62" s="74" t="n">
        <v>0</v>
      </c>
      <c r="U62" s="74" t="n">
        <v>0</v>
      </c>
    </row>
    <row r="63" customFormat="false" ht="15" hidden="false" customHeight="true" outlineLevel="0" collapsed="false">
      <c r="A63" s="30" t="s">
        <v>126</v>
      </c>
      <c r="B63" s="76"/>
      <c r="C63" s="76"/>
      <c r="D63" s="76"/>
      <c r="E63" s="76"/>
      <c r="F63" s="76"/>
      <c r="G63" s="76"/>
      <c r="H63" s="76"/>
      <c r="I63" s="76"/>
      <c r="J63" s="76"/>
      <c r="K63" s="76"/>
      <c r="L63" s="76"/>
      <c r="M63" s="76"/>
      <c r="N63" s="76"/>
      <c r="O63" s="74" t="n">
        <v>30</v>
      </c>
      <c r="P63" s="74" t="n">
        <v>25</v>
      </c>
      <c r="Q63" s="74" t="n">
        <v>21</v>
      </c>
      <c r="R63" s="74" t="n">
        <v>18</v>
      </c>
      <c r="S63" s="74" t="n">
        <v>16</v>
      </c>
      <c r="T63" s="74" t="n">
        <v>7</v>
      </c>
      <c r="U63" s="74" t="n">
        <v>4</v>
      </c>
    </row>
    <row r="64" customFormat="false" ht="15" hidden="false" customHeight="true" outlineLevel="0" collapsed="false">
      <c r="A64" s="30" t="s">
        <v>127</v>
      </c>
      <c r="B64" s="76"/>
      <c r="C64" s="76"/>
      <c r="D64" s="76"/>
      <c r="E64" s="76"/>
      <c r="F64" s="76"/>
      <c r="G64" s="76"/>
      <c r="H64" s="76"/>
      <c r="I64" s="76"/>
      <c r="J64" s="76"/>
      <c r="K64" s="76"/>
      <c r="L64" s="76"/>
      <c r="M64" s="76"/>
      <c r="N64" s="76"/>
      <c r="O64" s="76"/>
      <c r="P64" s="74" t="n">
        <v>15</v>
      </c>
      <c r="Q64" s="74" t="n">
        <v>10</v>
      </c>
      <c r="R64" s="74" t="n">
        <v>10</v>
      </c>
      <c r="S64" s="74" t="n">
        <v>9</v>
      </c>
      <c r="T64" s="74" t="n">
        <v>9</v>
      </c>
      <c r="U64" s="74" t="n">
        <v>4</v>
      </c>
    </row>
    <row r="65" customFormat="false" ht="15" hidden="false" customHeight="true" outlineLevel="0" collapsed="false">
      <c r="A65" s="30" t="s">
        <v>129</v>
      </c>
      <c r="B65" s="76"/>
      <c r="C65" s="76"/>
      <c r="D65" s="76"/>
      <c r="E65" s="76"/>
      <c r="F65" s="76"/>
      <c r="G65" s="76"/>
      <c r="H65" s="76"/>
      <c r="I65" s="76"/>
      <c r="J65" s="76"/>
      <c r="K65" s="76"/>
      <c r="L65" s="76"/>
      <c r="M65" s="76"/>
      <c r="N65" s="76"/>
      <c r="O65" s="76"/>
      <c r="P65" s="76"/>
      <c r="Q65" s="76"/>
      <c r="R65" s="74" t="n">
        <v>18</v>
      </c>
      <c r="S65" s="74" t="n">
        <v>18</v>
      </c>
      <c r="T65" s="74" t="n">
        <v>10</v>
      </c>
      <c r="U65" s="74" t="n">
        <v>11</v>
      </c>
    </row>
    <row r="66" customFormat="false" ht="15" hidden="false" customHeight="true" outlineLevel="0" collapsed="false">
      <c r="A66" s="30" t="s">
        <v>130</v>
      </c>
      <c r="B66" s="76"/>
      <c r="C66" s="76"/>
      <c r="D66" s="76"/>
      <c r="E66" s="76"/>
      <c r="F66" s="76"/>
      <c r="G66" s="76"/>
      <c r="H66" s="76"/>
      <c r="I66" s="76"/>
      <c r="J66" s="76"/>
      <c r="K66" s="76"/>
      <c r="L66" s="76"/>
      <c r="M66" s="76"/>
      <c r="N66" s="76"/>
      <c r="O66" s="76"/>
      <c r="P66" s="76"/>
      <c r="Q66" s="76"/>
      <c r="R66" s="76"/>
      <c r="S66" s="74" t="n">
        <v>15</v>
      </c>
      <c r="T66" s="74" t="n">
        <v>14</v>
      </c>
      <c r="U66" s="74" t="n">
        <v>11</v>
      </c>
    </row>
    <row r="67" customFormat="false" ht="15" hidden="false" customHeight="true" outlineLevel="0" collapsed="false">
      <c r="A67" s="30" t="s">
        <v>132</v>
      </c>
      <c r="B67" s="76"/>
      <c r="C67" s="76"/>
      <c r="D67" s="76"/>
      <c r="E67" s="76"/>
      <c r="F67" s="76"/>
      <c r="G67" s="76"/>
      <c r="H67" s="76"/>
      <c r="I67" s="76"/>
      <c r="J67" s="76"/>
      <c r="K67" s="76"/>
      <c r="L67" s="76"/>
      <c r="M67" s="76"/>
      <c r="N67" s="76"/>
      <c r="O67" s="76"/>
      <c r="P67" s="76"/>
      <c r="Q67" s="76"/>
      <c r="R67" s="76"/>
      <c r="S67" s="76"/>
      <c r="T67" s="76"/>
      <c r="U67" s="74" t="n">
        <v>11</v>
      </c>
    </row>
    <row r="68" customFormat="false" ht="15" hidden="false" customHeight="true" outlineLevel="0" collapsed="false">
      <c r="A68" s="34" t="s">
        <v>514</v>
      </c>
      <c r="B68" s="79"/>
      <c r="C68" s="79"/>
      <c r="D68" s="79"/>
      <c r="E68" s="79"/>
      <c r="F68" s="79" t="n">
        <v>23</v>
      </c>
      <c r="G68" s="79" t="n">
        <v>47</v>
      </c>
      <c r="H68" s="79" t="n">
        <v>32</v>
      </c>
      <c r="I68" s="79" t="n">
        <v>65</v>
      </c>
      <c r="J68" s="79" t="n">
        <v>73</v>
      </c>
      <c r="K68" s="79" t="n">
        <v>51</v>
      </c>
      <c r="L68" s="79" t="n">
        <v>68</v>
      </c>
      <c r="M68" s="79" t="n">
        <v>80</v>
      </c>
      <c r="N68" s="79" t="n">
        <v>47</v>
      </c>
      <c r="O68" s="79" t="n">
        <v>62</v>
      </c>
      <c r="P68" s="79" t="n">
        <v>72</v>
      </c>
      <c r="Q68" s="79" t="n">
        <v>45</v>
      </c>
      <c r="R68" s="79" t="n">
        <v>50</v>
      </c>
      <c r="S68" s="79" t="n">
        <v>62</v>
      </c>
      <c r="T68" s="79" t="n">
        <v>44</v>
      </c>
      <c r="U68" s="79" t="n">
        <v>43</v>
      </c>
    </row>
    <row r="70" customFormat="false" ht="30" hidden="false" customHeight="true" outlineLevel="0" collapsed="false">
      <c r="A70" s="65" t="s">
        <v>408</v>
      </c>
      <c r="B70" s="65"/>
      <c r="C70" s="65"/>
      <c r="D70" s="65"/>
      <c r="E70" s="65"/>
      <c r="F70" s="65"/>
      <c r="G70" s="65"/>
      <c r="H70" s="65"/>
      <c r="I70" s="65"/>
      <c r="J70" s="65"/>
      <c r="K70" s="65"/>
      <c r="L70" s="65"/>
      <c r="M70" s="65"/>
      <c r="N70" s="65"/>
      <c r="O70" s="65"/>
      <c r="P70" s="65"/>
      <c r="Q70" s="65"/>
      <c r="R70" s="65"/>
      <c r="S70" s="65"/>
      <c r="T70" s="65"/>
      <c r="U70" s="65"/>
    </row>
    <row r="71" customFormat="false" ht="15" hidden="false" customHeight="true" outlineLevel="0" collapsed="false">
      <c r="A71" s="12" t="s">
        <v>513</v>
      </c>
      <c r="B71" s="12" t="s">
        <v>113</v>
      </c>
      <c r="C71" s="12" t="s">
        <v>114</v>
      </c>
      <c r="D71" s="12" t="s">
        <v>115</v>
      </c>
      <c r="E71" s="12" t="s">
        <v>116</v>
      </c>
      <c r="F71" s="12" t="s">
        <v>117</v>
      </c>
      <c r="G71" s="12" t="s">
        <v>118</v>
      </c>
      <c r="H71" s="12" t="s">
        <v>119</v>
      </c>
      <c r="I71" s="12" t="s">
        <v>120</v>
      </c>
      <c r="J71" s="12" t="s">
        <v>121</v>
      </c>
      <c r="K71" s="12" t="s">
        <v>122</v>
      </c>
      <c r="L71" s="12" t="s">
        <v>123</v>
      </c>
      <c r="M71" s="12" t="s">
        <v>124</v>
      </c>
      <c r="N71" s="12" t="s">
        <v>125</v>
      </c>
      <c r="O71" s="12" t="s">
        <v>126</v>
      </c>
      <c r="P71" s="12" t="s">
        <v>127</v>
      </c>
      <c r="Q71" s="12" t="s">
        <v>128</v>
      </c>
      <c r="R71" s="12" t="s">
        <v>129</v>
      </c>
      <c r="S71" s="12" t="s">
        <v>130</v>
      </c>
      <c r="T71" s="12" t="s">
        <v>131</v>
      </c>
      <c r="U71" s="12" t="s">
        <v>132</v>
      </c>
    </row>
    <row r="72" customFormat="false" ht="15" hidden="false" customHeight="true" outlineLevel="0" collapsed="false">
      <c r="A72" s="30" t="s">
        <v>121</v>
      </c>
      <c r="B72" s="76"/>
      <c r="C72" s="76"/>
      <c r="D72" s="76"/>
      <c r="E72" s="76"/>
      <c r="F72" s="76"/>
      <c r="G72" s="76"/>
      <c r="H72" s="76"/>
      <c r="I72" s="76"/>
      <c r="J72" s="74" t="n">
        <v>6</v>
      </c>
      <c r="K72" s="74" t="n">
        <v>6</v>
      </c>
      <c r="L72" s="74" t="n">
        <v>6</v>
      </c>
      <c r="M72" s="74" t="n">
        <v>5</v>
      </c>
      <c r="N72" s="74" t="n">
        <v>1</v>
      </c>
      <c r="O72" s="74" t="n">
        <v>2</v>
      </c>
      <c r="P72" s="74" t="n">
        <v>1</v>
      </c>
      <c r="Q72" s="74" t="n">
        <v>0</v>
      </c>
      <c r="R72" s="74" t="n">
        <v>0</v>
      </c>
      <c r="S72" s="74" t="n">
        <v>0</v>
      </c>
      <c r="T72" s="74" t="n">
        <v>0</v>
      </c>
      <c r="U72" s="74" t="n">
        <v>0</v>
      </c>
    </row>
    <row r="73" customFormat="false" ht="15" hidden="false" customHeight="true" outlineLevel="0" collapsed="false">
      <c r="A73" s="30" t="s">
        <v>122</v>
      </c>
      <c r="B73" s="76"/>
      <c r="C73" s="76"/>
      <c r="D73" s="76"/>
      <c r="E73" s="76"/>
      <c r="F73" s="76"/>
      <c r="G73" s="76"/>
      <c r="H73" s="76"/>
      <c r="I73" s="76"/>
      <c r="J73" s="76"/>
      <c r="K73" s="74" t="n">
        <v>1</v>
      </c>
      <c r="L73" s="74" t="n">
        <v>1</v>
      </c>
      <c r="M73" s="74" t="n">
        <v>1</v>
      </c>
      <c r="N73" s="74" t="n">
        <v>1</v>
      </c>
      <c r="O73" s="74" t="n">
        <v>1</v>
      </c>
      <c r="P73" s="74" t="n">
        <v>0</v>
      </c>
      <c r="Q73" s="74" t="n">
        <v>0</v>
      </c>
      <c r="R73" s="74" t="n">
        <v>0</v>
      </c>
      <c r="S73" s="74" t="n">
        <v>0</v>
      </c>
      <c r="T73" s="74" t="n">
        <v>0</v>
      </c>
      <c r="U73" s="74" t="n">
        <v>0</v>
      </c>
    </row>
    <row r="74" customFormat="false" ht="15" hidden="false" customHeight="true" outlineLevel="0" collapsed="false">
      <c r="A74" s="30" t="s">
        <v>123</v>
      </c>
      <c r="B74" s="76"/>
      <c r="C74" s="76"/>
      <c r="D74" s="76"/>
      <c r="E74" s="76"/>
      <c r="F74" s="76"/>
      <c r="G74" s="76"/>
      <c r="H74" s="76"/>
      <c r="I74" s="76"/>
      <c r="J74" s="76"/>
      <c r="K74" s="76"/>
      <c r="L74" s="74" t="n">
        <v>31</v>
      </c>
      <c r="M74" s="74" t="n">
        <v>27</v>
      </c>
      <c r="N74" s="74" t="n">
        <v>24</v>
      </c>
      <c r="O74" s="74" t="n">
        <v>25</v>
      </c>
      <c r="P74" s="74" t="n">
        <v>6</v>
      </c>
      <c r="Q74" s="74" t="n">
        <v>2</v>
      </c>
      <c r="R74" s="74" t="n">
        <v>1</v>
      </c>
      <c r="S74" s="74" t="n">
        <v>0</v>
      </c>
      <c r="T74" s="74" t="n">
        <v>0</v>
      </c>
      <c r="U74" s="74" t="n">
        <v>0</v>
      </c>
    </row>
    <row r="75" customFormat="false" ht="15" hidden="false" customHeight="true" outlineLevel="0" collapsed="false">
      <c r="A75" s="30" t="s">
        <v>124</v>
      </c>
      <c r="B75" s="76"/>
      <c r="C75" s="76"/>
      <c r="D75" s="76"/>
      <c r="E75" s="76"/>
      <c r="F75" s="76"/>
      <c r="G75" s="76"/>
      <c r="H75" s="76"/>
      <c r="I75" s="76"/>
      <c r="J75" s="76"/>
      <c r="K75" s="76"/>
      <c r="L75" s="76"/>
      <c r="M75" s="74" t="n">
        <v>42</v>
      </c>
      <c r="N75" s="74" t="n">
        <v>34</v>
      </c>
      <c r="O75" s="74" t="n">
        <v>31</v>
      </c>
      <c r="P75" s="74" t="n">
        <v>30</v>
      </c>
      <c r="Q75" s="74" t="n">
        <v>4</v>
      </c>
      <c r="R75" s="74" t="n">
        <v>3</v>
      </c>
      <c r="S75" s="74" t="n">
        <v>5</v>
      </c>
      <c r="T75" s="74" t="n">
        <v>0</v>
      </c>
      <c r="U75" s="74" t="n">
        <v>2</v>
      </c>
    </row>
    <row r="76" customFormat="false" ht="15" hidden="false" customHeight="true" outlineLevel="0" collapsed="false">
      <c r="A76" s="30" t="s">
        <v>126</v>
      </c>
      <c r="B76" s="76"/>
      <c r="C76" s="76"/>
      <c r="D76" s="76"/>
      <c r="E76" s="76"/>
      <c r="F76" s="76"/>
      <c r="G76" s="76"/>
      <c r="H76" s="76"/>
      <c r="I76" s="76"/>
      <c r="J76" s="76"/>
      <c r="K76" s="76"/>
      <c r="L76" s="76"/>
      <c r="M76" s="76"/>
      <c r="N76" s="76"/>
      <c r="O76" s="74" t="n">
        <v>28</v>
      </c>
      <c r="P76" s="74" t="n">
        <v>25</v>
      </c>
      <c r="Q76" s="74" t="n">
        <v>23</v>
      </c>
      <c r="R76" s="74" t="n">
        <v>21</v>
      </c>
      <c r="S76" s="74" t="n">
        <v>7</v>
      </c>
      <c r="T76" s="74" t="n">
        <v>6</v>
      </c>
      <c r="U76" s="74" t="n">
        <v>5</v>
      </c>
    </row>
    <row r="77" customFormat="false" ht="15" hidden="false" customHeight="true" outlineLevel="0" collapsed="false">
      <c r="A77" s="30" t="s">
        <v>127</v>
      </c>
      <c r="B77" s="76"/>
      <c r="C77" s="76"/>
      <c r="D77" s="76"/>
      <c r="E77" s="76"/>
      <c r="F77" s="76"/>
      <c r="G77" s="76"/>
      <c r="H77" s="76"/>
      <c r="I77" s="76"/>
      <c r="J77" s="76"/>
      <c r="K77" s="76"/>
      <c r="L77" s="76"/>
      <c r="M77" s="76"/>
      <c r="N77" s="76"/>
      <c r="O77" s="76"/>
      <c r="P77" s="74" t="n">
        <v>31</v>
      </c>
      <c r="Q77" s="74" t="n">
        <v>24</v>
      </c>
      <c r="R77" s="74" t="n">
        <v>27</v>
      </c>
      <c r="S77" s="74" t="n">
        <v>26</v>
      </c>
      <c r="T77" s="74" t="n">
        <v>7</v>
      </c>
      <c r="U77" s="74" t="n">
        <v>4</v>
      </c>
    </row>
    <row r="78" customFormat="false" ht="15" hidden="false" customHeight="true" outlineLevel="0" collapsed="false">
      <c r="A78" s="30" t="s">
        <v>129</v>
      </c>
      <c r="B78" s="76"/>
      <c r="C78" s="76"/>
      <c r="D78" s="76"/>
      <c r="E78" s="76"/>
      <c r="F78" s="76"/>
      <c r="G78" s="76"/>
      <c r="H78" s="76"/>
      <c r="I78" s="76"/>
      <c r="J78" s="76"/>
      <c r="K78" s="76"/>
      <c r="L78" s="76"/>
      <c r="M78" s="76"/>
      <c r="N78" s="76"/>
      <c r="O78" s="76"/>
      <c r="P78" s="76"/>
      <c r="Q78" s="76"/>
      <c r="R78" s="74" t="n">
        <v>39</v>
      </c>
      <c r="S78" s="74" t="n">
        <v>33</v>
      </c>
      <c r="T78" s="74" t="n">
        <v>29</v>
      </c>
      <c r="U78" s="74" t="n">
        <v>24</v>
      </c>
    </row>
    <row r="79" customFormat="false" ht="15" hidden="false" customHeight="true" outlineLevel="0" collapsed="false">
      <c r="A79" s="30" t="s">
        <v>130</v>
      </c>
      <c r="B79" s="76"/>
      <c r="C79" s="76"/>
      <c r="D79" s="76"/>
      <c r="E79" s="76"/>
      <c r="F79" s="76"/>
      <c r="G79" s="76"/>
      <c r="H79" s="76"/>
      <c r="I79" s="76"/>
      <c r="J79" s="76"/>
      <c r="K79" s="76"/>
      <c r="L79" s="76"/>
      <c r="M79" s="76"/>
      <c r="N79" s="76"/>
      <c r="O79" s="76"/>
      <c r="P79" s="76"/>
      <c r="Q79" s="76"/>
      <c r="R79" s="76"/>
      <c r="S79" s="74" t="n">
        <v>16</v>
      </c>
      <c r="T79" s="74" t="n">
        <v>11</v>
      </c>
      <c r="U79" s="74" t="n">
        <v>13</v>
      </c>
    </row>
    <row r="80" customFormat="false" ht="15" hidden="false" customHeight="true" outlineLevel="0" collapsed="false">
      <c r="A80" s="30" t="s">
        <v>132</v>
      </c>
      <c r="B80" s="76"/>
      <c r="C80" s="76"/>
      <c r="D80" s="76"/>
      <c r="E80" s="76"/>
      <c r="F80" s="76"/>
      <c r="G80" s="76"/>
      <c r="H80" s="76"/>
      <c r="I80" s="76"/>
      <c r="J80" s="76"/>
      <c r="K80" s="76"/>
      <c r="L80" s="76"/>
      <c r="M80" s="76"/>
      <c r="N80" s="76"/>
      <c r="O80" s="76"/>
      <c r="P80" s="76"/>
      <c r="Q80" s="76"/>
      <c r="R80" s="76"/>
      <c r="S80" s="76"/>
      <c r="T80" s="76"/>
      <c r="U80" s="74" t="n">
        <v>23</v>
      </c>
    </row>
    <row r="81" customFormat="false" ht="15" hidden="false" customHeight="true" outlineLevel="0" collapsed="false">
      <c r="A81" s="34" t="s">
        <v>514</v>
      </c>
      <c r="B81" s="79"/>
      <c r="C81" s="79"/>
      <c r="D81" s="79"/>
      <c r="E81" s="79"/>
      <c r="F81" s="79"/>
      <c r="G81" s="79"/>
      <c r="H81" s="79"/>
      <c r="I81" s="79"/>
      <c r="J81" s="79" t="n">
        <v>6</v>
      </c>
      <c r="K81" s="79" t="n">
        <v>7</v>
      </c>
      <c r="L81" s="79" t="n">
        <v>38</v>
      </c>
      <c r="M81" s="79" t="n">
        <v>75</v>
      </c>
      <c r="N81" s="79" t="n">
        <v>60</v>
      </c>
      <c r="O81" s="79" t="n">
        <v>87</v>
      </c>
      <c r="P81" s="79" t="n">
        <v>93</v>
      </c>
      <c r="Q81" s="79" t="n">
        <v>53</v>
      </c>
      <c r="R81" s="79" t="n">
        <v>91</v>
      </c>
      <c r="S81" s="79" t="n">
        <v>87</v>
      </c>
      <c r="T81" s="79" t="n">
        <v>53</v>
      </c>
      <c r="U81" s="79" t="n">
        <v>71</v>
      </c>
    </row>
    <row r="83" customFormat="false" ht="19.5" hidden="false" customHeight="true" outlineLevel="0" collapsed="false">
      <c r="A83" s="65" t="s">
        <v>409</v>
      </c>
      <c r="B83" s="65"/>
      <c r="C83" s="65"/>
      <c r="D83" s="65"/>
      <c r="E83" s="65"/>
      <c r="F83" s="65"/>
      <c r="G83" s="65"/>
      <c r="H83" s="65"/>
      <c r="I83" s="65"/>
      <c r="J83" s="65"/>
      <c r="K83" s="65"/>
      <c r="L83" s="65"/>
      <c r="M83" s="65"/>
      <c r="N83" s="65"/>
      <c r="O83" s="65"/>
      <c r="P83" s="65"/>
      <c r="Q83" s="65"/>
      <c r="R83" s="65"/>
      <c r="S83" s="65"/>
      <c r="T83" s="65"/>
      <c r="U83" s="65"/>
    </row>
    <row r="84" customFormat="false" ht="15" hidden="false" customHeight="true" outlineLevel="0" collapsed="false">
      <c r="A84" s="12" t="s">
        <v>513</v>
      </c>
      <c r="B84" s="12" t="s">
        <v>113</v>
      </c>
      <c r="C84" s="12" t="s">
        <v>114</v>
      </c>
      <c r="D84" s="12" t="s">
        <v>115</v>
      </c>
      <c r="E84" s="12" t="s">
        <v>116</v>
      </c>
      <c r="F84" s="12" t="s">
        <v>117</v>
      </c>
      <c r="G84" s="12" t="s">
        <v>118</v>
      </c>
      <c r="H84" s="12" t="s">
        <v>119</v>
      </c>
      <c r="I84" s="12" t="s">
        <v>120</v>
      </c>
      <c r="J84" s="12" t="s">
        <v>121</v>
      </c>
      <c r="K84" s="12" t="s">
        <v>122</v>
      </c>
      <c r="L84" s="12" t="s">
        <v>123</v>
      </c>
      <c r="M84" s="12" t="s">
        <v>124</v>
      </c>
      <c r="N84" s="12" t="s">
        <v>125</v>
      </c>
      <c r="O84" s="12" t="s">
        <v>126</v>
      </c>
      <c r="P84" s="12" t="s">
        <v>127</v>
      </c>
      <c r="Q84" s="12" t="s">
        <v>128</v>
      </c>
      <c r="R84" s="12" t="s">
        <v>129</v>
      </c>
      <c r="S84" s="12" t="s">
        <v>130</v>
      </c>
      <c r="T84" s="12" t="s">
        <v>131</v>
      </c>
      <c r="U84" s="12" t="s">
        <v>132</v>
      </c>
    </row>
    <row r="85" customFormat="false" ht="15" hidden="false" customHeight="true" outlineLevel="0" collapsed="false">
      <c r="A85" s="30" t="s">
        <v>113</v>
      </c>
      <c r="B85" s="74" t="n">
        <v>4</v>
      </c>
      <c r="C85" s="74" t="n">
        <v>2</v>
      </c>
      <c r="D85" s="74" t="n">
        <v>2</v>
      </c>
      <c r="E85" s="74" t="n">
        <v>1</v>
      </c>
      <c r="F85" s="74" t="n">
        <v>2</v>
      </c>
      <c r="G85" s="74" t="n">
        <v>2</v>
      </c>
      <c r="H85" s="74" t="n">
        <v>1</v>
      </c>
      <c r="I85" s="74" t="n">
        <v>1</v>
      </c>
      <c r="J85" s="74" t="n">
        <v>1</v>
      </c>
      <c r="K85" s="74" t="n">
        <v>0</v>
      </c>
      <c r="L85" s="74" t="n">
        <v>0</v>
      </c>
      <c r="M85" s="74" t="n">
        <v>0</v>
      </c>
      <c r="N85" s="74" t="n">
        <v>0</v>
      </c>
      <c r="O85" s="74" t="n">
        <v>0</v>
      </c>
      <c r="P85" s="74" t="n">
        <v>0</v>
      </c>
      <c r="Q85" s="74" t="n">
        <v>0</v>
      </c>
      <c r="R85" s="74" t="n">
        <v>0</v>
      </c>
      <c r="S85" s="74" t="n">
        <v>0</v>
      </c>
      <c r="T85" s="74" t="n">
        <v>0</v>
      </c>
      <c r="U85" s="74" t="n">
        <v>0</v>
      </c>
    </row>
    <row r="86" customFormat="false" ht="15" hidden="false" customHeight="true" outlineLevel="0" collapsed="false">
      <c r="A86" s="30" t="s">
        <v>114</v>
      </c>
      <c r="B86" s="76"/>
      <c r="C86" s="74" t="n">
        <v>27</v>
      </c>
      <c r="D86" s="74" t="n">
        <v>20</v>
      </c>
      <c r="E86" s="74" t="n">
        <v>6</v>
      </c>
      <c r="F86" s="74" t="n">
        <v>16</v>
      </c>
      <c r="G86" s="74" t="n">
        <v>12</v>
      </c>
      <c r="H86" s="74" t="n">
        <v>10</v>
      </c>
      <c r="I86" s="74" t="n">
        <v>6</v>
      </c>
      <c r="J86" s="74" t="n">
        <v>3</v>
      </c>
      <c r="K86" s="74" t="n">
        <v>3</v>
      </c>
      <c r="L86" s="74" t="n">
        <v>1</v>
      </c>
      <c r="M86" s="74" t="n">
        <v>0</v>
      </c>
      <c r="N86" s="74" t="n">
        <v>0</v>
      </c>
      <c r="O86" s="74" t="n">
        <v>0</v>
      </c>
      <c r="P86" s="74" t="n">
        <v>0</v>
      </c>
      <c r="Q86" s="74" t="n">
        <v>0</v>
      </c>
      <c r="R86" s="74" t="n">
        <v>0</v>
      </c>
      <c r="S86" s="74" t="n">
        <v>0</v>
      </c>
      <c r="T86" s="74" t="n">
        <v>0</v>
      </c>
      <c r="U86" s="74" t="n">
        <v>0</v>
      </c>
    </row>
    <row r="87" customFormat="false" ht="15" hidden="false" customHeight="true" outlineLevel="0" collapsed="false">
      <c r="A87" s="30" t="s">
        <v>115</v>
      </c>
      <c r="B87" s="76"/>
      <c r="C87" s="76"/>
      <c r="D87" s="74" t="n">
        <v>25</v>
      </c>
      <c r="E87" s="74" t="n">
        <v>9</v>
      </c>
      <c r="F87" s="74" t="n">
        <v>18</v>
      </c>
      <c r="G87" s="74" t="n">
        <v>17</v>
      </c>
      <c r="H87" s="74" t="n">
        <v>11</v>
      </c>
      <c r="I87" s="74" t="n">
        <v>13</v>
      </c>
      <c r="J87" s="74" t="n">
        <v>10</v>
      </c>
      <c r="K87" s="74" t="n">
        <v>2</v>
      </c>
      <c r="L87" s="74" t="n">
        <v>1</v>
      </c>
      <c r="M87" s="74" t="n">
        <v>2</v>
      </c>
      <c r="N87" s="74" t="n">
        <v>0</v>
      </c>
      <c r="O87" s="74" t="n">
        <v>2</v>
      </c>
      <c r="P87" s="74" t="n">
        <v>1</v>
      </c>
      <c r="Q87" s="74" t="n">
        <v>0</v>
      </c>
      <c r="R87" s="74" t="n">
        <v>0</v>
      </c>
      <c r="S87" s="74" t="n">
        <v>0</v>
      </c>
      <c r="T87" s="74" t="n">
        <v>0</v>
      </c>
      <c r="U87" s="74" t="n">
        <v>0</v>
      </c>
    </row>
    <row r="88" customFormat="false" ht="15" hidden="false" customHeight="true" outlineLevel="0" collapsed="false">
      <c r="A88" s="30" t="s">
        <v>116</v>
      </c>
      <c r="B88" s="76"/>
      <c r="C88" s="76"/>
      <c r="D88" s="76"/>
      <c r="E88" s="74" t="n">
        <v>10</v>
      </c>
      <c r="F88" s="74" t="n">
        <v>9</v>
      </c>
      <c r="G88" s="74" t="n">
        <v>6</v>
      </c>
      <c r="H88" s="74" t="n">
        <v>5</v>
      </c>
      <c r="I88" s="74" t="n">
        <v>5</v>
      </c>
      <c r="J88" s="74" t="n">
        <v>3</v>
      </c>
      <c r="K88" s="74" t="n">
        <v>2</v>
      </c>
      <c r="L88" s="74" t="n">
        <v>2</v>
      </c>
      <c r="M88" s="74" t="n">
        <v>0</v>
      </c>
      <c r="N88" s="74" t="n">
        <v>0</v>
      </c>
      <c r="O88" s="74" t="n">
        <v>0</v>
      </c>
      <c r="P88" s="74" t="n">
        <v>0</v>
      </c>
      <c r="Q88" s="74" t="n">
        <v>1</v>
      </c>
      <c r="R88" s="74" t="n">
        <v>2</v>
      </c>
      <c r="S88" s="74" t="n">
        <v>2</v>
      </c>
      <c r="T88" s="74" t="n">
        <v>1</v>
      </c>
      <c r="U88" s="74" t="n">
        <v>1</v>
      </c>
    </row>
    <row r="89" customFormat="false" ht="15" hidden="false" customHeight="true" outlineLevel="0" collapsed="false">
      <c r="A89" s="30" t="s">
        <v>117</v>
      </c>
      <c r="B89" s="76"/>
      <c r="C89" s="76"/>
      <c r="D89" s="76"/>
      <c r="E89" s="76"/>
      <c r="F89" s="74" t="n">
        <v>21</v>
      </c>
      <c r="G89" s="74" t="n">
        <v>18</v>
      </c>
      <c r="H89" s="74" t="n">
        <v>5</v>
      </c>
      <c r="I89" s="74" t="n">
        <v>16</v>
      </c>
      <c r="J89" s="74" t="n">
        <v>15</v>
      </c>
      <c r="K89" s="74" t="n">
        <v>14</v>
      </c>
      <c r="L89" s="74" t="n">
        <v>9</v>
      </c>
      <c r="M89" s="74" t="n">
        <v>7</v>
      </c>
      <c r="N89" s="74" t="n">
        <v>2</v>
      </c>
      <c r="O89" s="74" t="n">
        <v>2</v>
      </c>
      <c r="P89" s="74" t="n">
        <v>0</v>
      </c>
      <c r="Q89" s="74" t="n">
        <v>0</v>
      </c>
      <c r="R89" s="74" t="n">
        <v>0</v>
      </c>
      <c r="S89" s="74" t="n">
        <v>0</v>
      </c>
      <c r="T89" s="74" t="n">
        <v>0</v>
      </c>
      <c r="U89" s="74" t="n">
        <v>0</v>
      </c>
    </row>
    <row r="90" customFormat="false" ht="15" hidden="false" customHeight="true" outlineLevel="0" collapsed="false">
      <c r="A90" s="30" t="s">
        <v>118</v>
      </c>
      <c r="B90" s="76"/>
      <c r="C90" s="76"/>
      <c r="D90" s="76"/>
      <c r="E90" s="76"/>
      <c r="F90" s="76"/>
      <c r="G90" s="74" t="n">
        <v>15</v>
      </c>
      <c r="H90" s="74" t="n">
        <v>7</v>
      </c>
      <c r="I90" s="74" t="n">
        <v>12</v>
      </c>
      <c r="J90" s="74" t="n">
        <v>10</v>
      </c>
      <c r="K90" s="74" t="n">
        <v>8</v>
      </c>
      <c r="L90" s="74" t="n">
        <v>7</v>
      </c>
      <c r="M90" s="74" t="n">
        <v>5</v>
      </c>
      <c r="N90" s="74" t="n">
        <v>2</v>
      </c>
      <c r="O90" s="74" t="n">
        <v>2</v>
      </c>
      <c r="P90" s="74" t="n">
        <v>1</v>
      </c>
      <c r="Q90" s="74" t="n">
        <v>0</v>
      </c>
      <c r="R90" s="74" t="n">
        <v>2</v>
      </c>
      <c r="S90" s="74" t="n">
        <v>1</v>
      </c>
      <c r="T90" s="74" t="n">
        <v>1</v>
      </c>
      <c r="U90" s="74" t="n">
        <v>0</v>
      </c>
    </row>
    <row r="91" customFormat="false" ht="15" hidden="false" customHeight="true" outlineLevel="0" collapsed="false">
      <c r="A91" s="30" t="s">
        <v>119</v>
      </c>
      <c r="B91" s="76"/>
      <c r="C91" s="76"/>
      <c r="D91" s="76"/>
      <c r="E91" s="76"/>
      <c r="F91" s="76"/>
      <c r="G91" s="76"/>
      <c r="H91" s="74" t="n">
        <v>5</v>
      </c>
      <c r="I91" s="74" t="n">
        <v>5</v>
      </c>
      <c r="J91" s="74" t="n">
        <v>3</v>
      </c>
      <c r="K91" s="74" t="n">
        <v>2</v>
      </c>
      <c r="L91" s="74" t="n">
        <v>3</v>
      </c>
      <c r="M91" s="74" t="n">
        <v>2</v>
      </c>
      <c r="N91" s="74" t="n">
        <v>0</v>
      </c>
      <c r="O91" s="74" t="n">
        <v>1</v>
      </c>
      <c r="P91" s="74" t="n">
        <v>0</v>
      </c>
      <c r="Q91" s="74" t="n">
        <v>0</v>
      </c>
      <c r="R91" s="74" t="n">
        <v>0</v>
      </c>
      <c r="S91" s="74" t="n">
        <v>0</v>
      </c>
      <c r="T91" s="74" t="n">
        <v>0</v>
      </c>
      <c r="U91" s="74" t="n">
        <v>0</v>
      </c>
    </row>
    <row r="92" customFormat="false" ht="15" hidden="false" customHeight="true" outlineLevel="0" collapsed="false">
      <c r="A92" s="30" t="s">
        <v>120</v>
      </c>
      <c r="B92" s="76"/>
      <c r="C92" s="76"/>
      <c r="D92" s="76"/>
      <c r="E92" s="76"/>
      <c r="F92" s="76"/>
      <c r="G92" s="76"/>
      <c r="H92" s="76"/>
      <c r="I92" s="74" t="n">
        <v>32</v>
      </c>
      <c r="J92" s="74" t="n">
        <v>26</v>
      </c>
      <c r="K92" s="74" t="n">
        <v>12</v>
      </c>
      <c r="L92" s="74" t="n">
        <v>21</v>
      </c>
      <c r="M92" s="74" t="n">
        <v>17</v>
      </c>
      <c r="N92" s="74" t="n">
        <v>6</v>
      </c>
      <c r="O92" s="74" t="n">
        <v>8</v>
      </c>
      <c r="P92" s="74" t="n">
        <v>6</v>
      </c>
      <c r="Q92" s="74" t="n">
        <v>2</v>
      </c>
      <c r="R92" s="74" t="n">
        <v>3</v>
      </c>
      <c r="S92" s="74" t="n">
        <v>2</v>
      </c>
      <c r="T92" s="74" t="n">
        <v>0</v>
      </c>
      <c r="U92" s="74" t="n">
        <v>1</v>
      </c>
    </row>
    <row r="93" customFormat="false" ht="15" hidden="false" customHeight="true" outlineLevel="0" collapsed="false">
      <c r="A93" s="30" t="s">
        <v>121</v>
      </c>
      <c r="B93" s="76"/>
      <c r="C93" s="76"/>
      <c r="D93" s="76"/>
      <c r="E93" s="76"/>
      <c r="F93" s="76"/>
      <c r="G93" s="76"/>
      <c r="H93" s="76"/>
      <c r="I93" s="76"/>
      <c r="J93" s="74" t="n">
        <v>25</v>
      </c>
      <c r="K93" s="74" t="n">
        <v>10</v>
      </c>
      <c r="L93" s="74" t="n">
        <v>14</v>
      </c>
      <c r="M93" s="74" t="n">
        <v>15</v>
      </c>
      <c r="N93" s="74" t="n">
        <v>11</v>
      </c>
      <c r="O93" s="74" t="n">
        <v>12</v>
      </c>
      <c r="P93" s="74" t="n">
        <v>7</v>
      </c>
      <c r="Q93" s="74" t="n">
        <v>3</v>
      </c>
      <c r="R93" s="74" t="n">
        <v>2</v>
      </c>
      <c r="S93" s="74" t="n">
        <v>1</v>
      </c>
      <c r="T93" s="74" t="n">
        <v>2</v>
      </c>
      <c r="U93" s="74" t="n">
        <v>3</v>
      </c>
    </row>
    <row r="94" customFormat="false" ht="15" hidden="false" customHeight="true" outlineLevel="0" collapsed="false">
      <c r="A94" s="30" t="s">
        <v>122</v>
      </c>
      <c r="B94" s="76"/>
      <c r="C94" s="76"/>
      <c r="D94" s="76"/>
      <c r="E94" s="76"/>
      <c r="F94" s="76"/>
      <c r="G94" s="76"/>
      <c r="H94" s="76"/>
      <c r="I94" s="76"/>
      <c r="J94" s="76"/>
      <c r="K94" s="74" t="n">
        <v>15</v>
      </c>
      <c r="L94" s="74" t="n">
        <v>12</v>
      </c>
      <c r="M94" s="74" t="n">
        <v>12</v>
      </c>
      <c r="N94" s="74" t="n">
        <v>8</v>
      </c>
      <c r="O94" s="74" t="n">
        <v>10</v>
      </c>
      <c r="P94" s="74" t="n">
        <v>7</v>
      </c>
      <c r="Q94" s="74" t="n">
        <v>5</v>
      </c>
      <c r="R94" s="74" t="n">
        <v>4</v>
      </c>
      <c r="S94" s="74" t="n">
        <v>2</v>
      </c>
      <c r="T94" s="74" t="n">
        <v>0</v>
      </c>
      <c r="U94" s="74" t="n">
        <v>1</v>
      </c>
    </row>
    <row r="95" customFormat="false" ht="15" hidden="false" customHeight="true" outlineLevel="0" collapsed="false">
      <c r="A95" s="30" t="s">
        <v>123</v>
      </c>
      <c r="B95" s="76"/>
      <c r="C95" s="76"/>
      <c r="D95" s="76"/>
      <c r="E95" s="76"/>
      <c r="F95" s="76"/>
      <c r="G95" s="76"/>
      <c r="H95" s="76"/>
      <c r="I95" s="76"/>
      <c r="J95" s="76"/>
      <c r="K95" s="76"/>
      <c r="L95" s="74" t="n">
        <v>27</v>
      </c>
      <c r="M95" s="74" t="n">
        <v>23</v>
      </c>
      <c r="N95" s="74" t="n">
        <v>10</v>
      </c>
      <c r="O95" s="74" t="n">
        <v>19</v>
      </c>
      <c r="P95" s="74" t="n">
        <v>20</v>
      </c>
      <c r="Q95" s="74" t="n">
        <v>14</v>
      </c>
      <c r="R95" s="74" t="n">
        <v>12</v>
      </c>
      <c r="S95" s="74" t="n">
        <v>7</v>
      </c>
      <c r="T95" s="74" t="n">
        <v>5</v>
      </c>
      <c r="U95" s="74" t="n">
        <v>1</v>
      </c>
    </row>
    <row r="96" customFormat="false" ht="15" hidden="false" customHeight="true" outlineLevel="0" collapsed="false">
      <c r="A96" s="30" t="s">
        <v>124</v>
      </c>
      <c r="B96" s="76"/>
      <c r="C96" s="76"/>
      <c r="D96" s="76"/>
      <c r="E96" s="76"/>
      <c r="F96" s="76"/>
      <c r="G96" s="76"/>
      <c r="H96" s="76"/>
      <c r="I96" s="76"/>
      <c r="J96" s="76"/>
      <c r="K96" s="76"/>
      <c r="L96" s="76"/>
      <c r="M96" s="74" t="n">
        <v>42</v>
      </c>
      <c r="N96" s="74" t="n">
        <v>26</v>
      </c>
      <c r="O96" s="74" t="n">
        <v>32</v>
      </c>
      <c r="P96" s="74" t="n">
        <v>24</v>
      </c>
      <c r="Q96" s="74" t="n">
        <v>19</v>
      </c>
      <c r="R96" s="74" t="n">
        <v>21</v>
      </c>
      <c r="S96" s="74" t="n">
        <v>9</v>
      </c>
      <c r="T96" s="74" t="n">
        <v>5</v>
      </c>
      <c r="U96" s="74" t="n">
        <v>4</v>
      </c>
    </row>
    <row r="97" customFormat="false" ht="15" hidden="false" customHeight="true" outlineLevel="0" collapsed="false">
      <c r="A97" s="30" t="s">
        <v>125</v>
      </c>
      <c r="B97" s="76"/>
      <c r="C97" s="76"/>
      <c r="D97" s="76"/>
      <c r="E97" s="76"/>
      <c r="F97" s="76"/>
      <c r="G97" s="76"/>
      <c r="H97" s="76"/>
      <c r="I97" s="76"/>
      <c r="J97" s="76"/>
      <c r="K97" s="76"/>
      <c r="L97" s="76"/>
      <c r="M97" s="76"/>
      <c r="N97" s="74" t="n">
        <v>11</v>
      </c>
      <c r="O97" s="74" t="n">
        <v>10</v>
      </c>
      <c r="P97" s="74" t="n">
        <v>6</v>
      </c>
      <c r="Q97" s="74" t="n">
        <v>7</v>
      </c>
      <c r="R97" s="74" t="n">
        <v>9</v>
      </c>
      <c r="S97" s="74" t="n">
        <v>3</v>
      </c>
      <c r="T97" s="74" t="n">
        <v>2</v>
      </c>
      <c r="U97" s="74" t="n">
        <v>2</v>
      </c>
    </row>
    <row r="98" customFormat="false" ht="15" hidden="false" customHeight="true" outlineLevel="0" collapsed="false">
      <c r="A98" s="30" t="s">
        <v>126</v>
      </c>
      <c r="B98" s="76"/>
      <c r="C98" s="76"/>
      <c r="D98" s="76"/>
      <c r="E98" s="76"/>
      <c r="F98" s="76"/>
      <c r="G98" s="76"/>
      <c r="H98" s="76"/>
      <c r="I98" s="76"/>
      <c r="J98" s="76"/>
      <c r="K98" s="76"/>
      <c r="L98" s="76"/>
      <c r="M98" s="76"/>
      <c r="N98" s="76"/>
      <c r="O98" s="74" t="n">
        <v>38</v>
      </c>
      <c r="P98" s="74" t="n">
        <v>24</v>
      </c>
      <c r="Q98" s="74" t="n">
        <v>11</v>
      </c>
      <c r="R98" s="74" t="n">
        <v>20</v>
      </c>
      <c r="S98" s="74" t="n">
        <v>18</v>
      </c>
      <c r="T98" s="74" t="n">
        <v>10</v>
      </c>
      <c r="U98" s="74" t="n">
        <v>10</v>
      </c>
    </row>
    <row r="99" customFormat="false" ht="15" hidden="false" customHeight="true" outlineLevel="0" collapsed="false">
      <c r="A99" s="30" t="s">
        <v>127</v>
      </c>
      <c r="B99" s="76"/>
      <c r="C99" s="76"/>
      <c r="D99" s="76"/>
      <c r="E99" s="76"/>
      <c r="F99" s="76"/>
      <c r="G99" s="76"/>
      <c r="H99" s="76"/>
      <c r="I99" s="76"/>
      <c r="J99" s="76"/>
      <c r="K99" s="76"/>
      <c r="L99" s="76"/>
      <c r="M99" s="76"/>
      <c r="N99" s="76"/>
      <c r="O99" s="76"/>
      <c r="P99" s="74" t="n">
        <v>35</v>
      </c>
      <c r="Q99" s="74" t="n">
        <v>12</v>
      </c>
      <c r="R99" s="74" t="n">
        <v>30</v>
      </c>
      <c r="S99" s="74" t="n">
        <v>24</v>
      </c>
      <c r="T99" s="74" t="n">
        <v>17</v>
      </c>
      <c r="U99" s="74" t="n">
        <v>14</v>
      </c>
    </row>
    <row r="100" customFormat="false" ht="15" hidden="false" customHeight="true" outlineLevel="0" collapsed="false">
      <c r="A100" s="30" t="s">
        <v>128</v>
      </c>
      <c r="B100" s="76"/>
      <c r="C100" s="76"/>
      <c r="D100" s="76"/>
      <c r="E100" s="76"/>
      <c r="F100" s="76"/>
      <c r="G100" s="76"/>
      <c r="H100" s="76"/>
      <c r="I100" s="76"/>
      <c r="J100" s="76"/>
      <c r="K100" s="76"/>
      <c r="L100" s="76"/>
      <c r="M100" s="76"/>
      <c r="N100" s="76"/>
      <c r="O100" s="76"/>
      <c r="P100" s="76"/>
      <c r="Q100" s="74" t="n">
        <v>8</v>
      </c>
      <c r="R100" s="74" t="n">
        <v>6</v>
      </c>
      <c r="S100" s="74" t="n">
        <v>3</v>
      </c>
      <c r="T100" s="74" t="n">
        <v>3</v>
      </c>
      <c r="U100" s="74" t="n">
        <v>5</v>
      </c>
    </row>
    <row r="101" customFormat="false" ht="15" hidden="false" customHeight="true" outlineLevel="0" collapsed="false">
      <c r="A101" s="30" t="s">
        <v>129</v>
      </c>
      <c r="B101" s="76"/>
      <c r="C101" s="76"/>
      <c r="D101" s="76"/>
      <c r="E101" s="76"/>
      <c r="F101" s="76"/>
      <c r="G101" s="76"/>
      <c r="H101" s="76"/>
      <c r="I101" s="76"/>
      <c r="J101" s="76"/>
      <c r="K101" s="76"/>
      <c r="L101" s="76"/>
      <c r="M101" s="76"/>
      <c r="N101" s="76"/>
      <c r="O101" s="76"/>
      <c r="P101" s="76"/>
      <c r="Q101" s="76"/>
      <c r="R101" s="74" t="n">
        <v>29</v>
      </c>
      <c r="S101" s="74" t="n">
        <v>20</v>
      </c>
      <c r="T101" s="74" t="n">
        <v>10</v>
      </c>
      <c r="U101" s="74" t="n">
        <v>21</v>
      </c>
    </row>
    <row r="102" customFormat="false" ht="15" hidden="false" customHeight="true" outlineLevel="0" collapsed="false">
      <c r="A102" s="30" t="s">
        <v>130</v>
      </c>
      <c r="B102" s="76"/>
      <c r="C102" s="76"/>
      <c r="D102" s="76"/>
      <c r="E102" s="76"/>
      <c r="F102" s="76"/>
      <c r="G102" s="76"/>
      <c r="H102" s="76"/>
      <c r="I102" s="76"/>
      <c r="J102" s="76"/>
      <c r="K102" s="76"/>
      <c r="L102" s="76"/>
      <c r="M102" s="76"/>
      <c r="N102" s="76"/>
      <c r="O102" s="76"/>
      <c r="P102" s="76"/>
      <c r="Q102" s="76"/>
      <c r="R102" s="76"/>
      <c r="S102" s="74" t="n">
        <v>21</v>
      </c>
      <c r="T102" s="74" t="n">
        <v>13</v>
      </c>
      <c r="U102" s="74" t="n">
        <v>15</v>
      </c>
    </row>
    <row r="103" customFormat="false" ht="15" hidden="false" customHeight="true" outlineLevel="0" collapsed="false">
      <c r="A103" s="30" t="s">
        <v>131</v>
      </c>
      <c r="B103" s="76"/>
      <c r="C103" s="76"/>
      <c r="D103" s="76"/>
      <c r="E103" s="76"/>
      <c r="F103" s="76"/>
      <c r="G103" s="76"/>
      <c r="H103" s="76"/>
      <c r="I103" s="76"/>
      <c r="J103" s="76"/>
      <c r="K103" s="76"/>
      <c r="L103" s="76"/>
      <c r="M103" s="76"/>
      <c r="N103" s="76"/>
      <c r="O103" s="76"/>
      <c r="P103" s="76"/>
      <c r="Q103" s="76"/>
      <c r="R103" s="76"/>
      <c r="S103" s="76"/>
      <c r="T103" s="74" t="n">
        <v>9</v>
      </c>
      <c r="U103" s="74" t="n">
        <v>9</v>
      </c>
    </row>
    <row r="104" customFormat="false" ht="15" hidden="false" customHeight="true" outlineLevel="0" collapsed="false">
      <c r="A104" s="30" t="s">
        <v>132</v>
      </c>
      <c r="B104" s="76"/>
      <c r="C104" s="76"/>
      <c r="D104" s="76"/>
      <c r="E104" s="76"/>
      <c r="F104" s="76"/>
      <c r="G104" s="76"/>
      <c r="H104" s="76"/>
      <c r="I104" s="76"/>
      <c r="J104" s="76"/>
      <c r="K104" s="76"/>
      <c r="L104" s="76"/>
      <c r="M104" s="76"/>
      <c r="N104" s="76"/>
      <c r="O104" s="76"/>
      <c r="P104" s="76"/>
      <c r="Q104" s="76"/>
      <c r="R104" s="76"/>
      <c r="S104" s="76"/>
      <c r="T104" s="76"/>
      <c r="U104" s="74" t="n">
        <v>13</v>
      </c>
    </row>
    <row r="105" customFormat="false" ht="15" hidden="false" customHeight="true" outlineLevel="0" collapsed="false">
      <c r="A105" s="34" t="s">
        <v>514</v>
      </c>
      <c r="B105" s="79" t="n">
        <v>4</v>
      </c>
      <c r="C105" s="79" t="n">
        <v>29</v>
      </c>
      <c r="D105" s="79" t="n">
        <v>47</v>
      </c>
      <c r="E105" s="79" t="n">
        <v>26</v>
      </c>
      <c r="F105" s="79" t="n">
        <v>66</v>
      </c>
      <c r="G105" s="79" t="n">
        <v>70</v>
      </c>
      <c r="H105" s="79" t="n">
        <v>44</v>
      </c>
      <c r="I105" s="79" t="n">
        <v>90</v>
      </c>
      <c r="J105" s="79" t="n">
        <v>96</v>
      </c>
      <c r="K105" s="79" t="n">
        <v>68</v>
      </c>
      <c r="L105" s="79" t="n">
        <v>97</v>
      </c>
      <c r="M105" s="79" t="n">
        <v>125</v>
      </c>
      <c r="N105" s="79" t="n">
        <v>76</v>
      </c>
      <c r="O105" s="79" t="n">
        <v>136</v>
      </c>
      <c r="P105" s="79" t="n">
        <v>131</v>
      </c>
      <c r="Q105" s="79" t="n">
        <v>82</v>
      </c>
      <c r="R105" s="79" t="n">
        <v>140</v>
      </c>
      <c r="S105" s="79" t="n">
        <v>113</v>
      </c>
      <c r="T105" s="79" t="n">
        <v>78</v>
      </c>
      <c r="U105" s="79" t="n">
        <v>100</v>
      </c>
    </row>
    <row r="107" customFormat="false" ht="19.5" hidden="false" customHeight="true" outlineLevel="0" collapsed="false">
      <c r="A107" s="65" t="s">
        <v>410</v>
      </c>
      <c r="B107" s="65"/>
      <c r="C107" s="65"/>
      <c r="D107" s="65"/>
      <c r="E107" s="65"/>
      <c r="F107" s="65"/>
      <c r="G107" s="65"/>
      <c r="H107" s="65"/>
      <c r="I107" s="65"/>
      <c r="J107" s="65"/>
      <c r="K107" s="65"/>
      <c r="L107" s="65"/>
      <c r="M107" s="65"/>
      <c r="N107" s="65"/>
      <c r="O107" s="65"/>
      <c r="P107" s="65"/>
      <c r="Q107" s="65"/>
      <c r="R107" s="65"/>
      <c r="S107" s="65"/>
      <c r="T107" s="65"/>
      <c r="U107" s="65"/>
    </row>
    <row r="108" customFormat="false" ht="15" hidden="false" customHeight="true" outlineLevel="0" collapsed="false">
      <c r="A108" s="12" t="s">
        <v>513</v>
      </c>
      <c r="B108" s="12" t="s">
        <v>113</v>
      </c>
      <c r="C108" s="12" t="s">
        <v>114</v>
      </c>
      <c r="D108" s="12" t="s">
        <v>115</v>
      </c>
      <c r="E108" s="12" t="s">
        <v>116</v>
      </c>
      <c r="F108" s="12" t="s">
        <v>117</v>
      </c>
      <c r="G108" s="12" t="s">
        <v>118</v>
      </c>
      <c r="H108" s="12" t="s">
        <v>119</v>
      </c>
      <c r="I108" s="12" t="s">
        <v>120</v>
      </c>
      <c r="J108" s="12" t="s">
        <v>121</v>
      </c>
      <c r="K108" s="12" t="s">
        <v>122</v>
      </c>
      <c r="L108" s="12" t="s">
        <v>123</v>
      </c>
      <c r="M108" s="12" t="s">
        <v>124</v>
      </c>
      <c r="N108" s="12" t="s">
        <v>125</v>
      </c>
      <c r="O108" s="12" t="s">
        <v>126</v>
      </c>
      <c r="P108" s="12" t="s">
        <v>127</v>
      </c>
      <c r="Q108" s="12" t="s">
        <v>128</v>
      </c>
      <c r="R108" s="12" t="s">
        <v>129</v>
      </c>
      <c r="S108" s="12" t="s">
        <v>130</v>
      </c>
      <c r="T108" s="12" t="s">
        <v>131</v>
      </c>
      <c r="U108" s="12" t="s">
        <v>132</v>
      </c>
    </row>
    <row r="109" customFormat="false" ht="15" hidden="false" customHeight="true" outlineLevel="0" collapsed="false">
      <c r="A109" s="30" t="s">
        <v>113</v>
      </c>
      <c r="B109" s="74" t="n">
        <v>7</v>
      </c>
      <c r="C109" s="74" t="n">
        <v>6</v>
      </c>
      <c r="D109" s="74" t="n">
        <v>6</v>
      </c>
      <c r="E109" s="74" t="n">
        <v>3</v>
      </c>
      <c r="F109" s="74" t="n">
        <v>5</v>
      </c>
      <c r="G109" s="74" t="n">
        <v>5</v>
      </c>
      <c r="H109" s="74" t="n">
        <v>4</v>
      </c>
      <c r="I109" s="74" t="n">
        <v>3</v>
      </c>
      <c r="J109" s="74" t="n">
        <v>2</v>
      </c>
      <c r="K109" s="74" t="n">
        <v>0</v>
      </c>
      <c r="L109" s="74" t="n">
        <v>1</v>
      </c>
      <c r="M109" s="74" t="n">
        <v>1</v>
      </c>
      <c r="N109" s="74" t="n">
        <v>1</v>
      </c>
      <c r="O109" s="74" t="n">
        <v>1</v>
      </c>
      <c r="P109" s="74" t="n">
        <v>0</v>
      </c>
      <c r="Q109" s="74" t="n">
        <v>0</v>
      </c>
      <c r="R109" s="74" t="n">
        <v>0</v>
      </c>
      <c r="S109" s="74" t="n">
        <v>0</v>
      </c>
      <c r="T109" s="74" t="n">
        <v>0</v>
      </c>
      <c r="U109" s="74" t="n">
        <v>0</v>
      </c>
    </row>
    <row r="110" customFormat="false" ht="15" hidden="false" customHeight="true" outlineLevel="0" collapsed="false">
      <c r="A110" s="30" t="s">
        <v>114</v>
      </c>
      <c r="B110" s="76"/>
      <c r="C110" s="74" t="n">
        <v>20</v>
      </c>
      <c r="D110" s="74" t="n">
        <v>19</v>
      </c>
      <c r="E110" s="74" t="n">
        <v>12</v>
      </c>
      <c r="F110" s="74" t="n">
        <v>18</v>
      </c>
      <c r="G110" s="74" t="n">
        <v>15</v>
      </c>
      <c r="H110" s="74" t="n">
        <v>12</v>
      </c>
      <c r="I110" s="74" t="n">
        <v>11</v>
      </c>
      <c r="J110" s="74" t="n">
        <v>4</v>
      </c>
      <c r="K110" s="74" t="n">
        <v>1</v>
      </c>
      <c r="L110" s="74" t="n">
        <v>2</v>
      </c>
      <c r="M110" s="74" t="n">
        <v>1</v>
      </c>
      <c r="N110" s="74" t="n">
        <v>1</v>
      </c>
      <c r="O110" s="74" t="n">
        <v>1</v>
      </c>
      <c r="P110" s="74" t="n">
        <v>0</v>
      </c>
      <c r="Q110" s="74" t="n">
        <v>0</v>
      </c>
      <c r="R110" s="74" t="n">
        <v>0</v>
      </c>
      <c r="S110" s="74" t="n">
        <v>0</v>
      </c>
      <c r="T110" s="74" t="n">
        <v>0</v>
      </c>
      <c r="U110" s="74" t="n">
        <v>0</v>
      </c>
    </row>
    <row r="111" customFormat="false" ht="15" hidden="false" customHeight="true" outlineLevel="0" collapsed="false">
      <c r="A111" s="30" t="s">
        <v>115</v>
      </c>
      <c r="B111" s="76"/>
      <c r="C111" s="76"/>
      <c r="D111" s="74" t="n">
        <v>18</v>
      </c>
      <c r="E111" s="74" t="n">
        <v>9</v>
      </c>
      <c r="F111" s="74" t="n">
        <v>13</v>
      </c>
      <c r="G111" s="74" t="n">
        <v>12</v>
      </c>
      <c r="H111" s="74" t="n">
        <v>7</v>
      </c>
      <c r="I111" s="74" t="n">
        <v>9</v>
      </c>
      <c r="J111" s="74" t="n">
        <v>5</v>
      </c>
      <c r="K111" s="74" t="n">
        <v>5</v>
      </c>
      <c r="L111" s="74" t="n">
        <v>3</v>
      </c>
      <c r="M111" s="74" t="n">
        <v>1</v>
      </c>
      <c r="N111" s="74" t="n">
        <v>1</v>
      </c>
      <c r="O111" s="74" t="n">
        <v>0</v>
      </c>
      <c r="P111" s="74" t="n">
        <v>1</v>
      </c>
      <c r="Q111" s="74" t="n">
        <v>0</v>
      </c>
      <c r="R111" s="74" t="n">
        <v>1</v>
      </c>
      <c r="S111" s="74" t="n">
        <v>0</v>
      </c>
      <c r="T111" s="74" t="n">
        <v>0</v>
      </c>
      <c r="U111" s="74" t="n">
        <v>0</v>
      </c>
    </row>
    <row r="112" customFormat="false" ht="15" hidden="false" customHeight="true" outlineLevel="0" collapsed="false">
      <c r="A112" s="30" t="s">
        <v>116</v>
      </c>
      <c r="B112" s="76"/>
      <c r="C112" s="76"/>
      <c r="D112" s="76"/>
      <c r="E112" s="74" t="n">
        <v>7</v>
      </c>
      <c r="F112" s="74" t="n">
        <v>4</v>
      </c>
      <c r="G112" s="74" t="n">
        <v>3</v>
      </c>
      <c r="H112" s="74" t="n">
        <v>4</v>
      </c>
      <c r="I112" s="74" t="n">
        <v>4</v>
      </c>
      <c r="J112" s="74" t="n">
        <v>1</v>
      </c>
      <c r="K112" s="74" t="n">
        <v>1</v>
      </c>
      <c r="L112" s="74" t="n">
        <v>1</v>
      </c>
      <c r="M112" s="74" t="n">
        <v>0</v>
      </c>
      <c r="N112" s="74" t="n">
        <v>1</v>
      </c>
      <c r="O112" s="74" t="n">
        <v>1</v>
      </c>
      <c r="P112" s="74" t="n">
        <v>1</v>
      </c>
      <c r="Q112" s="74" t="n">
        <v>0</v>
      </c>
      <c r="R112" s="74" t="n">
        <v>0</v>
      </c>
      <c r="S112" s="74" t="n">
        <v>0</v>
      </c>
      <c r="T112" s="74" t="n">
        <v>0</v>
      </c>
      <c r="U112" s="74" t="n">
        <v>0</v>
      </c>
    </row>
    <row r="113" customFormat="false" ht="15" hidden="false" customHeight="true" outlineLevel="0" collapsed="false">
      <c r="A113" s="30" t="s">
        <v>117</v>
      </c>
      <c r="B113" s="76"/>
      <c r="C113" s="76"/>
      <c r="D113" s="76"/>
      <c r="E113" s="76"/>
      <c r="F113" s="74" t="n">
        <v>22</v>
      </c>
      <c r="G113" s="74" t="n">
        <v>19</v>
      </c>
      <c r="H113" s="74" t="n">
        <v>7</v>
      </c>
      <c r="I113" s="74" t="n">
        <v>17</v>
      </c>
      <c r="J113" s="74" t="n">
        <v>17</v>
      </c>
      <c r="K113" s="74" t="n">
        <v>5</v>
      </c>
      <c r="L113" s="74" t="n">
        <v>13</v>
      </c>
      <c r="M113" s="74" t="n">
        <v>11</v>
      </c>
      <c r="N113" s="74" t="n">
        <v>2</v>
      </c>
      <c r="O113" s="74" t="n">
        <v>6</v>
      </c>
      <c r="P113" s="74" t="n">
        <v>3</v>
      </c>
      <c r="Q113" s="74" t="n">
        <v>0</v>
      </c>
      <c r="R113" s="74" t="n">
        <v>2</v>
      </c>
      <c r="S113" s="74" t="n">
        <v>1</v>
      </c>
      <c r="T113" s="74" t="n">
        <v>0</v>
      </c>
      <c r="U113" s="74" t="n">
        <v>0</v>
      </c>
    </row>
    <row r="114" customFormat="false" ht="15" hidden="false" customHeight="true" outlineLevel="0" collapsed="false">
      <c r="A114" s="30" t="s">
        <v>118</v>
      </c>
      <c r="B114" s="76"/>
      <c r="C114" s="76"/>
      <c r="D114" s="76"/>
      <c r="E114" s="76"/>
      <c r="F114" s="76"/>
      <c r="G114" s="74" t="n">
        <v>35</v>
      </c>
      <c r="H114" s="74" t="n">
        <v>18</v>
      </c>
      <c r="I114" s="74" t="n">
        <v>17</v>
      </c>
      <c r="J114" s="74" t="n">
        <v>15</v>
      </c>
      <c r="K114" s="74" t="n">
        <v>12</v>
      </c>
      <c r="L114" s="74" t="n">
        <v>15</v>
      </c>
      <c r="M114" s="74" t="n">
        <v>10</v>
      </c>
      <c r="N114" s="74" t="n">
        <v>6</v>
      </c>
      <c r="O114" s="74" t="n">
        <v>4</v>
      </c>
      <c r="P114" s="74" t="n">
        <v>3</v>
      </c>
      <c r="Q114" s="74" t="n">
        <v>5</v>
      </c>
      <c r="R114" s="74" t="n">
        <v>2</v>
      </c>
      <c r="S114" s="74" t="n">
        <v>1</v>
      </c>
      <c r="T114" s="74" t="n">
        <v>0</v>
      </c>
      <c r="U114" s="74" t="n">
        <v>0</v>
      </c>
    </row>
    <row r="115" customFormat="false" ht="15" hidden="false" customHeight="true" outlineLevel="0" collapsed="false">
      <c r="A115" s="30" t="s">
        <v>119</v>
      </c>
      <c r="B115" s="76"/>
      <c r="C115" s="76"/>
      <c r="D115" s="76"/>
      <c r="E115" s="76"/>
      <c r="F115" s="76"/>
      <c r="G115" s="76"/>
      <c r="H115" s="74" t="n">
        <v>38</v>
      </c>
      <c r="I115" s="74" t="n">
        <v>31</v>
      </c>
      <c r="J115" s="74" t="n">
        <v>27</v>
      </c>
      <c r="K115" s="74" t="n">
        <v>21</v>
      </c>
      <c r="L115" s="74" t="n">
        <v>22</v>
      </c>
      <c r="M115" s="74" t="n">
        <v>20</v>
      </c>
      <c r="N115" s="74" t="n">
        <v>5</v>
      </c>
      <c r="O115" s="74" t="n">
        <v>9</v>
      </c>
      <c r="P115" s="74" t="n">
        <v>4</v>
      </c>
      <c r="Q115" s="74" t="n">
        <v>0</v>
      </c>
      <c r="R115" s="74" t="n">
        <v>1</v>
      </c>
      <c r="S115" s="74" t="n">
        <v>1</v>
      </c>
      <c r="T115" s="74" t="n">
        <v>0</v>
      </c>
      <c r="U115" s="74" t="n">
        <v>0</v>
      </c>
    </row>
    <row r="116" customFormat="false" ht="15" hidden="false" customHeight="true" outlineLevel="0" collapsed="false">
      <c r="A116" s="30" t="s">
        <v>120</v>
      </c>
      <c r="B116" s="76"/>
      <c r="C116" s="76"/>
      <c r="D116" s="76"/>
      <c r="E116" s="76"/>
      <c r="F116" s="76"/>
      <c r="G116" s="76"/>
      <c r="H116" s="76"/>
      <c r="I116" s="74" t="n">
        <v>63</v>
      </c>
      <c r="J116" s="74" t="n">
        <v>50</v>
      </c>
      <c r="K116" s="74" t="n">
        <v>38</v>
      </c>
      <c r="L116" s="74" t="n">
        <v>44</v>
      </c>
      <c r="M116" s="74" t="n">
        <v>40</v>
      </c>
      <c r="N116" s="74" t="n">
        <v>28</v>
      </c>
      <c r="O116" s="74" t="n">
        <v>18</v>
      </c>
      <c r="P116" s="74" t="n">
        <v>5</v>
      </c>
      <c r="Q116" s="74" t="n">
        <v>2</v>
      </c>
      <c r="R116" s="74" t="n">
        <v>0</v>
      </c>
      <c r="S116" s="74" t="n">
        <v>0</v>
      </c>
      <c r="T116" s="74" t="n">
        <v>0</v>
      </c>
      <c r="U116" s="74" t="n">
        <v>0</v>
      </c>
    </row>
    <row r="117" customFormat="false" ht="15" hidden="false" customHeight="true" outlineLevel="0" collapsed="false">
      <c r="A117" s="30" t="s">
        <v>121</v>
      </c>
      <c r="B117" s="76"/>
      <c r="C117" s="76"/>
      <c r="D117" s="76"/>
      <c r="E117" s="76"/>
      <c r="F117" s="76"/>
      <c r="G117" s="76"/>
      <c r="H117" s="76"/>
      <c r="I117" s="76"/>
      <c r="J117" s="74" t="n">
        <v>69</v>
      </c>
      <c r="K117" s="74" t="n">
        <v>51</v>
      </c>
      <c r="L117" s="74" t="n">
        <v>49</v>
      </c>
      <c r="M117" s="74" t="n">
        <v>42</v>
      </c>
      <c r="N117" s="74" t="n">
        <v>33</v>
      </c>
      <c r="O117" s="74" t="n">
        <v>37</v>
      </c>
      <c r="P117" s="74" t="n">
        <v>8</v>
      </c>
      <c r="Q117" s="74" t="n">
        <v>4</v>
      </c>
      <c r="R117" s="74" t="n">
        <v>3</v>
      </c>
      <c r="S117" s="74" t="n">
        <v>2</v>
      </c>
      <c r="T117" s="74" t="n">
        <v>0</v>
      </c>
      <c r="U117" s="74" t="n">
        <v>0</v>
      </c>
    </row>
    <row r="118" customFormat="false" ht="15" hidden="false" customHeight="true" outlineLevel="0" collapsed="false">
      <c r="A118" s="30" t="s">
        <v>122</v>
      </c>
      <c r="B118" s="76"/>
      <c r="C118" s="76"/>
      <c r="D118" s="76"/>
      <c r="E118" s="76"/>
      <c r="F118" s="76"/>
      <c r="G118" s="76"/>
      <c r="H118" s="76"/>
      <c r="I118" s="76"/>
      <c r="J118" s="76"/>
      <c r="K118" s="74" t="n">
        <v>45</v>
      </c>
      <c r="L118" s="74" t="n">
        <v>42</v>
      </c>
      <c r="M118" s="74" t="n">
        <v>40</v>
      </c>
      <c r="N118" s="74" t="n">
        <v>30</v>
      </c>
      <c r="O118" s="74" t="n">
        <v>32</v>
      </c>
      <c r="P118" s="74" t="n">
        <v>31</v>
      </c>
      <c r="Q118" s="74" t="n">
        <v>9</v>
      </c>
      <c r="R118" s="74" t="n">
        <v>6</v>
      </c>
      <c r="S118" s="74" t="n">
        <v>5</v>
      </c>
      <c r="T118" s="74" t="n">
        <v>2</v>
      </c>
      <c r="U118" s="74" t="n">
        <v>2</v>
      </c>
    </row>
    <row r="119" customFormat="false" ht="15" hidden="false" customHeight="true" outlineLevel="0" collapsed="false">
      <c r="A119" s="30" t="s">
        <v>123</v>
      </c>
      <c r="B119" s="76"/>
      <c r="C119" s="76"/>
      <c r="D119" s="76"/>
      <c r="E119" s="76"/>
      <c r="F119" s="76"/>
      <c r="G119" s="76"/>
      <c r="H119" s="76"/>
      <c r="I119" s="76"/>
      <c r="J119" s="76"/>
      <c r="K119" s="76"/>
      <c r="L119" s="74" t="n">
        <v>89</v>
      </c>
      <c r="M119" s="74" t="n">
        <v>73</v>
      </c>
      <c r="N119" s="74" t="n">
        <v>54</v>
      </c>
      <c r="O119" s="74" t="n">
        <v>62</v>
      </c>
      <c r="P119" s="74" t="n">
        <v>56</v>
      </c>
      <c r="Q119" s="74" t="n">
        <v>45</v>
      </c>
      <c r="R119" s="74" t="n">
        <v>12</v>
      </c>
      <c r="S119" s="74" t="n">
        <v>7</v>
      </c>
      <c r="T119" s="74" t="n">
        <v>3</v>
      </c>
      <c r="U119" s="74" t="n">
        <v>4</v>
      </c>
    </row>
    <row r="120" customFormat="false" ht="15" hidden="false" customHeight="true" outlineLevel="0" collapsed="false">
      <c r="A120" s="30" t="s">
        <v>124</v>
      </c>
      <c r="B120" s="76"/>
      <c r="C120" s="76"/>
      <c r="D120" s="76"/>
      <c r="E120" s="76"/>
      <c r="F120" s="76"/>
      <c r="G120" s="76"/>
      <c r="H120" s="76"/>
      <c r="I120" s="76"/>
      <c r="J120" s="76"/>
      <c r="K120" s="76"/>
      <c r="L120" s="76"/>
      <c r="M120" s="74" t="n">
        <v>61</v>
      </c>
      <c r="N120" s="74" t="n">
        <v>44</v>
      </c>
      <c r="O120" s="74" t="n">
        <v>44</v>
      </c>
      <c r="P120" s="74" t="n">
        <v>43</v>
      </c>
      <c r="Q120" s="74" t="n">
        <v>33</v>
      </c>
      <c r="R120" s="74" t="n">
        <v>27</v>
      </c>
      <c r="S120" s="74" t="n">
        <v>9</v>
      </c>
      <c r="T120" s="74" t="n">
        <v>6</v>
      </c>
      <c r="U120" s="74" t="n">
        <v>3</v>
      </c>
    </row>
    <row r="121" customFormat="false" ht="15" hidden="false" customHeight="true" outlineLevel="0" collapsed="false">
      <c r="A121" s="30" t="s">
        <v>125</v>
      </c>
      <c r="B121" s="76"/>
      <c r="C121" s="76"/>
      <c r="D121" s="76"/>
      <c r="E121" s="76"/>
      <c r="F121" s="76"/>
      <c r="G121" s="76"/>
      <c r="H121" s="76"/>
      <c r="I121" s="76"/>
      <c r="J121" s="76"/>
      <c r="K121" s="76"/>
      <c r="L121" s="76"/>
      <c r="M121" s="76"/>
      <c r="N121" s="74" t="n">
        <v>28</v>
      </c>
      <c r="O121" s="74" t="n">
        <v>20</v>
      </c>
      <c r="P121" s="74" t="n">
        <v>17</v>
      </c>
      <c r="Q121" s="74" t="n">
        <v>14</v>
      </c>
      <c r="R121" s="74" t="n">
        <v>13</v>
      </c>
      <c r="S121" s="74" t="n">
        <v>10</v>
      </c>
      <c r="T121" s="74" t="n">
        <v>1</v>
      </c>
      <c r="U121" s="74" t="n">
        <v>3</v>
      </c>
    </row>
    <row r="122" customFormat="false" ht="15" hidden="false" customHeight="true" outlineLevel="0" collapsed="false">
      <c r="A122" s="30" t="s">
        <v>126</v>
      </c>
      <c r="B122" s="76"/>
      <c r="C122" s="76"/>
      <c r="D122" s="76"/>
      <c r="E122" s="76"/>
      <c r="F122" s="76"/>
      <c r="G122" s="76"/>
      <c r="H122" s="76"/>
      <c r="I122" s="76"/>
      <c r="J122" s="76"/>
      <c r="K122" s="76"/>
      <c r="L122" s="76"/>
      <c r="M122" s="76"/>
      <c r="N122" s="76"/>
      <c r="O122" s="74" t="n">
        <v>71</v>
      </c>
      <c r="P122" s="74" t="n">
        <v>61</v>
      </c>
      <c r="Q122" s="74" t="n">
        <v>46</v>
      </c>
      <c r="R122" s="74" t="n">
        <v>49</v>
      </c>
      <c r="S122" s="74" t="n">
        <v>48</v>
      </c>
      <c r="T122" s="74" t="n">
        <v>29</v>
      </c>
      <c r="U122" s="74" t="n">
        <v>9</v>
      </c>
    </row>
    <row r="123" customFormat="false" ht="15" hidden="false" customHeight="true" outlineLevel="0" collapsed="false">
      <c r="A123" s="30" t="s">
        <v>127</v>
      </c>
      <c r="B123" s="76"/>
      <c r="C123" s="76"/>
      <c r="D123" s="76"/>
      <c r="E123" s="76"/>
      <c r="F123" s="76"/>
      <c r="G123" s="76"/>
      <c r="H123" s="76"/>
      <c r="I123" s="76"/>
      <c r="J123" s="76"/>
      <c r="K123" s="76"/>
      <c r="L123" s="76"/>
      <c r="M123" s="76"/>
      <c r="N123" s="76"/>
      <c r="O123" s="76"/>
      <c r="P123" s="74" t="n">
        <v>63</v>
      </c>
      <c r="Q123" s="74" t="n">
        <v>44</v>
      </c>
      <c r="R123" s="74" t="n">
        <v>38</v>
      </c>
      <c r="S123" s="74" t="n">
        <v>37</v>
      </c>
      <c r="T123" s="74" t="n">
        <v>34</v>
      </c>
      <c r="U123" s="74" t="n">
        <v>27</v>
      </c>
    </row>
    <row r="124" customFormat="false" ht="15" hidden="false" customHeight="true" outlineLevel="0" collapsed="false">
      <c r="A124" s="30" t="s">
        <v>128</v>
      </c>
      <c r="B124" s="76"/>
      <c r="C124" s="76"/>
      <c r="D124" s="76"/>
      <c r="E124" s="76"/>
      <c r="F124" s="76"/>
      <c r="G124" s="76"/>
      <c r="H124" s="76"/>
      <c r="I124" s="76"/>
      <c r="J124" s="76"/>
      <c r="K124" s="76"/>
      <c r="L124" s="76"/>
      <c r="M124" s="76"/>
      <c r="N124" s="76"/>
      <c r="O124" s="76"/>
      <c r="P124" s="76"/>
      <c r="Q124" s="74" t="n">
        <v>50</v>
      </c>
      <c r="R124" s="74" t="n">
        <v>37</v>
      </c>
      <c r="S124" s="74" t="n">
        <v>33</v>
      </c>
      <c r="T124" s="74" t="n">
        <v>30</v>
      </c>
      <c r="U124" s="74" t="n">
        <v>33</v>
      </c>
    </row>
    <row r="125" customFormat="false" ht="15" hidden="false" customHeight="true" outlineLevel="0" collapsed="false">
      <c r="A125" s="30" t="s">
        <v>129</v>
      </c>
      <c r="B125" s="76"/>
      <c r="C125" s="76"/>
      <c r="D125" s="76"/>
      <c r="E125" s="76"/>
      <c r="F125" s="76"/>
      <c r="G125" s="76"/>
      <c r="H125" s="76"/>
      <c r="I125" s="76"/>
      <c r="J125" s="76"/>
      <c r="K125" s="76"/>
      <c r="L125" s="76"/>
      <c r="M125" s="76"/>
      <c r="N125" s="76"/>
      <c r="O125" s="76"/>
      <c r="P125" s="76"/>
      <c r="Q125" s="76"/>
      <c r="R125" s="74" t="n">
        <v>68</v>
      </c>
      <c r="S125" s="74" t="n">
        <v>53</v>
      </c>
      <c r="T125" s="74" t="n">
        <v>40</v>
      </c>
      <c r="U125" s="74" t="n">
        <v>44</v>
      </c>
    </row>
    <row r="126" customFormat="false" ht="15" hidden="false" customHeight="true" outlineLevel="0" collapsed="false">
      <c r="A126" s="30" t="s">
        <v>130</v>
      </c>
      <c r="B126" s="76"/>
      <c r="C126" s="76"/>
      <c r="D126" s="76"/>
      <c r="E126" s="76"/>
      <c r="F126" s="76"/>
      <c r="G126" s="76"/>
      <c r="H126" s="76"/>
      <c r="I126" s="76"/>
      <c r="J126" s="76"/>
      <c r="K126" s="76"/>
      <c r="L126" s="76"/>
      <c r="M126" s="76"/>
      <c r="N126" s="76"/>
      <c r="O126" s="76"/>
      <c r="P126" s="76"/>
      <c r="Q126" s="76"/>
      <c r="R126" s="76"/>
      <c r="S126" s="74" t="n">
        <v>43</v>
      </c>
      <c r="T126" s="74" t="n">
        <v>27</v>
      </c>
      <c r="U126" s="74" t="n">
        <v>27</v>
      </c>
    </row>
    <row r="127" customFormat="false" ht="15" hidden="false" customHeight="true" outlineLevel="0" collapsed="false">
      <c r="A127" s="30" t="s">
        <v>131</v>
      </c>
      <c r="B127" s="76"/>
      <c r="C127" s="76"/>
      <c r="D127" s="76"/>
      <c r="E127" s="76"/>
      <c r="F127" s="76"/>
      <c r="G127" s="76"/>
      <c r="H127" s="76"/>
      <c r="I127" s="76"/>
      <c r="J127" s="76"/>
      <c r="K127" s="76"/>
      <c r="L127" s="76"/>
      <c r="M127" s="76"/>
      <c r="N127" s="76"/>
      <c r="O127" s="76"/>
      <c r="P127" s="76"/>
      <c r="Q127" s="76"/>
      <c r="R127" s="76"/>
      <c r="S127" s="76"/>
      <c r="T127" s="74" t="n">
        <v>22</v>
      </c>
      <c r="U127" s="74" t="n">
        <v>18</v>
      </c>
    </row>
    <row r="128" customFormat="false" ht="15" hidden="false" customHeight="true" outlineLevel="0" collapsed="false">
      <c r="A128" s="30" t="s">
        <v>132</v>
      </c>
      <c r="B128" s="76"/>
      <c r="C128" s="76"/>
      <c r="D128" s="76"/>
      <c r="E128" s="76"/>
      <c r="F128" s="76"/>
      <c r="G128" s="76"/>
      <c r="H128" s="76"/>
      <c r="I128" s="76"/>
      <c r="J128" s="76"/>
      <c r="K128" s="76"/>
      <c r="L128" s="76"/>
      <c r="M128" s="76"/>
      <c r="N128" s="76"/>
      <c r="O128" s="76"/>
      <c r="P128" s="76"/>
      <c r="Q128" s="76"/>
      <c r="R128" s="76"/>
      <c r="S128" s="76"/>
      <c r="T128" s="76"/>
      <c r="U128" s="74" t="n">
        <v>51</v>
      </c>
    </row>
    <row r="129" customFormat="false" ht="15" hidden="false" customHeight="true" outlineLevel="0" collapsed="false">
      <c r="A129" s="34" t="s">
        <v>514</v>
      </c>
      <c r="B129" s="79" t="n">
        <v>7</v>
      </c>
      <c r="C129" s="79" t="n">
        <v>26</v>
      </c>
      <c r="D129" s="79" t="n">
        <v>43</v>
      </c>
      <c r="E129" s="79" t="n">
        <v>31</v>
      </c>
      <c r="F129" s="79" t="n">
        <v>62</v>
      </c>
      <c r="G129" s="79" t="n">
        <v>89</v>
      </c>
      <c r="H129" s="79" t="n">
        <v>90</v>
      </c>
      <c r="I129" s="79" t="n">
        <v>155</v>
      </c>
      <c r="J129" s="79" t="n">
        <v>190</v>
      </c>
      <c r="K129" s="79" t="n">
        <v>179</v>
      </c>
      <c r="L129" s="79" t="n">
        <v>281</v>
      </c>
      <c r="M129" s="79" t="n">
        <v>300</v>
      </c>
      <c r="N129" s="79" t="n">
        <v>234</v>
      </c>
      <c r="O129" s="79" t="n">
        <v>306</v>
      </c>
      <c r="P129" s="79" t="n">
        <v>296</v>
      </c>
      <c r="Q129" s="79" t="n">
        <v>252</v>
      </c>
      <c r="R129" s="79" t="n">
        <v>259</v>
      </c>
      <c r="S129" s="79" t="n">
        <v>250</v>
      </c>
      <c r="T129" s="79" t="n">
        <v>194</v>
      </c>
      <c r="U129" s="79" t="n">
        <v>221</v>
      </c>
    </row>
    <row r="131" customFormat="false" ht="19.5" hidden="false" customHeight="true" outlineLevel="0" collapsed="false">
      <c r="A131" s="65" t="s">
        <v>411</v>
      </c>
      <c r="B131" s="65"/>
      <c r="C131" s="65"/>
      <c r="D131" s="65"/>
      <c r="E131" s="65"/>
      <c r="F131" s="65"/>
      <c r="G131" s="65"/>
      <c r="H131" s="65"/>
      <c r="I131" s="65"/>
      <c r="J131" s="65"/>
      <c r="K131" s="65"/>
      <c r="L131" s="65"/>
      <c r="M131" s="65"/>
      <c r="N131" s="65"/>
      <c r="O131" s="65"/>
      <c r="P131" s="65"/>
      <c r="Q131" s="65"/>
      <c r="R131" s="65"/>
      <c r="S131" s="65"/>
      <c r="T131" s="65"/>
      <c r="U131" s="65"/>
    </row>
    <row r="132" customFormat="false" ht="15" hidden="false" customHeight="true" outlineLevel="0" collapsed="false">
      <c r="A132" s="12" t="s">
        <v>513</v>
      </c>
      <c r="B132" s="12" t="s">
        <v>113</v>
      </c>
      <c r="C132" s="12" t="s">
        <v>114</v>
      </c>
      <c r="D132" s="12" t="s">
        <v>115</v>
      </c>
      <c r="E132" s="12" t="s">
        <v>116</v>
      </c>
      <c r="F132" s="12" t="s">
        <v>117</v>
      </c>
      <c r="G132" s="12" t="s">
        <v>118</v>
      </c>
      <c r="H132" s="12" t="s">
        <v>119</v>
      </c>
      <c r="I132" s="12" t="s">
        <v>120</v>
      </c>
      <c r="J132" s="12" t="s">
        <v>121</v>
      </c>
      <c r="K132" s="12" t="s">
        <v>122</v>
      </c>
      <c r="L132" s="12" t="s">
        <v>123</v>
      </c>
      <c r="M132" s="12" t="s">
        <v>124</v>
      </c>
      <c r="N132" s="12" t="s">
        <v>125</v>
      </c>
      <c r="O132" s="12" t="s">
        <v>126</v>
      </c>
      <c r="P132" s="12" t="s">
        <v>127</v>
      </c>
      <c r="Q132" s="12" t="s">
        <v>128</v>
      </c>
      <c r="R132" s="12" t="s">
        <v>129</v>
      </c>
      <c r="S132" s="12" t="s">
        <v>130</v>
      </c>
      <c r="T132" s="12" t="s">
        <v>131</v>
      </c>
      <c r="U132" s="12" t="s">
        <v>132</v>
      </c>
    </row>
    <row r="133" customFormat="false" ht="15" hidden="false" customHeight="true" outlineLevel="0" collapsed="false">
      <c r="A133" s="30" t="s">
        <v>113</v>
      </c>
      <c r="B133" s="74" t="n">
        <v>29</v>
      </c>
      <c r="C133" s="74" t="n">
        <v>25</v>
      </c>
      <c r="D133" s="74" t="n">
        <v>21</v>
      </c>
      <c r="E133" s="74" t="n">
        <v>13</v>
      </c>
      <c r="F133" s="74" t="n">
        <v>17</v>
      </c>
      <c r="G133" s="74" t="n">
        <v>15</v>
      </c>
      <c r="H133" s="74" t="n">
        <v>8</v>
      </c>
      <c r="I133" s="74" t="n">
        <v>7</v>
      </c>
      <c r="J133" s="74" t="n">
        <v>6</v>
      </c>
      <c r="K133" s="74" t="n">
        <v>4</v>
      </c>
      <c r="L133" s="74" t="n">
        <v>5</v>
      </c>
      <c r="M133" s="74" t="n">
        <v>2</v>
      </c>
      <c r="N133" s="74" t="n">
        <v>1</v>
      </c>
      <c r="O133" s="74" t="n">
        <v>1</v>
      </c>
      <c r="P133" s="74" t="n">
        <v>1</v>
      </c>
      <c r="Q133" s="74" t="n">
        <v>1</v>
      </c>
      <c r="R133" s="74" t="n">
        <v>0</v>
      </c>
      <c r="S133" s="74" t="n">
        <v>0</v>
      </c>
      <c r="T133" s="74" t="n">
        <v>0</v>
      </c>
      <c r="U133" s="74" t="n">
        <v>0</v>
      </c>
    </row>
    <row r="134" customFormat="false" ht="15" hidden="false" customHeight="true" outlineLevel="0" collapsed="false">
      <c r="A134" s="30" t="s">
        <v>114</v>
      </c>
      <c r="B134" s="76"/>
      <c r="C134" s="74" t="n">
        <v>43</v>
      </c>
      <c r="D134" s="74" t="n">
        <v>34</v>
      </c>
      <c r="E134" s="74" t="n">
        <v>16</v>
      </c>
      <c r="F134" s="74" t="n">
        <v>24</v>
      </c>
      <c r="G134" s="74" t="n">
        <v>22</v>
      </c>
      <c r="H134" s="74" t="n">
        <v>13</v>
      </c>
      <c r="I134" s="74" t="n">
        <v>14</v>
      </c>
      <c r="J134" s="74" t="n">
        <v>6</v>
      </c>
      <c r="K134" s="74" t="n">
        <v>4</v>
      </c>
      <c r="L134" s="74" t="n">
        <v>4</v>
      </c>
      <c r="M134" s="74" t="n">
        <v>3</v>
      </c>
      <c r="N134" s="74" t="n">
        <v>1</v>
      </c>
      <c r="O134" s="74" t="n">
        <v>2</v>
      </c>
      <c r="P134" s="74" t="n">
        <v>1</v>
      </c>
      <c r="Q134" s="74" t="n">
        <v>1</v>
      </c>
      <c r="R134" s="74" t="n">
        <v>1</v>
      </c>
      <c r="S134" s="74" t="n">
        <v>0</v>
      </c>
      <c r="T134" s="74" t="n">
        <v>0</v>
      </c>
      <c r="U134" s="74" t="n">
        <v>0</v>
      </c>
    </row>
    <row r="135" customFormat="false" ht="15" hidden="false" customHeight="true" outlineLevel="0" collapsed="false">
      <c r="A135" s="30" t="s">
        <v>115</v>
      </c>
      <c r="B135" s="76"/>
      <c r="C135" s="76"/>
      <c r="D135" s="74" t="n">
        <v>43</v>
      </c>
      <c r="E135" s="74" t="n">
        <v>22</v>
      </c>
      <c r="F135" s="74" t="n">
        <v>28</v>
      </c>
      <c r="G135" s="74" t="n">
        <v>21</v>
      </c>
      <c r="H135" s="74" t="n">
        <v>14</v>
      </c>
      <c r="I135" s="74" t="n">
        <v>17</v>
      </c>
      <c r="J135" s="74" t="n">
        <v>10</v>
      </c>
      <c r="K135" s="74" t="n">
        <v>4</v>
      </c>
      <c r="L135" s="74" t="n">
        <v>9</v>
      </c>
      <c r="M135" s="74" t="n">
        <v>2</v>
      </c>
      <c r="N135" s="74" t="n">
        <v>0</v>
      </c>
      <c r="O135" s="74" t="n">
        <v>4</v>
      </c>
      <c r="P135" s="74" t="n">
        <v>4</v>
      </c>
      <c r="Q135" s="74" t="n">
        <v>2</v>
      </c>
      <c r="R135" s="74" t="n">
        <v>4</v>
      </c>
      <c r="S135" s="74" t="n">
        <v>2</v>
      </c>
      <c r="T135" s="74" t="n">
        <v>1</v>
      </c>
      <c r="U135" s="74" t="n">
        <v>0</v>
      </c>
    </row>
    <row r="136" customFormat="false" ht="15" hidden="false" customHeight="true" outlineLevel="0" collapsed="false">
      <c r="A136" s="30" t="s">
        <v>116</v>
      </c>
      <c r="B136" s="76"/>
      <c r="C136" s="76"/>
      <c r="D136" s="76"/>
      <c r="E136" s="74" t="n">
        <v>22</v>
      </c>
      <c r="F136" s="74" t="n">
        <v>18</v>
      </c>
      <c r="G136" s="74" t="n">
        <v>15</v>
      </c>
      <c r="H136" s="74" t="n">
        <v>10</v>
      </c>
      <c r="I136" s="74" t="n">
        <v>13</v>
      </c>
      <c r="J136" s="74" t="n">
        <v>10</v>
      </c>
      <c r="K136" s="74" t="n">
        <v>4</v>
      </c>
      <c r="L136" s="74" t="n">
        <v>5</v>
      </c>
      <c r="M136" s="74" t="n">
        <v>3</v>
      </c>
      <c r="N136" s="74" t="n">
        <v>0</v>
      </c>
      <c r="O136" s="74" t="n">
        <v>1</v>
      </c>
      <c r="P136" s="74" t="n">
        <v>1</v>
      </c>
      <c r="Q136" s="74" t="n">
        <v>0</v>
      </c>
      <c r="R136" s="74" t="n">
        <v>0</v>
      </c>
      <c r="S136" s="74" t="n">
        <v>0</v>
      </c>
      <c r="T136" s="74" t="n">
        <v>0</v>
      </c>
      <c r="U136" s="74" t="n">
        <v>0</v>
      </c>
    </row>
    <row r="137" customFormat="false" ht="15" hidden="false" customHeight="true" outlineLevel="0" collapsed="false">
      <c r="A137" s="30" t="s">
        <v>117</v>
      </c>
      <c r="B137" s="76"/>
      <c r="C137" s="76"/>
      <c r="D137" s="76"/>
      <c r="E137" s="76"/>
      <c r="F137" s="74" t="n">
        <v>46</v>
      </c>
      <c r="G137" s="74" t="n">
        <v>33</v>
      </c>
      <c r="H137" s="74" t="n">
        <v>20</v>
      </c>
      <c r="I137" s="74" t="n">
        <v>28</v>
      </c>
      <c r="J137" s="74" t="n">
        <v>26</v>
      </c>
      <c r="K137" s="74" t="n">
        <v>13</v>
      </c>
      <c r="L137" s="74" t="n">
        <v>16</v>
      </c>
      <c r="M137" s="74" t="n">
        <v>12</v>
      </c>
      <c r="N137" s="74" t="n">
        <v>4</v>
      </c>
      <c r="O137" s="74" t="n">
        <v>6</v>
      </c>
      <c r="P137" s="74" t="n">
        <v>1</v>
      </c>
      <c r="Q137" s="74" t="n">
        <v>1</v>
      </c>
      <c r="R137" s="74" t="n">
        <v>1</v>
      </c>
      <c r="S137" s="74" t="n">
        <v>1</v>
      </c>
      <c r="T137" s="74" t="n">
        <v>0</v>
      </c>
      <c r="U137" s="74" t="n">
        <v>0</v>
      </c>
    </row>
    <row r="138" customFormat="false" ht="15" hidden="false" customHeight="true" outlineLevel="0" collapsed="false">
      <c r="A138" s="30" t="s">
        <v>118</v>
      </c>
      <c r="B138" s="76"/>
      <c r="C138" s="76"/>
      <c r="D138" s="76"/>
      <c r="E138" s="76"/>
      <c r="F138" s="76"/>
      <c r="G138" s="74" t="n">
        <v>63</v>
      </c>
      <c r="H138" s="74" t="n">
        <v>31</v>
      </c>
      <c r="I138" s="74" t="n">
        <v>37</v>
      </c>
      <c r="J138" s="74" t="n">
        <v>32</v>
      </c>
      <c r="K138" s="74" t="n">
        <v>18</v>
      </c>
      <c r="L138" s="74" t="n">
        <v>26</v>
      </c>
      <c r="M138" s="74" t="n">
        <v>14</v>
      </c>
      <c r="N138" s="74" t="n">
        <v>5</v>
      </c>
      <c r="O138" s="74" t="n">
        <v>7</v>
      </c>
      <c r="P138" s="74" t="n">
        <v>4</v>
      </c>
      <c r="Q138" s="74" t="n">
        <v>2</v>
      </c>
      <c r="R138" s="74" t="n">
        <v>0</v>
      </c>
      <c r="S138" s="74" t="n">
        <v>0</v>
      </c>
      <c r="T138" s="74" t="n">
        <v>0</v>
      </c>
      <c r="U138" s="74" t="n">
        <v>0</v>
      </c>
    </row>
    <row r="139" customFormat="false" ht="15" hidden="false" customHeight="true" outlineLevel="0" collapsed="false">
      <c r="A139" s="30" t="s">
        <v>119</v>
      </c>
      <c r="B139" s="76"/>
      <c r="C139" s="76"/>
      <c r="D139" s="76"/>
      <c r="E139" s="76"/>
      <c r="F139" s="76"/>
      <c r="G139" s="76"/>
      <c r="H139" s="74" t="n">
        <v>26</v>
      </c>
      <c r="I139" s="74" t="n">
        <v>23</v>
      </c>
      <c r="J139" s="74" t="n">
        <v>18</v>
      </c>
      <c r="K139" s="74" t="n">
        <v>12</v>
      </c>
      <c r="L139" s="74" t="n">
        <v>13</v>
      </c>
      <c r="M139" s="74" t="n">
        <v>7</v>
      </c>
      <c r="N139" s="74" t="n">
        <v>1</v>
      </c>
      <c r="O139" s="74" t="n">
        <v>4</v>
      </c>
      <c r="P139" s="74" t="n">
        <v>1</v>
      </c>
      <c r="Q139" s="74" t="n">
        <v>1</v>
      </c>
      <c r="R139" s="74" t="n">
        <v>0</v>
      </c>
      <c r="S139" s="74" t="n">
        <v>0</v>
      </c>
      <c r="T139" s="74" t="n">
        <v>0</v>
      </c>
      <c r="U139" s="74" t="n">
        <v>0</v>
      </c>
    </row>
    <row r="140" customFormat="false" ht="15" hidden="false" customHeight="true" outlineLevel="0" collapsed="false">
      <c r="A140" s="30" t="s">
        <v>120</v>
      </c>
      <c r="B140" s="76"/>
      <c r="C140" s="76"/>
      <c r="D140" s="76"/>
      <c r="E140" s="76"/>
      <c r="F140" s="76"/>
      <c r="G140" s="76"/>
      <c r="H140" s="76"/>
      <c r="I140" s="74" t="n">
        <v>36</v>
      </c>
      <c r="J140" s="74" t="n">
        <v>22</v>
      </c>
      <c r="K140" s="74" t="n">
        <v>12</v>
      </c>
      <c r="L140" s="74" t="n">
        <v>18</v>
      </c>
      <c r="M140" s="74" t="n">
        <v>17</v>
      </c>
      <c r="N140" s="74" t="n">
        <v>7</v>
      </c>
      <c r="O140" s="74" t="n">
        <v>9</v>
      </c>
      <c r="P140" s="74" t="n">
        <v>2</v>
      </c>
      <c r="Q140" s="74" t="n">
        <v>1</v>
      </c>
      <c r="R140" s="74" t="n">
        <v>2</v>
      </c>
      <c r="S140" s="74" t="n">
        <v>3</v>
      </c>
      <c r="T140" s="74" t="n">
        <v>1</v>
      </c>
      <c r="U140" s="74" t="n">
        <v>0</v>
      </c>
    </row>
    <row r="141" customFormat="false" ht="15" hidden="false" customHeight="true" outlineLevel="0" collapsed="false">
      <c r="A141" s="30" t="s">
        <v>121</v>
      </c>
      <c r="B141" s="76"/>
      <c r="C141" s="76"/>
      <c r="D141" s="76"/>
      <c r="E141" s="76"/>
      <c r="F141" s="76"/>
      <c r="G141" s="76"/>
      <c r="H141" s="76"/>
      <c r="I141" s="76"/>
      <c r="J141" s="74" t="n">
        <v>49</v>
      </c>
      <c r="K141" s="74" t="n">
        <v>32</v>
      </c>
      <c r="L141" s="74" t="n">
        <v>32</v>
      </c>
      <c r="M141" s="74" t="n">
        <v>28</v>
      </c>
      <c r="N141" s="74" t="n">
        <v>21</v>
      </c>
      <c r="O141" s="74" t="n">
        <v>21</v>
      </c>
      <c r="P141" s="74" t="n">
        <v>9</v>
      </c>
      <c r="Q141" s="74" t="n">
        <v>3</v>
      </c>
      <c r="R141" s="74" t="n">
        <v>4</v>
      </c>
      <c r="S141" s="74" t="n">
        <v>3</v>
      </c>
      <c r="T141" s="74" t="n">
        <v>2</v>
      </c>
      <c r="U141" s="74" t="n">
        <v>1</v>
      </c>
    </row>
    <row r="142" customFormat="false" ht="15" hidden="false" customHeight="true" outlineLevel="0" collapsed="false">
      <c r="A142" s="30" t="s">
        <v>122</v>
      </c>
      <c r="B142" s="76"/>
      <c r="C142" s="76"/>
      <c r="D142" s="76"/>
      <c r="E142" s="76"/>
      <c r="F142" s="76"/>
      <c r="G142" s="76"/>
      <c r="H142" s="76"/>
      <c r="I142" s="76"/>
      <c r="J142" s="76"/>
      <c r="K142" s="74" t="n">
        <v>25</v>
      </c>
      <c r="L142" s="74" t="n">
        <v>19</v>
      </c>
      <c r="M142" s="74" t="n">
        <v>15</v>
      </c>
      <c r="N142" s="74" t="n">
        <v>12</v>
      </c>
      <c r="O142" s="74" t="n">
        <v>16</v>
      </c>
      <c r="P142" s="74" t="n">
        <v>9</v>
      </c>
      <c r="Q142" s="74" t="n">
        <v>1</v>
      </c>
      <c r="R142" s="74" t="n">
        <v>3</v>
      </c>
      <c r="S142" s="74" t="n">
        <v>2</v>
      </c>
      <c r="T142" s="74" t="n">
        <v>1</v>
      </c>
      <c r="U142" s="74" t="n">
        <v>1</v>
      </c>
    </row>
    <row r="143" customFormat="false" ht="15" hidden="false" customHeight="true" outlineLevel="0" collapsed="false">
      <c r="A143" s="30" t="s">
        <v>123</v>
      </c>
      <c r="B143" s="76"/>
      <c r="C143" s="76"/>
      <c r="D143" s="76"/>
      <c r="E143" s="76"/>
      <c r="F143" s="76"/>
      <c r="G143" s="76"/>
      <c r="H143" s="76"/>
      <c r="I143" s="76"/>
      <c r="J143" s="76"/>
      <c r="K143" s="76"/>
      <c r="L143" s="74" t="n">
        <v>60</v>
      </c>
      <c r="M143" s="74" t="n">
        <v>47</v>
      </c>
      <c r="N143" s="74" t="n">
        <v>30</v>
      </c>
      <c r="O143" s="74" t="n">
        <v>38</v>
      </c>
      <c r="P143" s="74" t="n">
        <v>35</v>
      </c>
      <c r="Q143" s="74" t="n">
        <v>11</v>
      </c>
      <c r="R143" s="74" t="n">
        <v>15</v>
      </c>
      <c r="S143" s="74" t="n">
        <v>8</v>
      </c>
      <c r="T143" s="74" t="n">
        <v>3</v>
      </c>
      <c r="U143" s="74" t="n">
        <v>6</v>
      </c>
    </row>
    <row r="144" customFormat="false" ht="15" hidden="false" customHeight="true" outlineLevel="0" collapsed="false">
      <c r="A144" s="30" t="s">
        <v>124</v>
      </c>
      <c r="B144" s="76"/>
      <c r="C144" s="76"/>
      <c r="D144" s="76"/>
      <c r="E144" s="76"/>
      <c r="F144" s="76"/>
      <c r="G144" s="76"/>
      <c r="H144" s="76"/>
      <c r="I144" s="76"/>
      <c r="J144" s="76"/>
      <c r="K144" s="76"/>
      <c r="L144" s="76"/>
      <c r="M144" s="74" t="n">
        <v>63</v>
      </c>
      <c r="N144" s="74" t="n">
        <v>40</v>
      </c>
      <c r="O144" s="74" t="n">
        <v>44</v>
      </c>
      <c r="P144" s="74" t="n">
        <v>41</v>
      </c>
      <c r="Q144" s="74" t="n">
        <v>33</v>
      </c>
      <c r="R144" s="74" t="n">
        <v>22</v>
      </c>
      <c r="S144" s="74" t="n">
        <v>13</v>
      </c>
      <c r="T144" s="74" t="n">
        <v>5</v>
      </c>
      <c r="U144" s="74" t="n">
        <v>4</v>
      </c>
    </row>
    <row r="145" customFormat="false" ht="15" hidden="false" customHeight="true" outlineLevel="0" collapsed="false">
      <c r="A145" s="30" t="s">
        <v>125</v>
      </c>
      <c r="B145" s="76"/>
      <c r="C145" s="76"/>
      <c r="D145" s="76"/>
      <c r="E145" s="76"/>
      <c r="F145" s="76"/>
      <c r="G145" s="76"/>
      <c r="H145" s="76"/>
      <c r="I145" s="76"/>
      <c r="J145" s="76"/>
      <c r="K145" s="76"/>
      <c r="L145" s="76"/>
      <c r="M145" s="76"/>
      <c r="N145" s="74" t="n">
        <v>30</v>
      </c>
      <c r="O145" s="74" t="n">
        <v>22</v>
      </c>
      <c r="P145" s="74" t="n">
        <v>19</v>
      </c>
      <c r="Q145" s="74" t="n">
        <v>13</v>
      </c>
      <c r="R145" s="74" t="n">
        <v>19</v>
      </c>
      <c r="S145" s="74" t="n">
        <v>9</v>
      </c>
      <c r="T145" s="74" t="n">
        <v>4</v>
      </c>
      <c r="U145" s="74" t="n">
        <v>3</v>
      </c>
    </row>
    <row r="146" customFormat="false" ht="15" hidden="false" customHeight="true" outlineLevel="0" collapsed="false">
      <c r="A146" s="30" t="s">
        <v>126</v>
      </c>
      <c r="B146" s="76"/>
      <c r="C146" s="76"/>
      <c r="D146" s="76"/>
      <c r="E146" s="76"/>
      <c r="F146" s="76"/>
      <c r="G146" s="76"/>
      <c r="H146" s="76"/>
      <c r="I146" s="76"/>
      <c r="J146" s="76"/>
      <c r="K146" s="76"/>
      <c r="L146" s="76"/>
      <c r="M146" s="76"/>
      <c r="N146" s="76"/>
      <c r="O146" s="74" t="n">
        <v>55</v>
      </c>
      <c r="P146" s="74" t="n">
        <v>40</v>
      </c>
      <c r="Q146" s="74" t="n">
        <v>25</v>
      </c>
      <c r="R146" s="74" t="n">
        <v>32</v>
      </c>
      <c r="S146" s="74" t="n">
        <v>27</v>
      </c>
      <c r="T146" s="74" t="n">
        <v>7</v>
      </c>
      <c r="U146" s="74" t="n">
        <v>11</v>
      </c>
    </row>
    <row r="147" customFormat="false" ht="15" hidden="false" customHeight="true" outlineLevel="0" collapsed="false">
      <c r="A147" s="30" t="s">
        <v>127</v>
      </c>
      <c r="B147" s="76"/>
      <c r="C147" s="76"/>
      <c r="D147" s="76"/>
      <c r="E147" s="76"/>
      <c r="F147" s="76"/>
      <c r="G147" s="76"/>
      <c r="H147" s="76"/>
      <c r="I147" s="76"/>
      <c r="J147" s="76"/>
      <c r="K147" s="76"/>
      <c r="L147" s="76"/>
      <c r="M147" s="76"/>
      <c r="N147" s="76"/>
      <c r="O147" s="76"/>
      <c r="P147" s="74" t="n">
        <v>28</v>
      </c>
      <c r="Q147" s="74" t="n">
        <v>17</v>
      </c>
      <c r="R147" s="74" t="n">
        <v>19</v>
      </c>
      <c r="S147" s="74" t="n">
        <v>18</v>
      </c>
      <c r="T147" s="74" t="n">
        <v>13</v>
      </c>
      <c r="U147" s="74" t="n">
        <v>9</v>
      </c>
    </row>
    <row r="148" customFormat="false" ht="15" hidden="false" customHeight="true" outlineLevel="0" collapsed="false">
      <c r="A148" s="30" t="s">
        <v>128</v>
      </c>
      <c r="B148" s="76"/>
      <c r="C148" s="76"/>
      <c r="D148" s="76"/>
      <c r="E148" s="76"/>
      <c r="F148" s="76"/>
      <c r="G148" s="76"/>
      <c r="H148" s="76"/>
      <c r="I148" s="76"/>
      <c r="J148" s="76"/>
      <c r="K148" s="76"/>
      <c r="L148" s="76"/>
      <c r="M148" s="76"/>
      <c r="N148" s="76"/>
      <c r="O148" s="76"/>
      <c r="P148" s="76"/>
      <c r="Q148" s="74" t="n">
        <v>20</v>
      </c>
      <c r="R148" s="74" t="n">
        <v>15</v>
      </c>
      <c r="S148" s="74" t="n">
        <v>13</v>
      </c>
      <c r="T148" s="74" t="n">
        <v>10</v>
      </c>
      <c r="U148" s="74" t="n">
        <v>12</v>
      </c>
    </row>
    <row r="149" customFormat="false" ht="15" hidden="false" customHeight="true" outlineLevel="0" collapsed="false">
      <c r="A149" s="30" t="s">
        <v>129</v>
      </c>
      <c r="B149" s="76"/>
      <c r="C149" s="76"/>
      <c r="D149" s="76"/>
      <c r="E149" s="76"/>
      <c r="F149" s="76"/>
      <c r="G149" s="76"/>
      <c r="H149" s="76"/>
      <c r="I149" s="76"/>
      <c r="J149" s="76"/>
      <c r="K149" s="76"/>
      <c r="L149" s="76"/>
      <c r="M149" s="76"/>
      <c r="N149" s="76"/>
      <c r="O149" s="76"/>
      <c r="P149" s="76"/>
      <c r="Q149" s="76"/>
      <c r="R149" s="74" t="n">
        <v>40</v>
      </c>
      <c r="S149" s="74" t="n">
        <v>26</v>
      </c>
      <c r="T149" s="74" t="n">
        <v>21</v>
      </c>
      <c r="U149" s="74" t="n">
        <v>21</v>
      </c>
    </row>
    <row r="150" customFormat="false" ht="15" hidden="false" customHeight="true" outlineLevel="0" collapsed="false">
      <c r="A150" s="30" t="s">
        <v>130</v>
      </c>
      <c r="B150" s="76"/>
      <c r="C150" s="76"/>
      <c r="D150" s="76"/>
      <c r="E150" s="76"/>
      <c r="F150" s="76"/>
      <c r="G150" s="76"/>
      <c r="H150" s="76"/>
      <c r="I150" s="76"/>
      <c r="J150" s="76"/>
      <c r="K150" s="76"/>
      <c r="L150" s="76"/>
      <c r="M150" s="76"/>
      <c r="N150" s="76"/>
      <c r="O150" s="76"/>
      <c r="P150" s="76"/>
      <c r="Q150" s="76"/>
      <c r="R150" s="76"/>
      <c r="S150" s="74" t="n">
        <v>34</v>
      </c>
      <c r="T150" s="74" t="n">
        <v>26</v>
      </c>
      <c r="U150" s="74" t="n">
        <v>23</v>
      </c>
    </row>
    <row r="151" customFormat="false" ht="15" hidden="false" customHeight="true" outlineLevel="0" collapsed="false">
      <c r="A151" s="30" t="s">
        <v>131</v>
      </c>
      <c r="B151" s="76"/>
      <c r="C151" s="76"/>
      <c r="D151" s="76"/>
      <c r="E151" s="76"/>
      <c r="F151" s="76"/>
      <c r="G151" s="76"/>
      <c r="H151" s="76"/>
      <c r="I151" s="76"/>
      <c r="J151" s="76"/>
      <c r="K151" s="76"/>
      <c r="L151" s="76"/>
      <c r="M151" s="76"/>
      <c r="N151" s="76"/>
      <c r="O151" s="76"/>
      <c r="P151" s="76"/>
      <c r="Q151" s="76"/>
      <c r="R151" s="76"/>
      <c r="S151" s="76"/>
      <c r="T151" s="74" t="n">
        <v>22</v>
      </c>
      <c r="U151" s="74" t="n">
        <v>16</v>
      </c>
    </row>
    <row r="152" customFormat="false" ht="15" hidden="false" customHeight="true" outlineLevel="0" collapsed="false">
      <c r="A152" s="30" t="s">
        <v>132</v>
      </c>
      <c r="B152" s="76"/>
      <c r="C152" s="76"/>
      <c r="D152" s="76"/>
      <c r="E152" s="76"/>
      <c r="F152" s="76"/>
      <c r="G152" s="76"/>
      <c r="H152" s="76"/>
      <c r="I152" s="76"/>
      <c r="J152" s="76"/>
      <c r="K152" s="76"/>
      <c r="L152" s="76"/>
      <c r="M152" s="76"/>
      <c r="N152" s="76"/>
      <c r="O152" s="76"/>
      <c r="P152" s="76"/>
      <c r="Q152" s="76"/>
      <c r="R152" s="76"/>
      <c r="S152" s="76"/>
      <c r="T152" s="76"/>
      <c r="U152" s="74" t="n">
        <v>48</v>
      </c>
    </row>
    <row r="153" customFormat="false" ht="15" hidden="false" customHeight="true" outlineLevel="0" collapsed="false">
      <c r="A153" s="34" t="s">
        <v>514</v>
      </c>
      <c r="B153" s="79" t="n">
        <v>29</v>
      </c>
      <c r="C153" s="79" t="n">
        <v>68</v>
      </c>
      <c r="D153" s="79" t="n">
        <v>98</v>
      </c>
      <c r="E153" s="79" t="n">
        <v>73</v>
      </c>
      <c r="F153" s="79" t="n">
        <v>133</v>
      </c>
      <c r="G153" s="79" t="n">
        <v>169</v>
      </c>
      <c r="H153" s="79" t="n">
        <v>122</v>
      </c>
      <c r="I153" s="79" t="n">
        <v>175</v>
      </c>
      <c r="J153" s="79" t="n">
        <v>179</v>
      </c>
      <c r="K153" s="79" t="n">
        <v>128</v>
      </c>
      <c r="L153" s="79" t="n">
        <v>207</v>
      </c>
      <c r="M153" s="79" t="n">
        <v>213</v>
      </c>
      <c r="N153" s="79" t="n">
        <v>152</v>
      </c>
      <c r="O153" s="79" t="n">
        <v>230</v>
      </c>
      <c r="P153" s="79" t="n">
        <v>196</v>
      </c>
      <c r="Q153" s="79" t="n">
        <v>132</v>
      </c>
      <c r="R153" s="79" t="n">
        <v>177</v>
      </c>
      <c r="S153" s="79" t="n">
        <v>159</v>
      </c>
      <c r="T153" s="79" t="n">
        <v>116</v>
      </c>
      <c r="U153" s="79" t="n">
        <v>155</v>
      </c>
    </row>
    <row r="155" customFormat="false" ht="19.5" hidden="false" customHeight="true" outlineLevel="0" collapsed="false">
      <c r="A155" s="65" t="s">
        <v>412</v>
      </c>
      <c r="B155" s="65"/>
      <c r="C155" s="65"/>
      <c r="D155" s="65"/>
      <c r="E155" s="65"/>
      <c r="F155" s="65"/>
      <c r="G155" s="65"/>
      <c r="H155" s="65"/>
      <c r="I155" s="65"/>
      <c r="J155" s="65"/>
      <c r="K155" s="65"/>
      <c r="L155" s="65"/>
      <c r="M155" s="65"/>
      <c r="N155" s="65"/>
      <c r="O155" s="65"/>
      <c r="P155" s="65"/>
      <c r="Q155" s="65"/>
      <c r="R155" s="65"/>
      <c r="S155" s="65"/>
      <c r="T155" s="65"/>
      <c r="U155" s="65"/>
    </row>
    <row r="156" customFormat="false" ht="15" hidden="false" customHeight="true" outlineLevel="0" collapsed="false">
      <c r="A156" s="12" t="s">
        <v>513</v>
      </c>
      <c r="B156" s="12" t="s">
        <v>113</v>
      </c>
      <c r="C156" s="12" t="s">
        <v>114</v>
      </c>
      <c r="D156" s="12" t="s">
        <v>115</v>
      </c>
      <c r="E156" s="12" t="s">
        <v>116</v>
      </c>
      <c r="F156" s="12" t="s">
        <v>117</v>
      </c>
      <c r="G156" s="12" t="s">
        <v>118</v>
      </c>
      <c r="H156" s="12" t="s">
        <v>119</v>
      </c>
      <c r="I156" s="12" t="s">
        <v>120</v>
      </c>
      <c r="J156" s="12" t="s">
        <v>121</v>
      </c>
      <c r="K156" s="12" t="s">
        <v>122</v>
      </c>
      <c r="L156" s="12" t="s">
        <v>123</v>
      </c>
      <c r="M156" s="12" t="s">
        <v>124</v>
      </c>
      <c r="N156" s="12" t="s">
        <v>125</v>
      </c>
      <c r="O156" s="12" t="s">
        <v>126</v>
      </c>
      <c r="P156" s="12" t="s">
        <v>127</v>
      </c>
      <c r="Q156" s="12" t="s">
        <v>128</v>
      </c>
      <c r="R156" s="12" t="s">
        <v>129</v>
      </c>
      <c r="S156" s="12" t="s">
        <v>130</v>
      </c>
      <c r="T156" s="12" t="s">
        <v>131</v>
      </c>
      <c r="U156" s="12" t="s">
        <v>132</v>
      </c>
    </row>
    <row r="157" customFormat="false" ht="15" hidden="false" customHeight="true" outlineLevel="0" collapsed="false">
      <c r="A157" s="30" t="s">
        <v>115</v>
      </c>
      <c r="B157" s="76"/>
      <c r="C157" s="76"/>
      <c r="D157" s="74" t="n">
        <v>30</v>
      </c>
      <c r="E157" s="74" t="n">
        <v>28</v>
      </c>
      <c r="F157" s="74" t="n">
        <v>27</v>
      </c>
      <c r="G157" s="74" t="n">
        <v>27</v>
      </c>
      <c r="H157" s="74" t="n">
        <v>26</v>
      </c>
      <c r="I157" s="74" t="n">
        <v>0</v>
      </c>
      <c r="J157" s="74" t="n">
        <v>0</v>
      </c>
      <c r="K157" s="74" t="n">
        <v>1</v>
      </c>
      <c r="L157" s="74" t="n">
        <v>0</v>
      </c>
      <c r="M157" s="74" t="n">
        <v>0</v>
      </c>
      <c r="N157" s="74" t="n">
        <v>0</v>
      </c>
      <c r="O157" s="74" t="n">
        <v>0</v>
      </c>
      <c r="P157" s="74" t="n">
        <v>0</v>
      </c>
      <c r="Q157" s="74" t="n">
        <v>0</v>
      </c>
      <c r="R157" s="74" t="n">
        <v>0</v>
      </c>
      <c r="S157" s="74" t="n">
        <v>0</v>
      </c>
      <c r="T157" s="74" t="n">
        <v>0</v>
      </c>
      <c r="U157" s="74" t="n">
        <v>0</v>
      </c>
    </row>
    <row r="158" customFormat="false" ht="15" hidden="false" customHeight="true" outlineLevel="0" collapsed="false">
      <c r="A158" s="30" t="s">
        <v>116</v>
      </c>
      <c r="B158" s="76"/>
      <c r="C158" s="76"/>
      <c r="D158" s="76"/>
      <c r="E158" s="74" t="n">
        <v>32</v>
      </c>
      <c r="F158" s="74" t="n">
        <v>30</v>
      </c>
      <c r="G158" s="74" t="n">
        <v>29</v>
      </c>
      <c r="H158" s="74" t="n">
        <v>28</v>
      </c>
      <c r="I158" s="74" t="n">
        <v>30</v>
      </c>
      <c r="J158" s="74" t="n">
        <v>5</v>
      </c>
      <c r="K158" s="74" t="n">
        <v>5</v>
      </c>
      <c r="L158" s="74" t="n">
        <v>3</v>
      </c>
      <c r="M158" s="74" t="n">
        <v>3</v>
      </c>
      <c r="N158" s="74" t="n">
        <v>0</v>
      </c>
      <c r="O158" s="74" t="n">
        <v>0</v>
      </c>
      <c r="P158" s="74" t="n">
        <v>0</v>
      </c>
      <c r="Q158" s="74" t="n">
        <v>0</v>
      </c>
      <c r="R158" s="74" t="n">
        <v>0</v>
      </c>
      <c r="S158" s="74" t="n">
        <v>0</v>
      </c>
      <c r="T158" s="74" t="n">
        <v>0</v>
      </c>
      <c r="U158" s="74" t="n">
        <v>0</v>
      </c>
    </row>
    <row r="159" customFormat="false" ht="15" hidden="false" customHeight="true" outlineLevel="0" collapsed="false">
      <c r="A159" s="30" t="s">
        <v>117</v>
      </c>
      <c r="B159" s="76"/>
      <c r="C159" s="76"/>
      <c r="D159" s="76"/>
      <c r="E159" s="76"/>
      <c r="F159" s="74" t="n">
        <v>32</v>
      </c>
      <c r="G159" s="74" t="n">
        <v>30</v>
      </c>
      <c r="H159" s="74" t="n">
        <v>24</v>
      </c>
      <c r="I159" s="74" t="n">
        <v>26</v>
      </c>
      <c r="J159" s="74" t="n">
        <v>25</v>
      </c>
      <c r="K159" s="74" t="n">
        <v>4</v>
      </c>
      <c r="L159" s="74" t="n">
        <v>3</v>
      </c>
      <c r="M159" s="74" t="n">
        <v>1</v>
      </c>
      <c r="N159" s="74" t="n">
        <v>0</v>
      </c>
      <c r="O159" s="74" t="n">
        <v>2</v>
      </c>
      <c r="P159" s="74" t="n">
        <v>1</v>
      </c>
      <c r="Q159" s="74" t="n">
        <v>0</v>
      </c>
      <c r="R159" s="74" t="n">
        <v>0</v>
      </c>
      <c r="S159" s="74" t="n">
        <v>1</v>
      </c>
      <c r="T159" s="74" t="n">
        <v>0</v>
      </c>
      <c r="U159" s="74" t="n">
        <v>1</v>
      </c>
    </row>
    <row r="160" customFormat="false" ht="15" hidden="false" customHeight="true" outlineLevel="0" collapsed="false">
      <c r="A160" s="30" t="s">
        <v>118</v>
      </c>
      <c r="B160" s="76"/>
      <c r="C160" s="76"/>
      <c r="D160" s="76"/>
      <c r="E160" s="76"/>
      <c r="F160" s="76"/>
      <c r="G160" s="74" t="n">
        <v>32</v>
      </c>
      <c r="H160" s="74" t="n">
        <v>22</v>
      </c>
      <c r="I160" s="74" t="n">
        <v>25</v>
      </c>
      <c r="J160" s="74" t="n">
        <v>23</v>
      </c>
      <c r="K160" s="74" t="n">
        <v>22</v>
      </c>
      <c r="L160" s="74" t="n">
        <v>5</v>
      </c>
      <c r="M160" s="74" t="n">
        <v>3</v>
      </c>
      <c r="N160" s="74" t="n">
        <v>2</v>
      </c>
      <c r="O160" s="74" t="n">
        <v>3</v>
      </c>
      <c r="P160" s="74" t="n">
        <v>1</v>
      </c>
      <c r="Q160" s="74" t="n">
        <v>0</v>
      </c>
      <c r="R160" s="74" t="n">
        <v>1</v>
      </c>
      <c r="S160" s="74" t="n">
        <v>1</v>
      </c>
      <c r="T160" s="74" t="n">
        <v>1</v>
      </c>
      <c r="U160" s="74" t="n">
        <v>1</v>
      </c>
    </row>
    <row r="161" customFormat="false" ht="15" hidden="false" customHeight="true" outlineLevel="0" collapsed="false">
      <c r="A161" s="30" t="s">
        <v>119</v>
      </c>
      <c r="B161" s="76"/>
      <c r="C161" s="76"/>
      <c r="D161" s="76"/>
      <c r="E161" s="76"/>
      <c r="F161" s="76"/>
      <c r="G161" s="76"/>
      <c r="H161" s="74" t="n">
        <v>9</v>
      </c>
      <c r="I161" s="74" t="n">
        <v>7</v>
      </c>
      <c r="J161" s="74" t="n">
        <v>6</v>
      </c>
      <c r="K161" s="74" t="n">
        <v>5</v>
      </c>
      <c r="L161" s="74" t="n">
        <v>6</v>
      </c>
      <c r="M161" s="74" t="n">
        <v>2</v>
      </c>
      <c r="N161" s="74" t="n">
        <v>0</v>
      </c>
      <c r="O161" s="74" t="n">
        <v>1</v>
      </c>
      <c r="P161" s="74" t="n">
        <v>1</v>
      </c>
      <c r="Q161" s="74" t="n">
        <v>1</v>
      </c>
      <c r="R161" s="74" t="n">
        <v>1</v>
      </c>
      <c r="S161" s="74" t="n">
        <v>0</v>
      </c>
      <c r="T161" s="74" t="n">
        <v>1</v>
      </c>
      <c r="U161" s="74" t="n">
        <v>1</v>
      </c>
    </row>
    <row r="162" customFormat="false" ht="15" hidden="false" customHeight="true" outlineLevel="0" collapsed="false">
      <c r="A162" s="30" t="s">
        <v>120</v>
      </c>
      <c r="B162" s="76"/>
      <c r="C162" s="76"/>
      <c r="D162" s="76"/>
      <c r="E162" s="76"/>
      <c r="F162" s="76"/>
      <c r="G162" s="76"/>
      <c r="H162" s="76"/>
      <c r="I162" s="74" t="n">
        <v>27</v>
      </c>
      <c r="J162" s="74" t="n">
        <v>25</v>
      </c>
      <c r="K162" s="74" t="n">
        <v>22</v>
      </c>
      <c r="L162" s="74" t="n">
        <v>24</v>
      </c>
      <c r="M162" s="74" t="n">
        <v>24</v>
      </c>
      <c r="N162" s="74" t="n">
        <v>2</v>
      </c>
      <c r="O162" s="74" t="n">
        <v>1</v>
      </c>
      <c r="P162" s="74" t="n">
        <v>1</v>
      </c>
      <c r="Q162" s="74" t="n">
        <v>1</v>
      </c>
      <c r="R162" s="74" t="n">
        <v>0</v>
      </c>
      <c r="S162" s="74" t="n">
        <v>0</v>
      </c>
      <c r="T162" s="74" t="n">
        <v>1</v>
      </c>
      <c r="U162" s="74" t="n">
        <v>1</v>
      </c>
    </row>
    <row r="163" customFormat="false" ht="15" hidden="false" customHeight="true" outlineLevel="0" collapsed="false">
      <c r="A163" s="30" t="s">
        <v>121</v>
      </c>
      <c r="B163" s="76"/>
      <c r="C163" s="76"/>
      <c r="D163" s="76"/>
      <c r="E163" s="76"/>
      <c r="F163" s="76"/>
      <c r="G163" s="76"/>
      <c r="H163" s="76"/>
      <c r="I163" s="76"/>
      <c r="J163" s="74" t="n">
        <v>27</v>
      </c>
      <c r="K163" s="74" t="n">
        <v>20</v>
      </c>
      <c r="L163" s="74" t="n">
        <v>22</v>
      </c>
      <c r="M163" s="74" t="n">
        <v>20</v>
      </c>
      <c r="N163" s="74" t="n">
        <v>20</v>
      </c>
      <c r="O163" s="74" t="n">
        <v>5</v>
      </c>
      <c r="P163" s="74" t="n">
        <v>1</v>
      </c>
      <c r="Q163" s="74" t="n">
        <v>3</v>
      </c>
      <c r="R163" s="74" t="n">
        <v>1</v>
      </c>
      <c r="S163" s="74" t="n">
        <v>1</v>
      </c>
      <c r="T163" s="74" t="n">
        <v>1</v>
      </c>
      <c r="U163" s="74" t="n">
        <v>0</v>
      </c>
    </row>
    <row r="164" customFormat="false" ht="15" hidden="false" customHeight="true" outlineLevel="0" collapsed="false">
      <c r="A164" s="30" t="s">
        <v>122</v>
      </c>
      <c r="B164" s="76"/>
      <c r="C164" s="76"/>
      <c r="D164" s="76"/>
      <c r="E164" s="76"/>
      <c r="F164" s="76"/>
      <c r="G164" s="76"/>
      <c r="H164" s="76"/>
      <c r="I164" s="76"/>
      <c r="J164" s="76"/>
      <c r="K164" s="74" t="n">
        <v>12</v>
      </c>
      <c r="L164" s="74" t="n">
        <v>12</v>
      </c>
      <c r="M164" s="74" t="n">
        <v>12</v>
      </c>
      <c r="N164" s="74" t="n">
        <v>12</v>
      </c>
      <c r="O164" s="74" t="n">
        <v>11</v>
      </c>
      <c r="P164" s="74" t="n">
        <v>2</v>
      </c>
      <c r="Q164" s="74" t="n">
        <v>1</v>
      </c>
      <c r="R164" s="74" t="n">
        <v>1</v>
      </c>
      <c r="S164" s="74" t="n">
        <v>1</v>
      </c>
      <c r="T164" s="74" t="n">
        <v>1</v>
      </c>
      <c r="U164" s="74" t="n">
        <v>0</v>
      </c>
    </row>
    <row r="165" customFormat="false" ht="15" hidden="false" customHeight="true" outlineLevel="0" collapsed="false">
      <c r="A165" s="30" t="s">
        <v>123</v>
      </c>
      <c r="B165" s="76"/>
      <c r="C165" s="76"/>
      <c r="D165" s="76"/>
      <c r="E165" s="76"/>
      <c r="F165" s="76"/>
      <c r="G165" s="76"/>
      <c r="H165" s="76"/>
      <c r="I165" s="76"/>
      <c r="J165" s="76"/>
      <c r="K165" s="76"/>
      <c r="L165" s="74" t="n">
        <v>24</v>
      </c>
      <c r="M165" s="74" t="n">
        <v>20</v>
      </c>
      <c r="N165" s="74" t="n">
        <v>15</v>
      </c>
      <c r="O165" s="74" t="n">
        <v>17</v>
      </c>
      <c r="P165" s="74" t="n">
        <v>16</v>
      </c>
      <c r="Q165" s="74" t="n">
        <v>3</v>
      </c>
      <c r="R165" s="74" t="n">
        <v>1</v>
      </c>
      <c r="S165" s="74" t="n">
        <v>0</v>
      </c>
      <c r="T165" s="74" t="n">
        <v>0</v>
      </c>
      <c r="U165" s="74" t="n">
        <v>0</v>
      </c>
    </row>
    <row r="166" customFormat="false" ht="15" hidden="false" customHeight="true" outlineLevel="0" collapsed="false">
      <c r="A166" s="30" t="s">
        <v>124</v>
      </c>
      <c r="B166" s="76"/>
      <c r="C166" s="76"/>
      <c r="D166" s="76"/>
      <c r="E166" s="76"/>
      <c r="F166" s="76"/>
      <c r="G166" s="76"/>
      <c r="H166" s="76"/>
      <c r="I166" s="76"/>
      <c r="J166" s="76"/>
      <c r="K166" s="76"/>
      <c r="L166" s="76"/>
      <c r="M166" s="74" t="n">
        <v>31</v>
      </c>
      <c r="N166" s="74" t="n">
        <v>24</v>
      </c>
      <c r="O166" s="74" t="n">
        <v>26</v>
      </c>
      <c r="P166" s="74" t="n">
        <v>25</v>
      </c>
      <c r="Q166" s="74" t="n">
        <v>24</v>
      </c>
      <c r="R166" s="74" t="n">
        <v>7</v>
      </c>
      <c r="S166" s="74" t="n">
        <v>1</v>
      </c>
      <c r="T166" s="74" t="n">
        <v>3</v>
      </c>
      <c r="U166" s="74" t="n">
        <v>1</v>
      </c>
    </row>
    <row r="167" customFormat="false" ht="15" hidden="false" customHeight="true" outlineLevel="0" collapsed="false">
      <c r="A167" s="30" t="s">
        <v>125</v>
      </c>
      <c r="B167" s="76"/>
      <c r="C167" s="76"/>
      <c r="D167" s="76"/>
      <c r="E167" s="76"/>
      <c r="F167" s="76"/>
      <c r="G167" s="76"/>
      <c r="H167" s="76"/>
      <c r="I167" s="76"/>
      <c r="J167" s="76"/>
      <c r="K167" s="76"/>
      <c r="L167" s="76"/>
      <c r="M167" s="76"/>
      <c r="N167" s="74" t="n">
        <v>14</v>
      </c>
      <c r="O167" s="74" t="n">
        <v>10</v>
      </c>
      <c r="P167" s="74" t="n">
        <v>11</v>
      </c>
      <c r="Q167" s="74" t="n">
        <v>10</v>
      </c>
      <c r="R167" s="74" t="n">
        <v>11</v>
      </c>
      <c r="S167" s="74" t="n">
        <v>1</v>
      </c>
      <c r="T167" s="74" t="n">
        <v>0</v>
      </c>
      <c r="U167" s="74" t="n">
        <v>1</v>
      </c>
    </row>
    <row r="168" customFormat="false" ht="15" hidden="false" customHeight="true" outlineLevel="0" collapsed="false">
      <c r="A168" s="30" t="s">
        <v>126</v>
      </c>
      <c r="B168" s="76"/>
      <c r="C168" s="76"/>
      <c r="D168" s="76"/>
      <c r="E168" s="76"/>
      <c r="F168" s="76"/>
      <c r="G168" s="76"/>
      <c r="H168" s="76"/>
      <c r="I168" s="76"/>
      <c r="J168" s="76"/>
      <c r="K168" s="76"/>
      <c r="L168" s="76"/>
      <c r="M168" s="76"/>
      <c r="N168" s="76"/>
      <c r="O168" s="74" t="n">
        <v>26</v>
      </c>
      <c r="P168" s="74" t="n">
        <v>23</v>
      </c>
      <c r="Q168" s="74" t="n">
        <v>21</v>
      </c>
      <c r="R168" s="74" t="n">
        <v>20</v>
      </c>
      <c r="S168" s="74" t="n">
        <v>20</v>
      </c>
      <c r="T168" s="74" t="n">
        <v>1</v>
      </c>
      <c r="U168" s="74" t="n">
        <v>2</v>
      </c>
    </row>
    <row r="169" customFormat="false" ht="15" hidden="false" customHeight="true" outlineLevel="0" collapsed="false">
      <c r="A169" s="30" t="s">
        <v>127</v>
      </c>
      <c r="B169" s="76"/>
      <c r="C169" s="76"/>
      <c r="D169" s="76"/>
      <c r="E169" s="76"/>
      <c r="F169" s="76"/>
      <c r="G169" s="76"/>
      <c r="H169" s="76"/>
      <c r="I169" s="76"/>
      <c r="J169" s="76"/>
      <c r="K169" s="76"/>
      <c r="L169" s="76"/>
      <c r="M169" s="76"/>
      <c r="N169" s="76"/>
      <c r="O169" s="76"/>
      <c r="P169" s="74" t="n">
        <v>25</v>
      </c>
      <c r="Q169" s="74" t="n">
        <v>20</v>
      </c>
      <c r="R169" s="74" t="n">
        <v>20</v>
      </c>
      <c r="S169" s="74" t="n">
        <v>19</v>
      </c>
      <c r="T169" s="74" t="n">
        <v>19</v>
      </c>
      <c r="U169" s="74" t="n">
        <v>4</v>
      </c>
    </row>
    <row r="170" customFormat="false" ht="15" hidden="false" customHeight="true" outlineLevel="0" collapsed="false">
      <c r="A170" s="30" t="s">
        <v>128</v>
      </c>
      <c r="B170" s="76"/>
      <c r="C170" s="76"/>
      <c r="D170" s="76"/>
      <c r="E170" s="76"/>
      <c r="F170" s="76"/>
      <c r="G170" s="76"/>
      <c r="H170" s="76"/>
      <c r="I170" s="76"/>
      <c r="J170" s="76"/>
      <c r="K170" s="76"/>
      <c r="L170" s="76"/>
      <c r="M170" s="76"/>
      <c r="N170" s="76"/>
      <c r="O170" s="76"/>
      <c r="P170" s="76"/>
      <c r="Q170" s="74" t="n">
        <v>17</v>
      </c>
      <c r="R170" s="74" t="n">
        <v>14</v>
      </c>
      <c r="S170" s="74" t="n">
        <v>12</v>
      </c>
      <c r="T170" s="74" t="n">
        <v>13</v>
      </c>
      <c r="U170" s="74" t="n">
        <v>13</v>
      </c>
    </row>
    <row r="171" customFormat="false" ht="15" hidden="false" customHeight="true" outlineLevel="0" collapsed="false">
      <c r="A171" s="30" t="s">
        <v>129</v>
      </c>
      <c r="B171" s="76"/>
      <c r="C171" s="76"/>
      <c r="D171" s="76"/>
      <c r="E171" s="76"/>
      <c r="F171" s="76"/>
      <c r="G171" s="76"/>
      <c r="H171" s="76"/>
      <c r="I171" s="76"/>
      <c r="J171" s="76"/>
      <c r="K171" s="76"/>
      <c r="L171" s="76"/>
      <c r="M171" s="76"/>
      <c r="N171" s="76"/>
      <c r="O171" s="76"/>
      <c r="P171" s="76"/>
      <c r="Q171" s="76"/>
      <c r="R171" s="74" t="n">
        <v>21</v>
      </c>
      <c r="S171" s="74" t="n">
        <v>19</v>
      </c>
      <c r="T171" s="74" t="n">
        <v>16</v>
      </c>
      <c r="U171" s="74" t="n">
        <v>17</v>
      </c>
    </row>
    <row r="172" customFormat="false" ht="15" hidden="false" customHeight="true" outlineLevel="0" collapsed="false">
      <c r="A172" s="30" t="s">
        <v>130</v>
      </c>
      <c r="B172" s="76"/>
      <c r="C172" s="76"/>
      <c r="D172" s="76"/>
      <c r="E172" s="76"/>
      <c r="F172" s="76"/>
      <c r="G172" s="76"/>
      <c r="H172" s="76"/>
      <c r="I172" s="76"/>
      <c r="J172" s="76"/>
      <c r="K172" s="76"/>
      <c r="L172" s="76"/>
      <c r="M172" s="76"/>
      <c r="N172" s="76"/>
      <c r="O172" s="76"/>
      <c r="P172" s="76"/>
      <c r="Q172" s="76"/>
      <c r="R172" s="76"/>
      <c r="S172" s="74" t="n">
        <v>16</v>
      </c>
      <c r="T172" s="74" t="n">
        <v>13</v>
      </c>
      <c r="U172" s="74" t="n">
        <v>15</v>
      </c>
    </row>
    <row r="173" customFormat="false" ht="15" hidden="false" customHeight="true" outlineLevel="0" collapsed="false">
      <c r="A173" s="30" t="s">
        <v>131</v>
      </c>
      <c r="B173" s="76"/>
      <c r="C173" s="76"/>
      <c r="D173" s="76"/>
      <c r="E173" s="76"/>
      <c r="F173" s="76"/>
      <c r="G173" s="76"/>
      <c r="H173" s="76"/>
      <c r="I173" s="76"/>
      <c r="J173" s="76"/>
      <c r="K173" s="76"/>
      <c r="L173" s="76"/>
      <c r="M173" s="76"/>
      <c r="N173" s="76"/>
      <c r="O173" s="76"/>
      <c r="P173" s="76"/>
      <c r="Q173" s="76"/>
      <c r="R173" s="76"/>
      <c r="S173" s="76"/>
      <c r="T173" s="74" t="n">
        <v>10</v>
      </c>
      <c r="U173" s="74" t="n">
        <v>10</v>
      </c>
    </row>
    <row r="174" customFormat="false" ht="15" hidden="false" customHeight="true" outlineLevel="0" collapsed="false">
      <c r="A174" s="30" t="s">
        <v>132</v>
      </c>
      <c r="B174" s="76"/>
      <c r="C174" s="76"/>
      <c r="D174" s="76"/>
      <c r="E174" s="76"/>
      <c r="F174" s="76"/>
      <c r="G174" s="76"/>
      <c r="H174" s="76"/>
      <c r="I174" s="76"/>
      <c r="J174" s="76"/>
      <c r="K174" s="76"/>
      <c r="L174" s="76"/>
      <c r="M174" s="76"/>
      <c r="N174" s="76"/>
      <c r="O174" s="76"/>
      <c r="P174" s="76"/>
      <c r="Q174" s="76"/>
      <c r="R174" s="76"/>
      <c r="S174" s="76"/>
      <c r="T174" s="76"/>
      <c r="U174" s="74" t="n">
        <v>13</v>
      </c>
    </row>
    <row r="175" customFormat="false" ht="15" hidden="false" customHeight="true" outlineLevel="0" collapsed="false">
      <c r="A175" s="34" t="s">
        <v>514</v>
      </c>
      <c r="B175" s="79"/>
      <c r="C175" s="79"/>
      <c r="D175" s="79" t="n">
        <v>30</v>
      </c>
      <c r="E175" s="79" t="n">
        <v>60</v>
      </c>
      <c r="F175" s="79" t="n">
        <v>89</v>
      </c>
      <c r="G175" s="79" t="n">
        <v>118</v>
      </c>
      <c r="H175" s="79" t="n">
        <v>109</v>
      </c>
      <c r="I175" s="79" t="n">
        <v>115</v>
      </c>
      <c r="J175" s="79" t="n">
        <v>111</v>
      </c>
      <c r="K175" s="79" t="n">
        <v>91</v>
      </c>
      <c r="L175" s="79" t="n">
        <v>99</v>
      </c>
      <c r="M175" s="79" t="n">
        <v>116</v>
      </c>
      <c r="N175" s="79" t="n">
        <v>89</v>
      </c>
      <c r="O175" s="79" t="n">
        <v>102</v>
      </c>
      <c r="P175" s="79" t="n">
        <v>107</v>
      </c>
      <c r="Q175" s="79" t="n">
        <v>101</v>
      </c>
      <c r="R175" s="79" t="n">
        <v>98</v>
      </c>
      <c r="S175" s="79" t="n">
        <v>92</v>
      </c>
      <c r="T175" s="79" t="n">
        <v>80</v>
      </c>
      <c r="U175" s="79" t="n">
        <v>80</v>
      </c>
    </row>
    <row r="177" customFormat="false" ht="19.5" hidden="false" customHeight="true" outlineLevel="0" collapsed="false">
      <c r="A177" s="65" t="s">
        <v>413</v>
      </c>
      <c r="B177" s="65"/>
      <c r="C177" s="65"/>
      <c r="D177" s="65"/>
      <c r="E177" s="65"/>
      <c r="F177" s="65"/>
      <c r="G177" s="65"/>
      <c r="H177" s="65"/>
      <c r="I177" s="65"/>
      <c r="J177" s="65"/>
      <c r="K177" s="65"/>
      <c r="L177" s="65"/>
      <c r="M177" s="65"/>
      <c r="N177" s="65"/>
      <c r="O177" s="65"/>
      <c r="P177" s="65"/>
      <c r="Q177" s="65"/>
      <c r="R177" s="65"/>
      <c r="S177" s="65"/>
      <c r="T177" s="65"/>
      <c r="U177" s="65"/>
    </row>
    <row r="178" customFormat="false" ht="15" hidden="false" customHeight="true" outlineLevel="0" collapsed="false">
      <c r="A178" s="12" t="s">
        <v>513</v>
      </c>
      <c r="B178" s="12" t="s">
        <v>113</v>
      </c>
      <c r="C178" s="12" t="s">
        <v>114</v>
      </c>
      <c r="D178" s="12" t="s">
        <v>115</v>
      </c>
      <c r="E178" s="12" t="s">
        <v>116</v>
      </c>
      <c r="F178" s="12" t="s">
        <v>117</v>
      </c>
      <c r="G178" s="12" t="s">
        <v>118</v>
      </c>
      <c r="H178" s="12" t="s">
        <v>119</v>
      </c>
      <c r="I178" s="12" t="s">
        <v>120</v>
      </c>
      <c r="J178" s="12" t="s">
        <v>121</v>
      </c>
      <c r="K178" s="12" t="s">
        <v>122</v>
      </c>
      <c r="L178" s="12" t="s">
        <v>123</v>
      </c>
      <c r="M178" s="12" t="s">
        <v>124</v>
      </c>
      <c r="N178" s="12" t="s">
        <v>125</v>
      </c>
      <c r="O178" s="12" t="s">
        <v>126</v>
      </c>
      <c r="P178" s="12" t="s">
        <v>127</v>
      </c>
      <c r="Q178" s="12" t="s">
        <v>128</v>
      </c>
      <c r="R178" s="12" t="s">
        <v>129</v>
      </c>
      <c r="S178" s="12" t="s">
        <v>130</v>
      </c>
      <c r="T178" s="12" t="s">
        <v>131</v>
      </c>
      <c r="U178" s="12" t="s">
        <v>132</v>
      </c>
    </row>
    <row r="179" customFormat="false" ht="15" hidden="false" customHeight="true" outlineLevel="0" collapsed="false">
      <c r="A179" s="30" t="s">
        <v>117</v>
      </c>
      <c r="B179" s="76"/>
      <c r="C179" s="76"/>
      <c r="D179" s="76"/>
      <c r="E179" s="76"/>
      <c r="F179" s="74" t="n">
        <v>30</v>
      </c>
      <c r="G179" s="74" t="n">
        <v>23</v>
      </c>
      <c r="H179" s="74" t="n">
        <v>18</v>
      </c>
      <c r="I179" s="74" t="n">
        <v>17</v>
      </c>
      <c r="J179" s="74" t="n">
        <v>18</v>
      </c>
      <c r="K179" s="74" t="n">
        <v>16</v>
      </c>
      <c r="L179" s="74" t="n">
        <v>15</v>
      </c>
      <c r="M179" s="74" t="n">
        <v>15</v>
      </c>
      <c r="N179" s="74" t="n">
        <v>6</v>
      </c>
      <c r="O179" s="74" t="n">
        <v>2</v>
      </c>
      <c r="P179" s="74" t="n">
        <v>2</v>
      </c>
      <c r="Q179" s="74" t="n">
        <v>0</v>
      </c>
      <c r="R179" s="74" t="n">
        <v>0</v>
      </c>
      <c r="S179" s="74" t="n">
        <v>0</v>
      </c>
      <c r="T179" s="74" t="n">
        <v>0</v>
      </c>
      <c r="U179" s="74" t="n">
        <v>0</v>
      </c>
    </row>
    <row r="180" customFormat="false" ht="15" hidden="false" customHeight="true" outlineLevel="0" collapsed="false">
      <c r="A180" s="30" t="s">
        <v>118</v>
      </c>
      <c r="B180" s="76"/>
      <c r="C180" s="76"/>
      <c r="D180" s="76"/>
      <c r="E180" s="76"/>
      <c r="F180" s="76"/>
      <c r="G180" s="74" t="n">
        <v>48</v>
      </c>
      <c r="H180" s="74" t="n">
        <v>39</v>
      </c>
      <c r="I180" s="74" t="n">
        <v>39</v>
      </c>
      <c r="J180" s="74" t="n">
        <v>36</v>
      </c>
      <c r="K180" s="74" t="n">
        <v>31</v>
      </c>
      <c r="L180" s="74" t="n">
        <v>36</v>
      </c>
      <c r="M180" s="74" t="n">
        <v>34</v>
      </c>
      <c r="N180" s="74" t="n">
        <v>33</v>
      </c>
      <c r="O180" s="74" t="n">
        <v>9</v>
      </c>
      <c r="P180" s="74" t="n">
        <v>4</v>
      </c>
      <c r="Q180" s="74" t="n">
        <v>1</v>
      </c>
      <c r="R180" s="74" t="n">
        <v>0</v>
      </c>
      <c r="S180" s="74" t="n">
        <v>0</v>
      </c>
      <c r="T180" s="74" t="n">
        <v>0</v>
      </c>
      <c r="U180" s="74" t="n">
        <v>0</v>
      </c>
    </row>
    <row r="181" customFormat="false" ht="15" hidden="false" customHeight="true" outlineLevel="0" collapsed="false">
      <c r="A181" s="30" t="s">
        <v>119</v>
      </c>
      <c r="B181" s="76"/>
      <c r="C181" s="76"/>
      <c r="D181" s="76"/>
      <c r="E181" s="76"/>
      <c r="F181" s="76"/>
      <c r="G181" s="76"/>
      <c r="H181" s="74" t="n">
        <v>25</v>
      </c>
      <c r="I181" s="74" t="n">
        <v>19</v>
      </c>
      <c r="J181" s="74" t="n">
        <v>17</v>
      </c>
      <c r="K181" s="74" t="n">
        <v>13</v>
      </c>
      <c r="L181" s="74" t="n">
        <v>15</v>
      </c>
      <c r="M181" s="74" t="n">
        <v>13</v>
      </c>
      <c r="N181" s="74" t="n">
        <v>11</v>
      </c>
      <c r="O181" s="74" t="n">
        <v>12</v>
      </c>
      <c r="P181" s="74" t="n">
        <v>3</v>
      </c>
      <c r="Q181" s="74" t="n">
        <v>2</v>
      </c>
      <c r="R181" s="74" t="n">
        <v>0</v>
      </c>
      <c r="S181" s="74" t="n">
        <v>0</v>
      </c>
      <c r="T181" s="74" t="n">
        <v>0</v>
      </c>
      <c r="U181" s="74" t="n">
        <v>0</v>
      </c>
    </row>
    <row r="182" customFormat="false" ht="15" hidden="false" customHeight="true" outlineLevel="0" collapsed="false">
      <c r="A182" s="30" t="s">
        <v>120</v>
      </c>
      <c r="B182" s="76"/>
      <c r="C182" s="76"/>
      <c r="D182" s="76"/>
      <c r="E182" s="76"/>
      <c r="F182" s="76"/>
      <c r="G182" s="76"/>
      <c r="H182" s="76"/>
      <c r="I182" s="74" t="n">
        <v>46</v>
      </c>
      <c r="J182" s="74" t="n">
        <v>40</v>
      </c>
      <c r="K182" s="74" t="n">
        <v>35</v>
      </c>
      <c r="L182" s="74" t="n">
        <v>34</v>
      </c>
      <c r="M182" s="74" t="n">
        <v>34</v>
      </c>
      <c r="N182" s="74" t="n">
        <v>29</v>
      </c>
      <c r="O182" s="74" t="n">
        <v>29</v>
      </c>
      <c r="P182" s="74" t="n">
        <v>30</v>
      </c>
      <c r="Q182" s="74" t="n">
        <v>8</v>
      </c>
      <c r="R182" s="74" t="n">
        <v>6</v>
      </c>
      <c r="S182" s="74" t="n">
        <v>2</v>
      </c>
      <c r="T182" s="74" t="n">
        <v>0</v>
      </c>
      <c r="U182" s="74" t="n">
        <v>0</v>
      </c>
    </row>
    <row r="183" customFormat="false" ht="15" hidden="false" customHeight="true" outlineLevel="0" collapsed="false">
      <c r="A183" s="30" t="s">
        <v>121</v>
      </c>
      <c r="B183" s="76"/>
      <c r="C183" s="76"/>
      <c r="D183" s="76"/>
      <c r="E183" s="76"/>
      <c r="F183" s="76"/>
      <c r="G183" s="76"/>
      <c r="H183" s="76"/>
      <c r="I183" s="76"/>
      <c r="J183" s="74" t="n">
        <v>20</v>
      </c>
      <c r="K183" s="74" t="n">
        <v>18</v>
      </c>
      <c r="L183" s="74" t="n">
        <v>18</v>
      </c>
      <c r="M183" s="74" t="n">
        <v>17</v>
      </c>
      <c r="N183" s="74" t="n">
        <v>17</v>
      </c>
      <c r="O183" s="74" t="n">
        <v>16</v>
      </c>
      <c r="P183" s="74" t="n">
        <v>15</v>
      </c>
      <c r="Q183" s="74" t="n">
        <v>14</v>
      </c>
      <c r="R183" s="74" t="n">
        <v>2</v>
      </c>
      <c r="S183" s="74" t="n">
        <v>3</v>
      </c>
      <c r="T183" s="74" t="n">
        <v>0</v>
      </c>
      <c r="U183" s="74" t="n">
        <v>1</v>
      </c>
    </row>
    <row r="184" customFormat="false" ht="15" hidden="false" customHeight="true" outlineLevel="0" collapsed="false">
      <c r="A184" s="30" t="s">
        <v>122</v>
      </c>
      <c r="B184" s="76"/>
      <c r="C184" s="76"/>
      <c r="D184" s="76"/>
      <c r="E184" s="76"/>
      <c r="F184" s="76"/>
      <c r="G184" s="76"/>
      <c r="H184" s="76"/>
      <c r="I184" s="76"/>
      <c r="J184" s="76"/>
      <c r="K184" s="74" t="n">
        <v>23</v>
      </c>
      <c r="L184" s="74" t="n">
        <v>21</v>
      </c>
      <c r="M184" s="74" t="n">
        <v>20</v>
      </c>
      <c r="N184" s="74" t="n">
        <v>20</v>
      </c>
      <c r="O184" s="74" t="n">
        <v>19</v>
      </c>
      <c r="P184" s="74" t="n">
        <v>19</v>
      </c>
      <c r="Q184" s="74" t="n">
        <v>18</v>
      </c>
      <c r="R184" s="74" t="n">
        <v>20</v>
      </c>
      <c r="S184" s="74" t="n">
        <v>3</v>
      </c>
      <c r="T184" s="74" t="n">
        <v>2</v>
      </c>
      <c r="U184" s="74" t="n">
        <v>2</v>
      </c>
    </row>
    <row r="185" customFormat="false" ht="15" hidden="false" customHeight="true" outlineLevel="0" collapsed="false">
      <c r="A185" s="30" t="s">
        <v>123</v>
      </c>
      <c r="B185" s="76"/>
      <c r="C185" s="76"/>
      <c r="D185" s="76"/>
      <c r="E185" s="76"/>
      <c r="F185" s="76"/>
      <c r="G185" s="76"/>
      <c r="H185" s="76"/>
      <c r="I185" s="76"/>
      <c r="J185" s="76"/>
      <c r="K185" s="76"/>
      <c r="L185" s="74" t="n">
        <v>30</v>
      </c>
      <c r="M185" s="74" t="n">
        <v>25</v>
      </c>
      <c r="N185" s="74" t="n">
        <v>26</v>
      </c>
      <c r="O185" s="74" t="n">
        <v>25</v>
      </c>
      <c r="P185" s="74" t="n">
        <v>25</v>
      </c>
      <c r="Q185" s="74" t="n">
        <v>23</v>
      </c>
      <c r="R185" s="74" t="n">
        <v>24</v>
      </c>
      <c r="S185" s="74" t="n">
        <v>24</v>
      </c>
      <c r="T185" s="74" t="n">
        <v>2</v>
      </c>
      <c r="U185" s="74" t="n">
        <v>0</v>
      </c>
    </row>
    <row r="186" customFormat="false" ht="15" hidden="false" customHeight="true" outlineLevel="0" collapsed="false">
      <c r="A186" s="30" t="s">
        <v>124</v>
      </c>
      <c r="B186" s="76"/>
      <c r="C186" s="76"/>
      <c r="D186" s="76"/>
      <c r="E186" s="76"/>
      <c r="F186" s="76"/>
      <c r="G186" s="76"/>
      <c r="H186" s="76"/>
      <c r="I186" s="76"/>
      <c r="J186" s="76"/>
      <c r="K186" s="76"/>
      <c r="L186" s="76"/>
      <c r="M186" s="74" t="n">
        <v>18</v>
      </c>
      <c r="N186" s="74" t="n">
        <v>16</v>
      </c>
      <c r="O186" s="74" t="n">
        <v>16</v>
      </c>
      <c r="P186" s="74" t="n">
        <v>17</v>
      </c>
      <c r="Q186" s="74" t="n">
        <v>16</v>
      </c>
      <c r="R186" s="74" t="n">
        <v>12</v>
      </c>
      <c r="S186" s="74" t="n">
        <v>12</v>
      </c>
      <c r="T186" s="74" t="n">
        <v>13</v>
      </c>
      <c r="U186" s="74" t="n">
        <v>2</v>
      </c>
    </row>
    <row r="187" customFormat="false" ht="15" hidden="false" customHeight="true" outlineLevel="0" collapsed="false">
      <c r="A187" s="30" t="s">
        <v>125</v>
      </c>
      <c r="B187" s="76"/>
      <c r="C187" s="76"/>
      <c r="D187" s="76"/>
      <c r="E187" s="76"/>
      <c r="F187" s="76"/>
      <c r="G187" s="76"/>
      <c r="H187" s="76"/>
      <c r="I187" s="76"/>
      <c r="J187" s="76"/>
      <c r="K187" s="76"/>
      <c r="L187" s="76"/>
      <c r="M187" s="76"/>
      <c r="N187" s="74" t="n">
        <v>18</v>
      </c>
      <c r="O187" s="74" t="n">
        <v>17</v>
      </c>
      <c r="P187" s="74" t="n">
        <v>17</v>
      </c>
      <c r="Q187" s="74" t="n">
        <v>17</v>
      </c>
      <c r="R187" s="74" t="n">
        <v>18</v>
      </c>
      <c r="S187" s="74" t="n">
        <v>17</v>
      </c>
      <c r="T187" s="74" t="n">
        <v>14</v>
      </c>
      <c r="U187" s="74" t="n">
        <v>14</v>
      </c>
    </row>
    <row r="188" customFormat="false" ht="15" hidden="false" customHeight="true" outlineLevel="0" collapsed="false">
      <c r="A188" s="30" t="s">
        <v>126</v>
      </c>
      <c r="B188" s="76"/>
      <c r="C188" s="76"/>
      <c r="D188" s="76"/>
      <c r="E188" s="76"/>
      <c r="F188" s="76"/>
      <c r="G188" s="76"/>
      <c r="H188" s="76"/>
      <c r="I188" s="76"/>
      <c r="J188" s="76"/>
      <c r="K188" s="76"/>
      <c r="L188" s="76"/>
      <c r="M188" s="76"/>
      <c r="N188" s="76"/>
      <c r="O188" s="74" t="n">
        <v>16</v>
      </c>
      <c r="P188" s="74" t="n">
        <v>12</v>
      </c>
      <c r="Q188" s="74" t="n">
        <v>12</v>
      </c>
      <c r="R188" s="74" t="n">
        <v>12</v>
      </c>
      <c r="S188" s="74" t="n">
        <v>12</v>
      </c>
      <c r="T188" s="74" t="n">
        <v>10</v>
      </c>
      <c r="U188" s="74" t="n">
        <v>11</v>
      </c>
    </row>
    <row r="189" customFormat="false" ht="15" hidden="false" customHeight="true" outlineLevel="0" collapsed="false">
      <c r="A189" s="30" t="s">
        <v>127</v>
      </c>
      <c r="B189" s="76"/>
      <c r="C189" s="76"/>
      <c r="D189" s="76"/>
      <c r="E189" s="76"/>
      <c r="F189" s="76"/>
      <c r="G189" s="76"/>
      <c r="H189" s="76"/>
      <c r="I189" s="76"/>
      <c r="J189" s="76"/>
      <c r="K189" s="76"/>
      <c r="L189" s="76"/>
      <c r="M189" s="76"/>
      <c r="N189" s="76"/>
      <c r="O189" s="76"/>
      <c r="P189" s="74" t="n">
        <v>21</v>
      </c>
      <c r="Q189" s="74" t="n">
        <v>20</v>
      </c>
      <c r="R189" s="74" t="n">
        <v>21</v>
      </c>
      <c r="S189" s="74" t="n">
        <v>20</v>
      </c>
      <c r="T189" s="74" t="n">
        <v>18</v>
      </c>
      <c r="U189" s="74" t="n">
        <v>20</v>
      </c>
    </row>
    <row r="190" customFormat="false" ht="15" hidden="false" customHeight="true" outlineLevel="0" collapsed="false">
      <c r="A190" s="30" t="s">
        <v>129</v>
      </c>
      <c r="B190" s="76"/>
      <c r="C190" s="76"/>
      <c r="D190" s="76"/>
      <c r="E190" s="76"/>
      <c r="F190" s="76"/>
      <c r="G190" s="76"/>
      <c r="H190" s="76"/>
      <c r="I190" s="76"/>
      <c r="J190" s="76"/>
      <c r="K190" s="76"/>
      <c r="L190" s="76"/>
      <c r="M190" s="76"/>
      <c r="N190" s="76"/>
      <c r="O190" s="76"/>
      <c r="P190" s="76"/>
      <c r="Q190" s="76"/>
      <c r="R190" s="74" t="n">
        <v>36</v>
      </c>
      <c r="S190" s="74" t="n">
        <v>34</v>
      </c>
      <c r="T190" s="74" t="n">
        <v>29</v>
      </c>
      <c r="U190" s="74" t="n">
        <v>31</v>
      </c>
    </row>
    <row r="191" customFormat="false" ht="15" hidden="false" customHeight="true" outlineLevel="0" collapsed="false">
      <c r="A191" s="30" t="s">
        <v>130</v>
      </c>
      <c r="B191" s="76"/>
      <c r="C191" s="76"/>
      <c r="D191" s="76"/>
      <c r="E191" s="76"/>
      <c r="F191" s="76"/>
      <c r="G191" s="76"/>
      <c r="H191" s="76"/>
      <c r="I191" s="76"/>
      <c r="J191" s="76"/>
      <c r="K191" s="76"/>
      <c r="L191" s="76"/>
      <c r="M191" s="76"/>
      <c r="N191" s="76"/>
      <c r="O191" s="76"/>
      <c r="P191" s="76"/>
      <c r="Q191" s="76"/>
      <c r="R191" s="76"/>
      <c r="S191" s="74" t="n">
        <v>43</v>
      </c>
      <c r="T191" s="74" t="n">
        <v>38</v>
      </c>
      <c r="U191" s="74" t="n">
        <v>33</v>
      </c>
    </row>
    <row r="192" customFormat="false" ht="15" hidden="false" customHeight="true" outlineLevel="0" collapsed="false">
      <c r="A192" s="30" t="s">
        <v>131</v>
      </c>
      <c r="B192" s="76"/>
      <c r="C192" s="76"/>
      <c r="D192" s="76"/>
      <c r="E192" s="76"/>
      <c r="F192" s="76"/>
      <c r="G192" s="76"/>
      <c r="H192" s="76"/>
      <c r="I192" s="76"/>
      <c r="J192" s="76"/>
      <c r="K192" s="76"/>
      <c r="L192" s="76"/>
      <c r="M192" s="76"/>
      <c r="N192" s="76"/>
      <c r="O192" s="76"/>
      <c r="P192" s="76"/>
      <c r="Q192" s="76"/>
      <c r="R192" s="76"/>
      <c r="S192" s="76"/>
      <c r="T192" s="74" t="n">
        <v>10</v>
      </c>
      <c r="U192" s="74" t="n">
        <v>9</v>
      </c>
    </row>
    <row r="193" customFormat="false" ht="15" hidden="false" customHeight="true" outlineLevel="0" collapsed="false">
      <c r="A193" s="30" t="s">
        <v>132</v>
      </c>
      <c r="B193" s="76"/>
      <c r="C193" s="76"/>
      <c r="D193" s="76"/>
      <c r="E193" s="76"/>
      <c r="F193" s="76"/>
      <c r="G193" s="76"/>
      <c r="H193" s="76"/>
      <c r="I193" s="76"/>
      <c r="J193" s="76"/>
      <c r="K193" s="76"/>
      <c r="L193" s="76"/>
      <c r="M193" s="76"/>
      <c r="N193" s="76"/>
      <c r="O193" s="76"/>
      <c r="P193" s="76"/>
      <c r="Q193" s="76"/>
      <c r="R193" s="76"/>
      <c r="S193" s="76"/>
      <c r="T193" s="76"/>
      <c r="U193" s="74" t="n">
        <v>51</v>
      </c>
    </row>
    <row r="194" customFormat="false" ht="15" hidden="false" customHeight="true" outlineLevel="0" collapsed="false">
      <c r="A194" s="34" t="s">
        <v>514</v>
      </c>
      <c r="B194" s="79"/>
      <c r="C194" s="79"/>
      <c r="D194" s="79"/>
      <c r="E194" s="79"/>
      <c r="F194" s="79" t="n">
        <v>30</v>
      </c>
      <c r="G194" s="79" t="n">
        <v>71</v>
      </c>
      <c r="H194" s="79" t="n">
        <v>82</v>
      </c>
      <c r="I194" s="79" t="n">
        <v>121</v>
      </c>
      <c r="J194" s="79" t="n">
        <v>131</v>
      </c>
      <c r="K194" s="79" t="n">
        <v>136</v>
      </c>
      <c r="L194" s="79" t="n">
        <v>169</v>
      </c>
      <c r="M194" s="79" t="n">
        <v>176</v>
      </c>
      <c r="N194" s="79" t="n">
        <v>176</v>
      </c>
      <c r="O194" s="79" t="n">
        <v>161</v>
      </c>
      <c r="P194" s="79" t="n">
        <v>165</v>
      </c>
      <c r="Q194" s="79" t="n">
        <v>131</v>
      </c>
      <c r="R194" s="79" t="n">
        <v>151</v>
      </c>
      <c r="S194" s="79" t="n">
        <v>170</v>
      </c>
      <c r="T194" s="79" t="n">
        <v>136</v>
      </c>
      <c r="U194" s="79" t="n">
        <v>174</v>
      </c>
    </row>
    <row r="196" customFormat="false" ht="19.5" hidden="false" customHeight="true" outlineLevel="0" collapsed="false">
      <c r="A196" s="65" t="s">
        <v>414</v>
      </c>
      <c r="B196" s="65"/>
      <c r="C196" s="65"/>
      <c r="D196" s="65"/>
      <c r="E196" s="65"/>
      <c r="F196" s="65"/>
      <c r="G196" s="65"/>
      <c r="H196" s="65"/>
      <c r="I196" s="65"/>
      <c r="J196" s="65"/>
      <c r="K196" s="65"/>
      <c r="L196" s="65"/>
      <c r="M196" s="65"/>
      <c r="N196" s="65"/>
      <c r="O196" s="65"/>
      <c r="P196" s="65"/>
      <c r="Q196" s="65"/>
      <c r="R196" s="65"/>
      <c r="S196" s="65"/>
      <c r="T196" s="65"/>
      <c r="U196" s="65"/>
    </row>
    <row r="197" customFormat="false" ht="15" hidden="false" customHeight="true" outlineLevel="0" collapsed="false">
      <c r="A197" s="12" t="s">
        <v>513</v>
      </c>
      <c r="B197" s="12" t="s">
        <v>113</v>
      </c>
      <c r="C197" s="12" t="s">
        <v>114</v>
      </c>
      <c r="D197" s="12" t="s">
        <v>115</v>
      </c>
      <c r="E197" s="12" t="s">
        <v>116</v>
      </c>
      <c r="F197" s="12" t="s">
        <v>117</v>
      </c>
      <c r="G197" s="12" t="s">
        <v>118</v>
      </c>
      <c r="H197" s="12" t="s">
        <v>119</v>
      </c>
      <c r="I197" s="12" t="s">
        <v>120</v>
      </c>
      <c r="J197" s="12" t="s">
        <v>121</v>
      </c>
      <c r="K197" s="12" t="s">
        <v>122</v>
      </c>
      <c r="L197" s="12" t="s">
        <v>123</v>
      </c>
      <c r="M197" s="12" t="s">
        <v>124</v>
      </c>
      <c r="N197" s="12" t="s">
        <v>125</v>
      </c>
      <c r="O197" s="12" t="s">
        <v>126</v>
      </c>
      <c r="P197" s="12" t="s">
        <v>127</v>
      </c>
      <c r="Q197" s="12" t="s">
        <v>128</v>
      </c>
      <c r="R197" s="12" t="s">
        <v>129</v>
      </c>
      <c r="S197" s="12" t="s">
        <v>130</v>
      </c>
      <c r="T197" s="12" t="s">
        <v>131</v>
      </c>
      <c r="U197" s="12" t="s">
        <v>132</v>
      </c>
    </row>
    <row r="198" customFormat="false" ht="15" hidden="false" customHeight="true" outlineLevel="0" collapsed="false">
      <c r="A198" s="30" t="s">
        <v>117</v>
      </c>
      <c r="B198" s="76"/>
      <c r="C198" s="76"/>
      <c r="D198" s="76"/>
      <c r="E198" s="76"/>
      <c r="F198" s="74" t="n">
        <v>22</v>
      </c>
      <c r="G198" s="74" t="n">
        <v>20</v>
      </c>
      <c r="H198" s="74" t="n">
        <v>19</v>
      </c>
      <c r="I198" s="74" t="n">
        <v>15</v>
      </c>
      <c r="J198" s="74" t="n">
        <v>8</v>
      </c>
      <c r="K198" s="74" t="n">
        <v>7</v>
      </c>
      <c r="L198" s="74" t="n">
        <v>6</v>
      </c>
      <c r="M198" s="74" t="n">
        <v>1</v>
      </c>
      <c r="N198" s="74" t="n">
        <v>0</v>
      </c>
      <c r="O198" s="74" t="n">
        <v>0</v>
      </c>
      <c r="P198" s="74" t="n">
        <v>0</v>
      </c>
      <c r="Q198" s="74" t="n">
        <v>0</v>
      </c>
      <c r="R198" s="74" t="n">
        <v>0</v>
      </c>
      <c r="S198" s="74" t="n">
        <v>0</v>
      </c>
      <c r="T198" s="74" t="n">
        <v>0</v>
      </c>
      <c r="U198" s="74" t="n">
        <v>0</v>
      </c>
    </row>
    <row r="199" customFormat="false" ht="15" hidden="false" customHeight="true" outlineLevel="0" collapsed="false">
      <c r="A199" s="30" t="s">
        <v>118</v>
      </c>
      <c r="B199" s="76"/>
      <c r="C199" s="76"/>
      <c r="D199" s="76"/>
      <c r="E199" s="76"/>
      <c r="F199" s="76"/>
      <c r="G199" s="74" t="n">
        <v>19</v>
      </c>
      <c r="H199" s="74" t="n">
        <v>16</v>
      </c>
      <c r="I199" s="74" t="n">
        <v>17</v>
      </c>
      <c r="J199" s="74" t="n">
        <v>17</v>
      </c>
      <c r="K199" s="74" t="n">
        <v>2</v>
      </c>
      <c r="L199" s="74" t="n">
        <v>1</v>
      </c>
      <c r="M199" s="74" t="n">
        <v>1</v>
      </c>
      <c r="N199" s="74" t="n">
        <v>1</v>
      </c>
      <c r="O199" s="74" t="n">
        <v>2</v>
      </c>
      <c r="P199" s="74" t="n">
        <v>1</v>
      </c>
      <c r="Q199" s="74" t="n">
        <v>0</v>
      </c>
      <c r="R199" s="74" t="n">
        <v>0</v>
      </c>
      <c r="S199" s="74" t="n">
        <v>1</v>
      </c>
      <c r="T199" s="74" t="n">
        <v>1</v>
      </c>
      <c r="U199" s="74" t="n">
        <v>1</v>
      </c>
    </row>
    <row r="200" customFormat="false" ht="15" hidden="false" customHeight="true" outlineLevel="0" collapsed="false">
      <c r="A200" s="30" t="s">
        <v>120</v>
      </c>
      <c r="B200" s="76"/>
      <c r="C200" s="76"/>
      <c r="D200" s="76"/>
      <c r="E200" s="76"/>
      <c r="F200" s="76"/>
      <c r="G200" s="76"/>
      <c r="H200" s="76"/>
      <c r="I200" s="74" t="n">
        <v>22</v>
      </c>
      <c r="J200" s="74" t="n">
        <v>20</v>
      </c>
      <c r="K200" s="74" t="n">
        <v>19</v>
      </c>
      <c r="L200" s="74" t="n">
        <v>20</v>
      </c>
      <c r="M200" s="74" t="n">
        <v>5</v>
      </c>
      <c r="N200" s="74" t="n">
        <v>1</v>
      </c>
      <c r="O200" s="74" t="n">
        <v>1</v>
      </c>
      <c r="P200" s="74" t="n">
        <v>0</v>
      </c>
      <c r="Q200" s="74" t="n">
        <v>0</v>
      </c>
      <c r="R200" s="74" t="n">
        <v>0</v>
      </c>
      <c r="S200" s="74" t="n">
        <v>0</v>
      </c>
      <c r="T200" s="74" t="n">
        <v>0</v>
      </c>
      <c r="U200" s="74" t="n">
        <v>1</v>
      </c>
    </row>
    <row r="201" customFormat="false" ht="15" hidden="false" customHeight="true" outlineLevel="0" collapsed="false">
      <c r="A201" s="30" t="s">
        <v>121</v>
      </c>
      <c r="B201" s="76"/>
      <c r="C201" s="76"/>
      <c r="D201" s="76"/>
      <c r="E201" s="76"/>
      <c r="F201" s="76"/>
      <c r="G201" s="76"/>
      <c r="H201" s="76"/>
      <c r="I201" s="76"/>
      <c r="J201" s="74" t="n">
        <v>18</v>
      </c>
      <c r="K201" s="74" t="n">
        <v>17</v>
      </c>
      <c r="L201" s="74" t="n">
        <v>16</v>
      </c>
      <c r="M201" s="74" t="n">
        <v>15</v>
      </c>
      <c r="N201" s="74" t="n">
        <v>6</v>
      </c>
      <c r="O201" s="74" t="n">
        <v>6</v>
      </c>
      <c r="P201" s="74" t="n">
        <v>2</v>
      </c>
      <c r="Q201" s="74" t="n">
        <v>0</v>
      </c>
      <c r="R201" s="74" t="n">
        <v>0</v>
      </c>
      <c r="S201" s="74" t="n">
        <v>0</v>
      </c>
      <c r="T201" s="74" t="n">
        <v>0</v>
      </c>
      <c r="U201" s="74" t="n">
        <v>1</v>
      </c>
    </row>
    <row r="202" customFormat="false" ht="15" hidden="false" customHeight="true" outlineLevel="0" collapsed="false">
      <c r="A202" s="30" t="s">
        <v>123</v>
      </c>
      <c r="B202" s="76"/>
      <c r="C202" s="76"/>
      <c r="D202" s="76"/>
      <c r="E202" s="76"/>
      <c r="F202" s="76"/>
      <c r="G202" s="76"/>
      <c r="H202" s="76"/>
      <c r="I202" s="76"/>
      <c r="J202" s="76"/>
      <c r="K202" s="76"/>
      <c r="L202" s="74" t="n">
        <v>23</v>
      </c>
      <c r="M202" s="74" t="n">
        <v>20</v>
      </c>
      <c r="N202" s="74" t="n">
        <v>19</v>
      </c>
      <c r="O202" s="74" t="n">
        <v>18</v>
      </c>
      <c r="P202" s="74" t="n">
        <v>8</v>
      </c>
      <c r="Q202" s="74" t="n">
        <v>3</v>
      </c>
      <c r="R202" s="74" t="n">
        <v>3</v>
      </c>
      <c r="S202" s="74" t="n">
        <v>0</v>
      </c>
      <c r="T202" s="74" t="n">
        <v>0</v>
      </c>
      <c r="U202" s="74" t="n">
        <v>0</v>
      </c>
    </row>
    <row r="203" customFormat="false" ht="15" hidden="false" customHeight="true" outlineLevel="0" collapsed="false">
      <c r="A203" s="30" t="s">
        <v>124</v>
      </c>
      <c r="B203" s="76"/>
      <c r="C203" s="76"/>
      <c r="D203" s="76"/>
      <c r="E203" s="76"/>
      <c r="F203" s="76"/>
      <c r="G203" s="76"/>
      <c r="H203" s="76"/>
      <c r="I203" s="76"/>
      <c r="J203" s="76"/>
      <c r="K203" s="76"/>
      <c r="L203" s="76"/>
      <c r="M203" s="74" t="n">
        <v>11</v>
      </c>
      <c r="N203" s="74" t="n">
        <v>9</v>
      </c>
      <c r="O203" s="74" t="n">
        <v>10</v>
      </c>
      <c r="P203" s="74" t="n">
        <v>10</v>
      </c>
      <c r="Q203" s="74" t="n">
        <v>4</v>
      </c>
      <c r="R203" s="74" t="n">
        <v>4</v>
      </c>
      <c r="S203" s="74" t="n">
        <v>4</v>
      </c>
      <c r="T203" s="74" t="n">
        <v>0</v>
      </c>
      <c r="U203" s="74" t="n">
        <v>0</v>
      </c>
    </row>
    <row r="204" customFormat="false" ht="15" hidden="false" customHeight="true" outlineLevel="0" collapsed="false">
      <c r="A204" s="30" t="s">
        <v>126</v>
      </c>
      <c r="B204" s="76"/>
      <c r="C204" s="76"/>
      <c r="D204" s="76"/>
      <c r="E204" s="76"/>
      <c r="F204" s="76"/>
      <c r="G204" s="76"/>
      <c r="H204" s="76"/>
      <c r="I204" s="76"/>
      <c r="J204" s="76"/>
      <c r="K204" s="76"/>
      <c r="L204" s="76"/>
      <c r="M204" s="76"/>
      <c r="N204" s="76"/>
      <c r="O204" s="74" t="n">
        <v>21</v>
      </c>
      <c r="P204" s="74" t="n">
        <v>20</v>
      </c>
      <c r="Q204" s="74" t="n">
        <v>20</v>
      </c>
      <c r="R204" s="74" t="n">
        <v>19</v>
      </c>
      <c r="S204" s="74" t="n">
        <v>6</v>
      </c>
      <c r="T204" s="74" t="n">
        <v>1</v>
      </c>
      <c r="U204" s="74" t="n">
        <v>1</v>
      </c>
    </row>
    <row r="205" customFormat="false" ht="15" hidden="false" customHeight="true" outlineLevel="0" collapsed="false">
      <c r="A205" s="30" t="s">
        <v>127</v>
      </c>
      <c r="B205" s="76"/>
      <c r="C205" s="76"/>
      <c r="D205" s="76"/>
      <c r="E205" s="76"/>
      <c r="F205" s="76"/>
      <c r="G205" s="76"/>
      <c r="H205" s="76"/>
      <c r="I205" s="76"/>
      <c r="J205" s="76"/>
      <c r="K205" s="76"/>
      <c r="L205" s="76"/>
      <c r="M205" s="76"/>
      <c r="N205" s="76"/>
      <c r="O205" s="76"/>
      <c r="P205" s="74" t="n">
        <v>13</v>
      </c>
      <c r="Q205" s="74" t="n">
        <v>13</v>
      </c>
      <c r="R205" s="74" t="n">
        <v>13</v>
      </c>
      <c r="S205" s="74" t="n">
        <v>13</v>
      </c>
      <c r="T205" s="74" t="n">
        <v>3</v>
      </c>
      <c r="U205" s="74" t="n">
        <v>3</v>
      </c>
    </row>
    <row r="206" customFormat="false" ht="15" hidden="false" customHeight="true" outlineLevel="0" collapsed="false">
      <c r="A206" s="30" t="s">
        <v>129</v>
      </c>
      <c r="B206" s="76"/>
      <c r="C206" s="76"/>
      <c r="D206" s="76"/>
      <c r="E206" s="76"/>
      <c r="F206" s="76"/>
      <c r="G206" s="76"/>
      <c r="H206" s="76"/>
      <c r="I206" s="76"/>
      <c r="J206" s="76"/>
      <c r="K206" s="76"/>
      <c r="L206" s="76"/>
      <c r="M206" s="76"/>
      <c r="N206" s="76"/>
      <c r="O206" s="76"/>
      <c r="P206" s="76"/>
      <c r="Q206" s="76"/>
      <c r="R206" s="74" t="n">
        <v>16</v>
      </c>
      <c r="S206" s="74" t="n">
        <v>13</v>
      </c>
      <c r="T206" s="74" t="n">
        <v>10</v>
      </c>
      <c r="U206" s="74" t="n">
        <v>12</v>
      </c>
    </row>
    <row r="207" customFormat="false" ht="15" hidden="false" customHeight="true" outlineLevel="0" collapsed="false">
      <c r="A207" s="30" t="s">
        <v>130</v>
      </c>
      <c r="B207" s="76"/>
      <c r="C207" s="76"/>
      <c r="D207" s="76"/>
      <c r="E207" s="76"/>
      <c r="F207" s="76"/>
      <c r="G207" s="76"/>
      <c r="H207" s="76"/>
      <c r="I207" s="76"/>
      <c r="J207" s="76"/>
      <c r="K207" s="76"/>
      <c r="L207" s="76"/>
      <c r="M207" s="76"/>
      <c r="N207" s="76"/>
      <c r="O207" s="76"/>
      <c r="P207" s="76"/>
      <c r="Q207" s="76"/>
      <c r="R207" s="76"/>
      <c r="S207" s="74" t="n">
        <v>13</v>
      </c>
      <c r="T207" s="74" t="n">
        <v>12</v>
      </c>
      <c r="U207" s="74" t="n">
        <v>12</v>
      </c>
    </row>
    <row r="208" customFormat="false" ht="15" hidden="false" customHeight="true" outlineLevel="0" collapsed="false">
      <c r="A208" s="30" t="s">
        <v>132</v>
      </c>
      <c r="B208" s="76"/>
      <c r="C208" s="76"/>
      <c r="D208" s="76"/>
      <c r="E208" s="76"/>
      <c r="F208" s="76"/>
      <c r="G208" s="76"/>
      <c r="H208" s="76"/>
      <c r="I208" s="76"/>
      <c r="J208" s="76"/>
      <c r="K208" s="76"/>
      <c r="L208" s="76"/>
      <c r="M208" s="76"/>
      <c r="N208" s="76"/>
      <c r="O208" s="76"/>
      <c r="P208" s="76"/>
      <c r="Q208" s="76"/>
      <c r="R208" s="76"/>
      <c r="S208" s="76"/>
      <c r="T208" s="76"/>
      <c r="U208" s="74" t="n">
        <v>14</v>
      </c>
    </row>
    <row r="209" customFormat="false" ht="15" hidden="false" customHeight="true" outlineLevel="0" collapsed="false">
      <c r="A209" s="34" t="s">
        <v>514</v>
      </c>
      <c r="B209" s="79"/>
      <c r="C209" s="79"/>
      <c r="D209" s="79"/>
      <c r="E209" s="79"/>
      <c r="F209" s="79" t="n">
        <v>22</v>
      </c>
      <c r="G209" s="79" t="n">
        <v>39</v>
      </c>
      <c r="H209" s="79" t="n">
        <v>35</v>
      </c>
      <c r="I209" s="79" t="n">
        <v>54</v>
      </c>
      <c r="J209" s="79" t="n">
        <v>63</v>
      </c>
      <c r="K209" s="79" t="n">
        <v>45</v>
      </c>
      <c r="L209" s="79" t="n">
        <v>66</v>
      </c>
      <c r="M209" s="79" t="n">
        <v>53</v>
      </c>
      <c r="N209" s="79" t="n">
        <v>36</v>
      </c>
      <c r="O209" s="79" t="n">
        <v>58</v>
      </c>
      <c r="P209" s="79" t="n">
        <v>54</v>
      </c>
      <c r="Q209" s="79" t="n">
        <v>40</v>
      </c>
      <c r="R209" s="79" t="n">
        <v>55</v>
      </c>
      <c r="S209" s="79" t="n">
        <v>50</v>
      </c>
      <c r="T209" s="79" t="n">
        <v>27</v>
      </c>
      <c r="U209" s="79" t="n">
        <v>45</v>
      </c>
    </row>
    <row r="211" customFormat="false" ht="45" hidden="false" customHeight="true" outlineLevel="0" collapsed="false">
      <c r="A211" s="65" t="s">
        <v>415</v>
      </c>
      <c r="B211" s="65"/>
      <c r="C211" s="65"/>
      <c r="D211" s="65"/>
      <c r="E211" s="65"/>
      <c r="F211" s="65"/>
      <c r="G211" s="65"/>
      <c r="H211" s="65"/>
      <c r="I211" s="65"/>
    </row>
    <row r="212" customFormat="false" ht="15" hidden="false" customHeight="true" outlineLevel="0" collapsed="false">
      <c r="A212" s="29" t="s">
        <v>272</v>
      </c>
      <c r="B212" s="29"/>
      <c r="C212" s="29"/>
      <c r="D212" s="29"/>
      <c r="E212" s="29"/>
      <c r="F212" s="29"/>
      <c r="G212" s="29"/>
      <c r="H212" s="29"/>
      <c r="I212" s="29"/>
    </row>
    <row r="214" customFormat="false" ht="45" hidden="false" customHeight="true" outlineLevel="0" collapsed="false">
      <c r="A214" s="65" t="s">
        <v>416</v>
      </c>
      <c r="B214" s="65"/>
      <c r="C214" s="65"/>
      <c r="D214" s="65"/>
      <c r="E214" s="65"/>
      <c r="F214" s="65"/>
      <c r="G214" s="65"/>
      <c r="H214" s="65"/>
      <c r="I214" s="65"/>
    </row>
    <row r="215" customFormat="false" ht="15" hidden="false" customHeight="true" outlineLevel="0" collapsed="false">
      <c r="A215" s="29" t="s">
        <v>272</v>
      </c>
      <c r="B215" s="29"/>
      <c r="C215" s="29"/>
      <c r="D215" s="29"/>
      <c r="E215" s="29"/>
      <c r="F215" s="29"/>
      <c r="G215" s="29"/>
      <c r="H215" s="29"/>
      <c r="I215" s="29"/>
    </row>
    <row r="217" customFormat="false" ht="19.5" hidden="false" customHeight="true" outlineLevel="0" collapsed="false">
      <c r="A217" s="65" t="s">
        <v>417</v>
      </c>
      <c r="B217" s="65"/>
      <c r="C217" s="65"/>
      <c r="D217" s="65"/>
      <c r="E217" s="65"/>
      <c r="F217" s="65"/>
      <c r="G217" s="65"/>
      <c r="H217" s="65"/>
      <c r="I217" s="65"/>
      <c r="J217" s="65"/>
      <c r="K217" s="65"/>
      <c r="L217" s="65"/>
      <c r="M217" s="65"/>
      <c r="N217" s="65"/>
      <c r="O217" s="65"/>
      <c r="P217" s="65"/>
      <c r="Q217" s="65"/>
      <c r="R217" s="65"/>
      <c r="S217" s="65"/>
      <c r="T217" s="65"/>
      <c r="U217" s="65"/>
    </row>
    <row r="218" customFormat="false" ht="15" hidden="false" customHeight="true" outlineLevel="0" collapsed="false">
      <c r="A218" s="12" t="s">
        <v>513</v>
      </c>
      <c r="B218" s="12" t="s">
        <v>113</v>
      </c>
      <c r="C218" s="12" t="s">
        <v>114</v>
      </c>
      <c r="D218" s="12" t="s">
        <v>115</v>
      </c>
      <c r="E218" s="12" t="s">
        <v>116</v>
      </c>
      <c r="F218" s="12" t="s">
        <v>117</v>
      </c>
      <c r="G218" s="12" t="s">
        <v>118</v>
      </c>
      <c r="H218" s="12" t="s">
        <v>119</v>
      </c>
      <c r="I218" s="12" t="s">
        <v>120</v>
      </c>
      <c r="J218" s="12" t="s">
        <v>121</v>
      </c>
      <c r="K218" s="12" t="s">
        <v>122</v>
      </c>
      <c r="L218" s="12" t="s">
        <v>123</v>
      </c>
      <c r="M218" s="12" t="s">
        <v>124</v>
      </c>
      <c r="N218" s="12" t="s">
        <v>125</v>
      </c>
      <c r="O218" s="12" t="s">
        <v>126</v>
      </c>
      <c r="P218" s="12" t="s">
        <v>127</v>
      </c>
      <c r="Q218" s="12" t="s">
        <v>128</v>
      </c>
      <c r="R218" s="12" t="s">
        <v>129</v>
      </c>
      <c r="S218" s="12" t="s">
        <v>130</v>
      </c>
      <c r="T218" s="12" t="s">
        <v>131</v>
      </c>
      <c r="U218" s="12" t="s">
        <v>132</v>
      </c>
    </row>
    <row r="219" customFormat="false" ht="15" hidden="false" customHeight="true" outlineLevel="0" collapsed="false">
      <c r="A219" s="30" t="s">
        <v>114</v>
      </c>
      <c r="B219" s="76"/>
      <c r="C219" s="74" t="n">
        <v>53</v>
      </c>
      <c r="D219" s="74" t="n">
        <v>40</v>
      </c>
      <c r="E219" s="74" t="n">
        <v>37</v>
      </c>
      <c r="F219" s="74" t="n">
        <v>37</v>
      </c>
      <c r="G219" s="74" t="n">
        <v>35</v>
      </c>
      <c r="H219" s="74" t="n">
        <v>5</v>
      </c>
      <c r="I219" s="74" t="n">
        <v>5</v>
      </c>
      <c r="J219" s="74" t="n">
        <v>5</v>
      </c>
      <c r="K219" s="74" t="n">
        <v>2</v>
      </c>
      <c r="L219" s="74" t="n">
        <v>1</v>
      </c>
      <c r="M219" s="74" t="n">
        <v>2</v>
      </c>
      <c r="N219" s="74" t="n">
        <v>0</v>
      </c>
      <c r="O219" s="74" t="n">
        <v>0</v>
      </c>
      <c r="P219" s="74" t="n">
        <v>0</v>
      </c>
      <c r="Q219" s="74" t="n">
        <v>0</v>
      </c>
      <c r="R219" s="74" t="n">
        <v>0</v>
      </c>
      <c r="S219" s="74" t="n">
        <v>0</v>
      </c>
      <c r="T219" s="74" t="n">
        <v>0</v>
      </c>
      <c r="U219" s="74" t="n">
        <v>0</v>
      </c>
    </row>
    <row r="220" customFormat="false" ht="15" hidden="false" customHeight="true" outlineLevel="0" collapsed="false">
      <c r="A220" s="30" t="s">
        <v>115</v>
      </c>
      <c r="B220" s="76"/>
      <c r="C220" s="76"/>
      <c r="D220" s="74" t="n">
        <v>44</v>
      </c>
      <c r="E220" s="74" t="n">
        <v>38</v>
      </c>
      <c r="F220" s="74" t="n">
        <v>38</v>
      </c>
      <c r="G220" s="74" t="n">
        <v>37</v>
      </c>
      <c r="H220" s="74" t="n">
        <v>36</v>
      </c>
      <c r="I220" s="74" t="n">
        <v>8</v>
      </c>
      <c r="J220" s="74" t="n">
        <v>6</v>
      </c>
      <c r="K220" s="74" t="n">
        <v>3</v>
      </c>
      <c r="L220" s="74" t="n">
        <v>0</v>
      </c>
      <c r="M220" s="74" t="n">
        <v>2</v>
      </c>
      <c r="N220" s="74" t="n">
        <v>1</v>
      </c>
      <c r="O220" s="74" t="n">
        <v>1</v>
      </c>
      <c r="P220" s="74" t="n">
        <v>0</v>
      </c>
      <c r="Q220" s="74" t="n">
        <v>0</v>
      </c>
      <c r="R220" s="74" t="n">
        <v>0</v>
      </c>
      <c r="S220" s="74" t="n">
        <v>0</v>
      </c>
      <c r="T220" s="74" t="n">
        <v>0</v>
      </c>
      <c r="U220" s="74" t="n">
        <v>0</v>
      </c>
    </row>
    <row r="221" customFormat="false" ht="15" hidden="false" customHeight="true" outlineLevel="0" collapsed="false">
      <c r="A221" s="30" t="s">
        <v>116</v>
      </c>
      <c r="B221" s="76"/>
      <c r="C221" s="76"/>
      <c r="D221" s="76"/>
      <c r="E221" s="74" t="n">
        <v>2</v>
      </c>
      <c r="F221" s="74" t="n">
        <v>2</v>
      </c>
      <c r="G221" s="74" t="n">
        <v>1</v>
      </c>
      <c r="H221" s="74" t="n">
        <v>0</v>
      </c>
      <c r="I221" s="74" t="n">
        <v>0</v>
      </c>
      <c r="J221" s="74" t="n">
        <v>0</v>
      </c>
      <c r="K221" s="74" t="n">
        <v>0</v>
      </c>
      <c r="L221" s="74" t="n">
        <v>0</v>
      </c>
      <c r="M221" s="74" t="n">
        <v>0</v>
      </c>
      <c r="N221" s="74" t="n">
        <v>0</v>
      </c>
      <c r="O221" s="74" t="n">
        <v>1</v>
      </c>
      <c r="P221" s="74" t="n">
        <v>1</v>
      </c>
      <c r="Q221" s="74" t="n">
        <v>0</v>
      </c>
      <c r="R221" s="74" t="n">
        <v>1</v>
      </c>
      <c r="S221" s="74" t="n">
        <v>0</v>
      </c>
      <c r="T221" s="74" t="n">
        <v>0</v>
      </c>
      <c r="U221" s="74" t="n">
        <v>0</v>
      </c>
    </row>
    <row r="222" customFormat="false" ht="15" hidden="false" customHeight="true" outlineLevel="0" collapsed="false">
      <c r="A222" s="30" t="s">
        <v>117</v>
      </c>
      <c r="B222" s="76"/>
      <c r="C222" s="76"/>
      <c r="D222" s="76"/>
      <c r="E222" s="76"/>
      <c r="F222" s="74" t="n">
        <v>38</v>
      </c>
      <c r="G222" s="74" t="n">
        <v>31</v>
      </c>
      <c r="H222" s="74" t="n">
        <v>25</v>
      </c>
      <c r="I222" s="74" t="n">
        <v>29</v>
      </c>
      <c r="J222" s="74" t="n">
        <v>30</v>
      </c>
      <c r="K222" s="74" t="n">
        <v>5</v>
      </c>
      <c r="L222" s="74" t="n">
        <v>6</v>
      </c>
      <c r="M222" s="74" t="n">
        <v>5</v>
      </c>
      <c r="N222" s="74" t="n">
        <v>3</v>
      </c>
      <c r="O222" s="74" t="n">
        <v>2</v>
      </c>
      <c r="P222" s="74" t="n">
        <v>2</v>
      </c>
      <c r="Q222" s="74" t="n">
        <v>0</v>
      </c>
      <c r="R222" s="74" t="n">
        <v>1</v>
      </c>
      <c r="S222" s="74" t="n">
        <v>0</v>
      </c>
      <c r="T222" s="74" t="n">
        <v>0</v>
      </c>
      <c r="U222" s="74" t="n">
        <v>1</v>
      </c>
    </row>
    <row r="223" customFormat="false" ht="15" hidden="false" customHeight="true" outlineLevel="0" collapsed="false">
      <c r="A223" s="30" t="s">
        <v>118</v>
      </c>
      <c r="B223" s="76"/>
      <c r="C223" s="76"/>
      <c r="D223" s="76"/>
      <c r="E223" s="76"/>
      <c r="F223" s="76"/>
      <c r="G223" s="74" t="n">
        <v>18</v>
      </c>
      <c r="H223" s="74" t="n">
        <v>14</v>
      </c>
      <c r="I223" s="74" t="n">
        <v>12</v>
      </c>
      <c r="J223" s="74" t="n">
        <v>12</v>
      </c>
      <c r="K223" s="74" t="n">
        <v>12</v>
      </c>
      <c r="L223" s="74" t="n">
        <v>3</v>
      </c>
      <c r="M223" s="74" t="n">
        <v>4</v>
      </c>
      <c r="N223" s="74" t="n">
        <v>2</v>
      </c>
      <c r="O223" s="74" t="n">
        <v>2</v>
      </c>
      <c r="P223" s="74" t="n">
        <v>1</v>
      </c>
      <c r="Q223" s="74" t="n">
        <v>2</v>
      </c>
      <c r="R223" s="74" t="n">
        <v>0</v>
      </c>
      <c r="S223" s="74" t="n">
        <v>0</v>
      </c>
      <c r="T223" s="74" t="n">
        <v>0</v>
      </c>
      <c r="U223" s="74" t="n">
        <v>0</v>
      </c>
    </row>
    <row r="224" customFormat="false" ht="15" hidden="false" customHeight="true" outlineLevel="0" collapsed="false">
      <c r="A224" s="30" t="s">
        <v>119</v>
      </c>
      <c r="B224" s="76"/>
      <c r="C224" s="76"/>
      <c r="D224" s="76"/>
      <c r="E224" s="76"/>
      <c r="F224" s="76"/>
      <c r="G224" s="76"/>
      <c r="H224" s="74" t="n">
        <v>4</v>
      </c>
      <c r="I224" s="74" t="n">
        <v>3</v>
      </c>
      <c r="J224" s="74" t="n">
        <v>3</v>
      </c>
      <c r="K224" s="74" t="n">
        <v>0</v>
      </c>
      <c r="L224" s="74" t="n">
        <v>3</v>
      </c>
      <c r="M224" s="74" t="n">
        <v>3</v>
      </c>
      <c r="N224" s="74" t="n">
        <v>0</v>
      </c>
      <c r="O224" s="74" t="n">
        <v>0</v>
      </c>
      <c r="P224" s="74" t="n">
        <v>1</v>
      </c>
      <c r="Q224" s="74" t="n">
        <v>0</v>
      </c>
      <c r="R224" s="74" t="n">
        <v>0</v>
      </c>
      <c r="S224" s="74" t="n">
        <v>0</v>
      </c>
      <c r="T224" s="74" t="n">
        <v>0</v>
      </c>
      <c r="U224" s="74" t="n">
        <v>0</v>
      </c>
    </row>
    <row r="225" customFormat="false" ht="15" hidden="false" customHeight="true" outlineLevel="0" collapsed="false">
      <c r="A225" s="30" t="s">
        <v>120</v>
      </c>
      <c r="B225" s="76"/>
      <c r="C225" s="76"/>
      <c r="D225" s="76"/>
      <c r="E225" s="76"/>
      <c r="F225" s="76"/>
      <c r="G225" s="76"/>
      <c r="H225" s="76"/>
      <c r="I225" s="74" t="n">
        <v>19</v>
      </c>
      <c r="J225" s="74" t="n">
        <v>14</v>
      </c>
      <c r="K225" s="74" t="n">
        <v>10</v>
      </c>
      <c r="L225" s="74" t="n">
        <v>12</v>
      </c>
      <c r="M225" s="74" t="n">
        <v>12</v>
      </c>
      <c r="N225" s="74" t="n">
        <v>3</v>
      </c>
      <c r="O225" s="74" t="n">
        <v>2</v>
      </c>
      <c r="P225" s="74" t="n">
        <v>1</v>
      </c>
      <c r="Q225" s="74" t="n">
        <v>0</v>
      </c>
      <c r="R225" s="74" t="n">
        <v>1</v>
      </c>
      <c r="S225" s="74" t="n">
        <v>1</v>
      </c>
      <c r="T225" s="74" t="n">
        <v>0</v>
      </c>
      <c r="U225" s="74" t="n">
        <v>0</v>
      </c>
    </row>
    <row r="226" customFormat="false" ht="15" hidden="false" customHeight="true" outlineLevel="0" collapsed="false">
      <c r="A226" s="30" t="s">
        <v>121</v>
      </c>
      <c r="B226" s="76"/>
      <c r="C226" s="76"/>
      <c r="D226" s="76"/>
      <c r="E226" s="76"/>
      <c r="F226" s="76"/>
      <c r="G226" s="76"/>
      <c r="H226" s="76"/>
      <c r="I226" s="76"/>
      <c r="J226" s="74" t="n">
        <v>21</v>
      </c>
      <c r="K226" s="74" t="n">
        <v>12</v>
      </c>
      <c r="L226" s="74" t="n">
        <v>16</v>
      </c>
      <c r="M226" s="74" t="n">
        <v>16</v>
      </c>
      <c r="N226" s="74" t="n">
        <v>12</v>
      </c>
      <c r="O226" s="74" t="n">
        <v>6</v>
      </c>
      <c r="P226" s="74" t="n">
        <v>7</v>
      </c>
      <c r="Q226" s="74" t="n">
        <v>4</v>
      </c>
      <c r="R226" s="74" t="n">
        <v>1</v>
      </c>
      <c r="S226" s="74" t="n">
        <v>0</v>
      </c>
      <c r="T226" s="74" t="n">
        <v>0</v>
      </c>
      <c r="U226" s="74" t="n">
        <v>0</v>
      </c>
    </row>
    <row r="227" customFormat="false" ht="15" hidden="false" customHeight="true" outlineLevel="0" collapsed="false">
      <c r="A227" s="30" t="s">
        <v>122</v>
      </c>
      <c r="B227" s="76"/>
      <c r="C227" s="76"/>
      <c r="D227" s="76"/>
      <c r="E227" s="76"/>
      <c r="F227" s="76"/>
      <c r="G227" s="76"/>
      <c r="H227" s="76"/>
      <c r="I227" s="76"/>
      <c r="J227" s="76"/>
      <c r="K227" s="74" t="n">
        <v>7</v>
      </c>
      <c r="L227" s="74" t="n">
        <v>6</v>
      </c>
      <c r="M227" s="74" t="n">
        <v>6</v>
      </c>
      <c r="N227" s="74" t="n">
        <v>1</v>
      </c>
      <c r="O227" s="74" t="n">
        <v>5</v>
      </c>
      <c r="P227" s="74" t="n">
        <v>5</v>
      </c>
      <c r="Q227" s="74" t="n">
        <v>0</v>
      </c>
      <c r="R227" s="74" t="n">
        <v>0</v>
      </c>
      <c r="S227" s="74" t="n">
        <v>1</v>
      </c>
      <c r="T227" s="74" t="n">
        <v>0</v>
      </c>
      <c r="U227" s="74" t="n">
        <v>0</v>
      </c>
    </row>
    <row r="228" customFormat="false" ht="15" hidden="false" customHeight="true" outlineLevel="0" collapsed="false">
      <c r="A228" s="30" t="s">
        <v>123</v>
      </c>
      <c r="B228" s="76"/>
      <c r="C228" s="76"/>
      <c r="D228" s="76"/>
      <c r="E228" s="76"/>
      <c r="F228" s="76"/>
      <c r="G228" s="76"/>
      <c r="H228" s="76"/>
      <c r="I228" s="76"/>
      <c r="J228" s="76"/>
      <c r="K228" s="76"/>
      <c r="L228" s="74" t="n">
        <v>28</v>
      </c>
      <c r="M228" s="74" t="n">
        <v>26</v>
      </c>
      <c r="N228" s="74" t="n">
        <v>21</v>
      </c>
      <c r="O228" s="74" t="n">
        <v>22</v>
      </c>
      <c r="P228" s="74" t="n">
        <v>22</v>
      </c>
      <c r="Q228" s="74" t="n">
        <v>6</v>
      </c>
      <c r="R228" s="74" t="n">
        <v>8</v>
      </c>
      <c r="S228" s="74" t="n">
        <v>7</v>
      </c>
      <c r="T228" s="74" t="n">
        <v>1</v>
      </c>
      <c r="U228" s="74" t="n">
        <v>4</v>
      </c>
    </row>
    <row r="229" customFormat="false" ht="15" hidden="false" customHeight="true" outlineLevel="0" collapsed="false">
      <c r="A229" s="30" t="s">
        <v>124</v>
      </c>
      <c r="B229" s="76"/>
      <c r="C229" s="76"/>
      <c r="D229" s="76"/>
      <c r="E229" s="76"/>
      <c r="F229" s="76"/>
      <c r="G229" s="76"/>
      <c r="H229" s="76"/>
      <c r="I229" s="76"/>
      <c r="J229" s="76"/>
      <c r="K229" s="76"/>
      <c r="L229" s="76"/>
      <c r="M229" s="74" t="n">
        <v>20</v>
      </c>
      <c r="N229" s="74" t="n">
        <v>15</v>
      </c>
      <c r="O229" s="74" t="n">
        <v>15</v>
      </c>
      <c r="P229" s="74" t="n">
        <v>15</v>
      </c>
      <c r="Q229" s="74" t="n">
        <v>16</v>
      </c>
      <c r="R229" s="74" t="n">
        <v>4</v>
      </c>
      <c r="S229" s="74" t="n">
        <v>3</v>
      </c>
      <c r="T229" s="74" t="n">
        <v>4</v>
      </c>
      <c r="U229" s="74" t="n">
        <v>1</v>
      </c>
    </row>
    <row r="230" customFormat="false" ht="15" hidden="false" customHeight="true" outlineLevel="0" collapsed="false">
      <c r="A230" s="30" t="s">
        <v>126</v>
      </c>
      <c r="B230" s="76"/>
      <c r="C230" s="76"/>
      <c r="D230" s="76"/>
      <c r="E230" s="76"/>
      <c r="F230" s="76"/>
      <c r="G230" s="76"/>
      <c r="H230" s="76"/>
      <c r="I230" s="76"/>
      <c r="J230" s="76"/>
      <c r="K230" s="76"/>
      <c r="L230" s="76"/>
      <c r="M230" s="76"/>
      <c r="N230" s="76"/>
      <c r="O230" s="74" t="n">
        <v>33</v>
      </c>
      <c r="P230" s="74" t="n">
        <v>27</v>
      </c>
      <c r="Q230" s="74" t="n">
        <v>21</v>
      </c>
      <c r="R230" s="74" t="n">
        <v>24</v>
      </c>
      <c r="S230" s="74" t="n">
        <v>23</v>
      </c>
      <c r="T230" s="74" t="n">
        <v>4</v>
      </c>
      <c r="U230" s="74" t="n">
        <v>4</v>
      </c>
    </row>
    <row r="231" customFormat="false" ht="15" hidden="false" customHeight="true" outlineLevel="0" collapsed="false">
      <c r="A231" s="30" t="s">
        <v>127</v>
      </c>
      <c r="B231" s="76"/>
      <c r="C231" s="76"/>
      <c r="D231" s="76"/>
      <c r="E231" s="76"/>
      <c r="F231" s="76"/>
      <c r="G231" s="76"/>
      <c r="H231" s="76"/>
      <c r="I231" s="76"/>
      <c r="J231" s="76"/>
      <c r="K231" s="76"/>
      <c r="L231" s="76"/>
      <c r="M231" s="76"/>
      <c r="N231" s="76"/>
      <c r="O231" s="76"/>
      <c r="P231" s="74" t="n">
        <v>22</v>
      </c>
      <c r="Q231" s="74" t="n">
        <v>18</v>
      </c>
      <c r="R231" s="74" t="n">
        <v>18</v>
      </c>
      <c r="S231" s="74" t="n">
        <v>18</v>
      </c>
      <c r="T231" s="74" t="n">
        <v>15</v>
      </c>
      <c r="U231" s="74" t="n">
        <v>5</v>
      </c>
    </row>
    <row r="232" customFormat="false" ht="15" hidden="false" customHeight="true" outlineLevel="0" collapsed="false">
      <c r="A232" s="30" t="s">
        <v>129</v>
      </c>
      <c r="B232" s="76"/>
      <c r="C232" s="76"/>
      <c r="D232" s="76"/>
      <c r="E232" s="76"/>
      <c r="F232" s="76"/>
      <c r="G232" s="76"/>
      <c r="H232" s="76"/>
      <c r="I232" s="76"/>
      <c r="J232" s="76"/>
      <c r="K232" s="76"/>
      <c r="L232" s="76"/>
      <c r="M232" s="76"/>
      <c r="N232" s="76"/>
      <c r="O232" s="76"/>
      <c r="P232" s="76"/>
      <c r="Q232" s="76"/>
      <c r="R232" s="74" t="n">
        <v>39</v>
      </c>
      <c r="S232" s="74" t="n">
        <v>37</v>
      </c>
      <c r="T232" s="74" t="n">
        <v>31</v>
      </c>
      <c r="U232" s="74" t="n">
        <v>33</v>
      </c>
    </row>
    <row r="233" customFormat="false" ht="15" hidden="false" customHeight="true" outlineLevel="0" collapsed="false">
      <c r="A233" s="30" t="s">
        <v>130</v>
      </c>
      <c r="B233" s="76"/>
      <c r="C233" s="76"/>
      <c r="D233" s="76"/>
      <c r="E233" s="76"/>
      <c r="F233" s="76"/>
      <c r="G233" s="76"/>
      <c r="H233" s="76"/>
      <c r="I233" s="76"/>
      <c r="J233" s="76"/>
      <c r="K233" s="76"/>
      <c r="L233" s="76"/>
      <c r="M233" s="76"/>
      <c r="N233" s="76"/>
      <c r="O233" s="76"/>
      <c r="P233" s="76"/>
      <c r="Q233" s="76"/>
      <c r="R233" s="76"/>
      <c r="S233" s="74" t="n">
        <v>18</v>
      </c>
      <c r="T233" s="74" t="n">
        <v>16</v>
      </c>
      <c r="U233" s="74" t="n">
        <v>14</v>
      </c>
    </row>
    <row r="234" customFormat="false" ht="15" hidden="false" customHeight="true" outlineLevel="0" collapsed="false">
      <c r="A234" s="30" t="s">
        <v>132</v>
      </c>
      <c r="B234" s="76"/>
      <c r="C234" s="76"/>
      <c r="D234" s="76"/>
      <c r="E234" s="76"/>
      <c r="F234" s="76"/>
      <c r="G234" s="76"/>
      <c r="H234" s="76"/>
      <c r="I234" s="76"/>
      <c r="J234" s="76"/>
      <c r="K234" s="76"/>
      <c r="L234" s="76"/>
      <c r="M234" s="76"/>
      <c r="N234" s="76"/>
      <c r="O234" s="76"/>
      <c r="P234" s="76"/>
      <c r="Q234" s="76"/>
      <c r="R234" s="76"/>
      <c r="S234" s="76"/>
      <c r="T234" s="76"/>
      <c r="U234" s="74" t="n">
        <v>32</v>
      </c>
    </row>
    <row r="235" customFormat="false" ht="15" hidden="false" customHeight="true" outlineLevel="0" collapsed="false">
      <c r="A235" s="34" t="s">
        <v>514</v>
      </c>
      <c r="B235" s="79"/>
      <c r="C235" s="79" t="n">
        <v>53</v>
      </c>
      <c r="D235" s="79" t="n">
        <v>84</v>
      </c>
      <c r="E235" s="79" t="n">
        <v>77</v>
      </c>
      <c r="F235" s="79" t="n">
        <v>115</v>
      </c>
      <c r="G235" s="79" t="n">
        <v>122</v>
      </c>
      <c r="H235" s="79" t="n">
        <v>84</v>
      </c>
      <c r="I235" s="79" t="n">
        <v>76</v>
      </c>
      <c r="J235" s="79" t="n">
        <v>91</v>
      </c>
      <c r="K235" s="79" t="n">
        <v>51</v>
      </c>
      <c r="L235" s="79" t="n">
        <v>75</v>
      </c>
      <c r="M235" s="79" t="n">
        <v>96</v>
      </c>
      <c r="N235" s="79" t="n">
        <v>58</v>
      </c>
      <c r="O235" s="79" t="n">
        <v>89</v>
      </c>
      <c r="P235" s="79" t="n">
        <v>104</v>
      </c>
      <c r="Q235" s="79" t="n">
        <v>67</v>
      </c>
      <c r="R235" s="79" t="n">
        <v>97</v>
      </c>
      <c r="S235" s="79" t="n">
        <v>108</v>
      </c>
      <c r="T235" s="79" t="n">
        <v>71</v>
      </c>
      <c r="U235" s="79" t="n">
        <v>94</v>
      </c>
    </row>
    <row r="237" customFormat="false" ht="19.5" hidden="false" customHeight="true" outlineLevel="0" collapsed="false">
      <c r="A237" s="65" t="s">
        <v>418</v>
      </c>
      <c r="B237" s="65"/>
      <c r="C237" s="65"/>
      <c r="D237" s="65"/>
      <c r="E237" s="65"/>
      <c r="F237" s="65"/>
      <c r="G237" s="65"/>
      <c r="H237" s="65"/>
      <c r="I237" s="65"/>
      <c r="J237" s="65"/>
      <c r="K237" s="65"/>
      <c r="L237" s="65"/>
      <c r="M237" s="65"/>
      <c r="N237" s="65"/>
      <c r="O237" s="65"/>
      <c r="P237" s="65"/>
      <c r="Q237" s="65"/>
      <c r="R237" s="65"/>
      <c r="S237" s="65"/>
      <c r="T237" s="65"/>
      <c r="U237" s="65"/>
    </row>
    <row r="238" customFormat="false" ht="15" hidden="false" customHeight="true" outlineLevel="0" collapsed="false">
      <c r="A238" s="12" t="s">
        <v>513</v>
      </c>
      <c r="B238" s="12" t="s">
        <v>113</v>
      </c>
      <c r="C238" s="12" t="s">
        <v>114</v>
      </c>
      <c r="D238" s="12" t="s">
        <v>115</v>
      </c>
      <c r="E238" s="12" t="s">
        <v>116</v>
      </c>
      <c r="F238" s="12" t="s">
        <v>117</v>
      </c>
      <c r="G238" s="12" t="s">
        <v>118</v>
      </c>
      <c r="H238" s="12" t="s">
        <v>119</v>
      </c>
      <c r="I238" s="12" t="s">
        <v>120</v>
      </c>
      <c r="J238" s="12" t="s">
        <v>121</v>
      </c>
      <c r="K238" s="12" t="s">
        <v>122</v>
      </c>
      <c r="L238" s="12" t="s">
        <v>123</v>
      </c>
      <c r="M238" s="12" t="s">
        <v>124</v>
      </c>
      <c r="N238" s="12" t="s">
        <v>125</v>
      </c>
      <c r="O238" s="12" t="s">
        <v>126</v>
      </c>
      <c r="P238" s="12" t="s">
        <v>127</v>
      </c>
      <c r="Q238" s="12" t="s">
        <v>128</v>
      </c>
      <c r="R238" s="12" t="s">
        <v>129</v>
      </c>
      <c r="S238" s="12" t="s">
        <v>130</v>
      </c>
      <c r="T238" s="12" t="s">
        <v>131</v>
      </c>
      <c r="U238" s="12" t="s">
        <v>132</v>
      </c>
    </row>
    <row r="239" customFormat="false" ht="15" hidden="false" customHeight="true" outlineLevel="0" collapsed="false">
      <c r="A239" s="30" t="s">
        <v>116</v>
      </c>
      <c r="B239" s="76"/>
      <c r="C239" s="76"/>
      <c r="D239" s="76"/>
      <c r="E239" s="74" t="n">
        <v>10</v>
      </c>
      <c r="F239" s="74" t="n">
        <v>10</v>
      </c>
      <c r="G239" s="74" t="n">
        <v>9</v>
      </c>
      <c r="H239" s="74" t="n">
        <v>8</v>
      </c>
      <c r="I239" s="74" t="n">
        <v>1</v>
      </c>
      <c r="J239" s="74" t="n">
        <v>1</v>
      </c>
      <c r="K239" s="74" t="n">
        <v>1</v>
      </c>
      <c r="L239" s="74" t="n">
        <v>0</v>
      </c>
      <c r="M239" s="74" t="n">
        <v>0</v>
      </c>
      <c r="N239" s="74" t="n">
        <v>0</v>
      </c>
      <c r="O239" s="74" t="n">
        <v>0</v>
      </c>
      <c r="P239" s="74" t="n">
        <v>0</v>
      </c>
      <c r="Q239" s="74" t="n">
        <v>0</v>
      </c>
      <c r="R239" s="74" t="n">
        <v>0</v>
      </c>
      <c r="S239" s="74" t="n">
        <v>0</v>
      </c>
      <c r="T239" s="74" t="n">
        <v>0</v>
      </c>
      <c r="U239" s="74" t="n">
        <v>0</v>
      </c>
    </row>
    <row r="240" customFormat="false" ht="15" hidden="false" customHeight="true" outlineLevel="0" collapsed="false">
      <c r="A240" s="30" t="s">
        <v>117</v>
      </c>
      <c r="B240" s="76"/>
      <c r="C240" s="76"/>
      <c r="D240" s="76"/>
      <c r="E240" s="76"/>
      <c r="F240" s="74" t="n">
        <v>12</v>
      </c>
      <c r="G240" s="74" t="n">
        <v>9</v>
      </c>
      <c r="H240" s="74" t="n">
        <v>8</v>
      </c>
      <c r="I240" s="74" t="n">
        <v>8</v>
      </c>
      <c r="J240" s="74" t="n">
        <v>2</v>
      </c>
      <c r="K240" s="74" t="n">
        <v>2</v>
      </c>
      <c r="L240" s="74" t="n">
        <v>3</v>
      </c>
      <c r="M240" s="74" t="n">
        <v>1</v>
      </c>
      <c r="N240" s="74" t="n">
        <v>0</v>
      </c>
      <c r="O240" s="74" t="n">
        <v>0</v>
      </c>
      <c r="P240" s="74" t="n">
        <v>0</v>
      </c>
      <c r="Q240" s="74" t="n">
        <v>0</v>
      </c>
      <c r="R240" s="74" t="n">
        <v>0</v>
      </c>
      <c r="S240" s="74" t="n">
        <v>0</v>
      </c>
      <c r="T240" s="74" t="n">
        <v>0</v>
      </c>
      <c r="U240" s="74" t="n">
        <v>0</v>
      </c>
    </row>
    <row r="241" customFormat="false" ht="15" hidden="false" customHeight="true" outlineLevel="0" collapsed="false">
      <c r="A241" s="30" t="s">
        <v>118</v>
      </c>
      <c r="B241" s="76"/>
      <c r="C241" s="76"/>
      <c r="D241" s="76"/>
      <c r="E241" s="76"/>
      <c r="F241" s="76"/>
      <c r="G241" s="74" t="n">
        <v>13</v>
      </c>
      <c r="H241" s="74" t="n">
        <v>7</v>
      </c>
      <c r="I241" s="74" t="n">
        <v>8</v>
      </c>
      <c r="J241" s="74" t="n">
        <v>6</v>
      </c>
      <c r="K241" s="74" t="n">
        <v>0</v>
      </c>
      <c r="L241" s="74" t="n">
        <v>0</v>
      </c>
      <c r="M241" s="74" t="n">
        <v>0</v>
      </c>
      <c r="N241" s="74" t="n">
        <v>0</v>
      </c>
      <c r="O241" s="74" t="n">
        <v>0</v>
      </c>
      <c r="P241" s="74" t="n">
        <v>0</v>
      </c>
      <c r="Q241" s="74" t="n">
        <v>0</v>
      </c>
      <c r="R241" s="74" t="n">
        <v>0</v>
      </c>
      <c r="S241" s="74" t="n">
        <v>0</v>
      </c>
      <c r="T241" s="74" t="n">
        <v>0</v>
      </c>
      <c r="U241" s="74" t="n">
        <v>0</v>
      </c>
    </row>
    <row r="242" customFormat="false" ht="15" hidden="false" customHeight="true" outlineLevel="0" collapsed="false">
      <c r="A242" s="30" t="s">
        <v>120</v>
      </c>
      <c r="B242" s="76"/>
      <c r="C242" s="76"/>
      <c r="D242" s="76"/>
      <c r="E242" s="76"/>
      <c r="F242" s="76"/>
      <c r="G242" s="76"/>
      <c r="H242" s="76"/>
      <c r="I242" s="74" t="n">
        <v>17</v>
      </c>
      <c r="J242" s="74" t="n">
        <v>13</v>
      </c>
      <c r="K242" s="74" t="n">
        <v>12</v>
      </c>
      <c r="L242" s="74" t="n">
        <v>12</v>
      </c>
      <c r="M242" s="74" t="n">
        <v>0</v>
      </c>
      <c r="N242" s="74" t="n">
        <v>0</v>
      </c>
      <c r="O242" s="74" t="n">
        <v>0</v>
      </c>
      <c r="P242" s="74" t="n">
        <v>0</v>
      </c>
      <c r="Q242" s="74" t="n">
        <v>1</v>
      </c>
      <c r="R242" s="74" t="n">
        <v>1</v>
      </c>
      <c r="S242" s="74" t="n">
        <v>2</v>
      </c>
      <c r="T242" s="74" t="n">
        <v>0</v>
      </c>
      <c r="U242" s="74" t="n">
        <v>1</v>
      </c>
    </row>
    <row r="243" customFormat="false" ht="15" hidden="false" customHeight="true" outlineLevel="0" collapsed="false">
      <c r="A243" s="30" t="s">
        <v>121</v>
      </c>
      <c r="B243" s="76"/>
      <c r="C243" s="76"/>
      <c r="D243" s="76"/>
      <c r="E243" s="76"/>
      <c r="F243" s="76"/>
      <c r="G243" s="76"/>
      <c r="H243" s="76"/>
      <c r="I243" s="76"/>
      <c r="J243" s="74" t="n">
        <v>9</v>
      </c>
      <c r="K243" s="74" t="n">
        <v>5</v>
      </c>
      <c r="L243" s="74" t="n">
        <v>4</v>
      </c>
      <c r="M243" s="74" t="n">
        <v>4</v>
      </c>
      <c r="N243" s="74" t="n">
        <v>0</v>
      </c>
      <c r="O243" s="74" t="n">
        <v>0</v>
      </c>
      <c r="P243" s="74" t="n">
        <v>1</v>
      </c>
      <c r="Q243" s="74" t="n">
        <v>1</v>
      </c>
      <c r="R243" s="74" t="n">
        <v>1</v>
      </c>
      <c r="S243" s="74" t="n">
        <v>0</v>
      </c>
      <c r="T243" s="74" t="n">
        <v>0</v>
      </c>
      <c r="U243" s="74" t="n">
        <v>1</v>
      </c>
    </row>
    <row r="244" customFormat="false" ht="15" hidden="false" customHeight="true" outlineLevel="0" collapsed="false">
      <c r="A244" s="30" t="s">
        <v>123</v>
      </c>
      <c r="B244" s="76"/>
      <c r="C244" s="76"/>
      <c r="D244" s="76"/>
      <c r="E244" s="76"/>
      <c r="F244" s="76"/>
      <c r="G244" s="76"/>
      <c r="H244" s="76"/>
      <c r="I244" s="76"/>
      <c r="J244" s="76"/>
      <c r="K244" s="76"/>
      <c r="L244" s="74" t="n">
        <v>15</v>
      </c>
      <c r="M244" s="74" t="n">
        <v>13</v>
      </c>
      <c r="N244" s="74" t="n">
        <v>11</v>
      </c>
      <c r="O244" s="74" t="n">
        <v>12</v>
      </c>
      <c r="P244" s="74" t="n">
        <v>1</v>
      </c>
      <c r="Q244" s="74" t="n">
        <v>2</v>
      </c>
      <c r="R244" s="74" t="n">
        <v>1</v>
      </c>
      <c r="S244" s="74" t="n">
        <v>0</v>
      </c>
      <c r="T244" s="74" t="n">
        <v>0</v>
      </c>
      <c r="U244" s="74" t="n">
        <v>0</v>
      </c>
    </row>
    <row r="245" customFormat="false" ht="15" hidden="false" customHeight="true" outlineLevel="0" collapsed="false">
      <c r="A245" s="30" t="s">
        <v>124</v>
      </c>
      <c r="B245" s="76"/>
      <c r="C245" s="76"/>
      <c r="D245" s="76"/>
      <c r="E245" s="76"/>
      <c r="F245" s="76"/>
      <c r="G245" s="76"/>
      <c r="H245" s="76"/>
      <c r="I245" s="76"/>
      <c r="J245" s="76"/>
      <c r="K245" s="76"/>
      <c r="L245" s="76"/>
      <c r="M245" s="74" t="n">
        <v>6</v>
      </c>
      <c r="N245" s="74" t="n">
        <v>6</v>
      </c>
      <c r="O245" s="74" t="n">
        <v>6</v>
      </c>
      <c r="P245" s="74" t="n">
        <v>6</v>
      </c>
      <c r="Q245" s="74" t="n">
        <v>0</v>
      </c>
      <c r="R245" s="74" t="n">
        <v>1</v>
      </c>
      <c r="S245" s="74" t="n">
        <v>0</v>
      </c>
      <c r="T245" s="74" t="n">
        <v>1</v>
      </c>
      <c r="U245" s="74" t="n">
        <v>1</v>
      </c>
    </row>
    <row r="246" customFormat="false" ht="15" hidden="false" customHeight="true" outlineLevel="0" collapsed="false">
      <c r="A246" s="30" t="s">
        <v>126</v>
      </c>
      <c r="B246" s="76"/>
      <c r="C246" s="76"/>
      <c r="D246" s="76"/>
      <c r="E246" s="76"/>
      <c r="F246" s="76"/>
      <c r="G246" s="76"/>
      <c r="H246" s="76"/>
      <c r="I246" s="76"/>
      <c r="J246" s="76"/>
      <c r="K246" s="76"/>
      <c r="L246" s="76"/>
      <c r="M246" s="76"/>
      <c r="N246" s="76"/>
      <c r="O246" s="74" t="n">
        <v>9</v>
      </c>
      <c r="P246" s="74" t="n">
        <v>8</v>
      </c>
      <c r="Q246" s="74" t="n">
        <v>7</v>
      </c>
      <c r="R246" s="74" t="n">
        <v>8</v>
      </c>
      <c r="S246" s="74" t="n">
        <v>1</v>
      </c>
      <c r="T246" s="74" t="n">
        <v>2</v>
      </c>
      <c r="U246" s="74" t="n">
        <v>0</v>
      </c>
    </row>
    <row r="247" customFormat="false" ht="15" hidden="false" customHeight="true" outlineLevel="0" collapsed="false">
      <c r="A247" s="30" t="s">
        <v>127</v>
      </c>
      <c r="B247" s="76"/>
      <c r="C247" s="76"/>
      <c r="D247" s="76"/>
      <c r="E247" s="76"/>
      <c r="F247" s="76"/>
      <c r="G247" s="76"/>
      <c r="H247" s="76"/>
      <c r="I247" s="76"/>
      <c r="J247" s="76"/>
      <c r="K247" s="76"/>
      <c r="L247" s="76"/>
      <c r="M247" s="76"/>
      <c r="N247" s="76"/>
      <c r="O247" s="76"/>
      <c r="P247" s="74" t="n">
        <v>8</v>
      </c>
      <c r="Q247" s="74" t="n">
        <v>6</v>
      </c>
      <c r="R247" s="74" t="n">
        <v>6</v>
      </c>
      <c r="S247" s="74" t="n">
        <v>5</v>
      </c>
      <c r="T247" s="74" t="n">
        <v>1</v>
      </c>
      <c r="U247" s="74" t="n">
        <v>1</v>
      </c>
    </row>
    <row r="248" customFormat="false" ht="15" hidden="false" customHeight="true" outlineLevel="0" collapsed="false">
      <c r="A248" s="30" t="s">
        <v>129</v>
      </c>
      <c r="B248" s="76"/>
      <c r="C248" s="76"/>
      <c r="D248" s="76"/>
      <c r="E248" s="76"/>
      <c r="F248" s="76"/>
      <c r="G248" s="76"/>
      <c r="H248" s="76"/>
      <c r="I248" s="76"/>
      <c r="J248" s="76"/>
      <c r="K248" s="76"/>
      <c r="L248" s="76"/>
      <c r="M248" s="76"/>
      <c r="N248" s="76"/>
      <c r="O248" s="76"/>
      <c r="P248" s="76"/>
      <c r="Q248" s="76"/>
      <c r="R248" s="74" t="n">
        <v>9</v>
      </c>
      <c r="S248" s="74" t="n">
        <v>8</v>
      </c>
      <c r="T248" s="74" t="n">
        <v>7</v>
      </c>
      <c r="U248" s="74" t="n">
        <v>8</v>
      </c>
    </row>
    <row r="249" customFormat="false" ht="15" hidden="false" customHeight="true" outlineLevel="0" collapsed="false">
      <c r="A249" s="30" t="s">
        <v>130</v>
      </c>
      <c r="B249" s="76"/>
      <c r="C249" s="76"/>
      <c r="D249" s="76"/>
      <c r="E249" s="76"/>
      <c r="F249" s="76"/>
      <c r="G249" s="76"/>
      <c r="H249" s="76"/>
      <c r="I249" s="76"/>
      <c r="J249" s="76"/>
      <c r="K249" s="76"/>
      <c r="L249" s="76"/>
      <c r="M249" s="76"/>
      <c r="N249" s="76"/>
      <c r="O249" s="76"/>
      <c r="P249" s="76"/>
      <c r="Q249" s="76"/>
      <c r="R249" s="76"/>
      <c r="S249" s="74" t="n">
        <v>7</v>
      </c>
      <c r="T249" s="74" t="n">
        <v>5</v>
      </c>
      <c r="U249" s="74" t="n">
        <v>6</v>
      </c>
    </row>
    <row r="250" customFormat="false" ht="15" hidden="false" customHeight="true" outlineLevel="0" collapsed="false">
      <c r="A250" s="30" t="s">
        <v>132</v>
      </c>
      <c r="B250" s="76"/>
      <c r="C250" s="76"/>
      <c r="D250" s="76"/>
      <c r="E250" s="76"/>
      <c r="F250" s="76"/>
      <c r="G250" s="76"/>
      <c r="H250" s="76"/>
      <c r="I250" s="76"/>
      <c r="J250" s="76"/>
      <c r="K250" s="76"/>
      <c r="L250" s="76"/>
      <c r="M250" s="76"/>
      <c r="N250" s="76"/>
      <c r="O250" s="76"/>
      <c r="P250" s="76"/>
      <c r="Q250" s="76"/>
      <c r="R250" s="76"/>
      <c r="S250" s="76"/>
      <c r="T250" s="76"/>
      <c r="U250" s="74" t="n">
        <v>18</v>
      </c>
    </row>
    <row r="251" customFormat="false" ht="15" hidden="false" customHeight="true" outlineLevel="0" collapsed="false">
      <c r="A251" s="34" t="s">
        <v>514</v>
      </c>
      <c r="B251" s="79"/>
      <c r="C251" s="79"/>
      <c r="D251" s="79"/>
      <c r="E251" s="79" t="n">
        <v>10</v>
      </c>
      <c r="F251" s="79" t="n">
        <v>22</v>
      </c>
      <c r="G251" s="79" t="n">
        <v>31</v>
      </c>
      <c r="H251" s="79" t="n">
        <v>23</v>
      </c>
      <c r="I251" s="79" t="n">
        <v>34</v>
      </c>
      <c r="J251" s="79" t="n">
        <v>31</v>
      </c>
      <c r="K251" s="79" t="n">
        <v>20</v>
      </c>
      <c r="L251" s="79" t="n">
        <v>34</v>
      </c>
      <c r="M251" s="79" t="n">
        <v>24</v>
      </c>
      <c r="N251" s="79" t="n">
        <v>17</v>
      </c>
      <c r="O251" s="79" t="n">
        <v>27</v>
      </c>
      <c r="P251" s="79" t="n">
        <v>24</v>
      </c>
      <c r="Q251" s="79" t="n">
        <v>17</v>
      </c>
      <c r="R251" s="79" t="n">
        <v>27</v>
      </c>
      <c r="S251" s="79" t="n">
        <v>23</v>
      </c>
      <c r="T251" s="79" t="n">
        <v>16</v>
      </c>
      <c r="U251" s="79" t="n">
        <v>36</v>
      </c>
    </row>
    <row r="253" customFormat="false" ht="45" hidden="false" customHeight="true" outlineLevel="0" collapsed="false">
      <c r="A253" s="65" t="s">
        <v>419</v>
      </c>
      <c r="B253" s="65"/>
      <c r="C253" s="65"/>
      <c r="D253" s="65"/>
      <c r="E253" s="65"/>
      <c r="F253" s="65"/>
      <c r="G253" s="65"/>
      <c r="H253" s="65"/>
      <c r="I253" s="65"/>
    </row>
    <row r="254" customFormat="false" ht="15" hidden="false" customHeight="true" outlineLevel="0" collapsed="false">
      <c r="A254" s="29" t="s">
        <v>272</v>
      </c>
      <c r="B254" s="29"/>
      <c r="C254" s="29"/>
      <c r="D254" s="29"/>
      <c r="E254" s="29"/>
      <c r="F254" s="29"/>
      <c r="G254" s="29"/>
      <c r="H254" s="29"/>
      <c r="I254" s="29"/>
    </row>
    <row r="256" customFormat="false" ht="19.5" hidden="false" customHeight="true" outlineLevel="0" collapsed="false">
      <c r="A256" s="65" t="s">
        <v>420</v>
      </c>
      <c r="B256" s="65"/>
      <c r="C256" s="65"/>
      <c r="D256" s="65"/>
      <c r="E256" s="65"/>
      <c r="F256" s="65"/>
      <c r="G256" s="65"/>
      <c r="H256" s="65"/>
      <c r="I256" s="65"/>
      <c r="J256" s="65"/>
      <c r="K256" s="65"/>
      <c r="L256" s="65"/>
      <c r="M256" s="65"/>
      <c r="N256" s="65"/>
      <c r="O256" s="65"/>
      <c r="P256" s="65"/>
      <c r="Q256" s="65"/>
      <c r="R256" s="65"/>
      <c r="S256" s="65"/>
      <c r="T256" s="65"/>
      <c r="U256" s="65"/>
    </row>
    <row r="257" customFormat="false" ht="15" hidden="false" customHeight="true" outlineLevel="0" collapsed="false">
      <c r="A257" s="12" t="s">
        <v>513</v>
      </c>
      <c r="B257" s="12" t="s">
        <v>113</v>
      </c>
      <c r="C257" s="12" t="s">
        <v>114</v>
      </c>
      <c r="D257" s="12" t="s">
        <v>115</v>
      </c>
      <c r="E257" s="12" t="s">
        <v>116</v>
      </c>
      <c r="F257" s="12" t="s">
        <v>117</v>
      </c>
      <c r="G257" s="12" t="s">
        <v>118</v>
      </c>
      <c r="H257" s="12" t="s">
        <v>119</v>
      </c>
      <c r="I257" s="12" t="s">
        <v>120</v>
      </c>
      <c r="J257" s="12" t="s">
        <v>121</v>
      </c>
      <c r="K257" s="12" t="s">
        <v>122</v>
      </c>
      <c r="L257" s="12" t="s">
        <v>123</v>
      </c>
      <c r="M257" s="12" t="s">
        <v>124</v>
      </c>
      <c r="N257" s="12" t="s">
        <v>125</v>
      </c>
      <c r="O257" s="12" t="s">
        <v>126</v>
      </c>
      <c r="P257" s="12" t="s">
        <v>127</v>
      </c>
      <c r="Q257" s="12" t="s">
        <v>128</v>
      </c>
      <c r="R257" s="12" t="s">
        <v>129</v>
      </c>
      <c r="S257" s="12" t="s">
        <v>130</v>
      </c>
      <c r="T257" s="12" t="s">
        <v>131</v>
      </c>
      <c r="U257" s="12" t="s">
        <v>132</v>
      </c>
    </row>
    <row r="258" customFormat="false" ht="15" hidden="false" customHeight="true" outlineLevel="0" collapsed="false">
      <c r="A258" s="30" t="s">
        <v>113</v>
      </c>
      <c r="B258" s="74" t="n">
        <v>31</v>
      </c>
      <c r="C258" s="74" t="n">
        <v>27</v>
      </c>
      <c r="D258" s="74" t="n">
        <v>27</v>
      </c>
      <c r="E258" s="74" t="n">
        <v>23</v>
      </c>
      <c r="F258" s="74" t="n">
        <v>4</v>
      </c>
      <c r="G258" s="74" t="n">
        <v>3</v>
      </c>
      <c r="H258" s="74" t="n">
        <v>1</v>
      </c>
      <c r="I258" s="74" t="n">
        <v>2</v>
      </c>
      <c r="J258" s="74" t="n">
        <v>1</v>
      </c>
      <c r="K258" s="74" t="n">
        <v>0</v>
      </c>
      <c r="L258" s="74" t="n">
        <v>0</v>
      </c>
      <c r="M258" s="74" t="n">
        <v>0</v>
      </c>
      <c r="N258" s="74" t="n">
        <v>0</v>
      </c>
      <c r="O258" s="74" t="n">
        <v>0</v>
      </c>
      <c r="P258" s="74" t="n">
        <v>0</v>
      </c>
      <c r="Q258" s="74" t="n">
        <v>0</v>
      </c>
      <c r="R258" s="74" t="n">
        <v>0</v>
      </c>
      <c r="S258" s="74" t="n">
        <v>0</v>
      </c>
      <c r="T258" s="74" t="n">
        <v>0</v>
      </c>
      <c r="U258" s="74" t="n">
        <v>0</v>
      </c>
    </row>
    <row r="259" customFormat="false" ht="15" hidden="false" customHeight="true" outlineLevel="0" collapsed="false">
      <c r="A259" s="30" t="s">
        <v>114</v>
      </c>
      <c r="B259" s="76"/>
      <c r="C259" s="74" t="n">
        <v>38</v>
      </c>
      <c r="D259" s="74" t="n">
        <v>32</v>
      </c>
      <c r="E259" s="74" t="n">
        <v>27</v>
      </c>
      <c r="F259" s="74" t="n">
        <v>30</v>
      </c>
      <c r="G259" s="74" t="n">
        <v>6</v>
      </c>
      <c r="H259" s="74" t="n">
        <v>1</v>
      </c>
      <c r="I259" s="74" t="n">
        <v>1</v>
      </c>
      <c r="J259" s="74" t="n">
        <v>0</v>
      </c>
      <c r="K259" s="74" t="n">
        <v>0</v>
      </c>
      <c r="L259" s="74" t="n">
        <v>0</v>
      </c>
      <c r="M259" s="74" t="n">
        <v>0</v>
      </c>
      <c r="N259" s="74" t="n">
        <v>0</v>
      </c>
      <c r="O259" s="74" t="n">
        <v>0</v>
      </c>
      <c r="P259" s="74" t="n">
        <v>0</v>
      </c>
      <c r="Q259" s="74" t="n">
        <v>0</v>
      </c>
      <c r="R259" s="74" t="n">
        <v>0</v>
      </c>
      <c r="S259" s="74" t="n">
        <v>0</v>
      </c>
      <c r="T259" s="74" t="n">
        <v>0</v>
      </c>
      <c r="U259" s="74" t="n">
        <v>0</v>
      </c>
    </row>
    <row r="260" customFormat="false" ht="15" hidden="false" customHeight="true" outlineLevel="0" collapsed="false">
      <c r="A260" s="30" t="s">
        <v>115</v>
      </c>
      <c r="B260" s="76"/>
      <c r="C260" s="76"/>
      <c r="D260" s="74" t="n">
        <v>38</v>
      </c>
      <c r="E260" s="74" t="n">
        <v>29</v>
      </c>
      <c r="F260" s="74" t="n">
        <v>28</v>
      </c>
      <c r="G260" s="74" t="n">
        <v>28</v>
      </c>
      <c r="H260" s="74" t="n">
        <v>4</v>
      </c>
      <c r="I260" s="74" t="n">
        <v>3</v>
      </c>
      <c r="J260" s="74" t="n">
        <v>1</v>
      </c>
      <c r="K260" s="74" t="n">
        <v>1</v>
      </c>
      <c r="L260" s="74" t="n">
        <v>1</v>
      </c>
      <c r="M260" s="74" t="n">
        <v>1</v>
      </c>
      <c r="N260" s="74" t="n">
        <v>0</v>
      </c>
      <c r="O260" s="74" t="n">
        <v>0</v>
      </c>
      <c r="P260" s="74" t="n">
        <v>0</v>
      </c>
      <c r="Q260" s="74" t="n">
        <v>0</v>
      </c>
      <c r="R260" s="74" t="n">
        <v>0</v>
      </c>
      <c r="S260" s="74" t="n">
        <v>0</v>
      </c>
      <c r="T260" s="74" t="n">
        <v>0</v>
      </c>
      <c r="U260" s="74" t="n">
        <v>0</v>
      </c>
    </row>
    <row r="261" customFormat="false" ht="15" hidden="false" customHeight="true" outlineLevel="0" collapsed="false">
      <c r="A261" s="30" t="s">
        <v>116</v>
      </c>
      <c r="B261" s="76"/>
      <c r="C261" s="76"/>
      <c r="D261" s="76"/>
      <c r="E261" s="74" t="n">
        <v>23</v>
      </c>
      <c r="F261" s="74" t="n">
        <v>19</v>
      </c>
      <c r="G261" s="74" t="n">
        <v>17</v>
      </c>
      <c r="H261" s="74" t="n">
        <v>16</v>
      </c>
      <c r="I261" s="74" t="n">
        <v>1</v>
      </c>
      <c r="J261" s="74" t="n">
        <v>2</v>
      </c>
      <c r="K261" s="74" t="n">
        <v>1</v>
      </c>
      <c r="L261" s="74" t="n">
        <v>0</v>
      </c>
      <c r="M261" s="74" t="n">
        <v>0</v>
      </c>
      <c r="N261" s="74" t="n">
        <v>0</v>
      </c>
      <c r="O261" s="74" t="n">
        <v>0</v>
      </c>
      <c r="P261" s="74" t="n">
        <v>0</v>
      </c>
      <c r="Q261" s="74" t="n">
        <v>0</v>
      </c>
      <c r="R261" s="74" t="n">
        <v>0</v>
      </c>
      <c r="S261" s="74" t="n">
        <v>0</v>
      </c>
      <c r="T261" s="74" t="n">
        <v>0</v>
      </c>
      <c r="U261" s="74" t="n">
        <v>0</v>
      </c>
    </row>
    <row r="262" customFormat="false" ht="15" hidden="false" customHeight="true" outlineLevel="0" collapsed="false">
      <c r="A262" s="30" t="s">
        <v>117</v>
      </c>
      <c r="B262" s="76"/>
      <c r="C262" s="76"/>
      <c r="D262" s="76"/>
      <c r="E262" s="76"/>
      <c r="F262" s="74" t="n">
        <v>42</v>
      </c>
      <c r="G262" s="74" t="n">
        <v>34</v>
      </c>
      <c r="H262" s="74" t="n">
        <v>30</v>
      </c>
      <c r="I262" s="74" t="n">
        <v>32</v>
      </c>
      <c r="J262" s="74" t="n">
        <v>10</v>
      </c>
      <c r="K262" s="74" t="n">
        <v>3</v>
      </c>
      <c r="L262" s="74" t="n">
        <v>3</v>
      </c>
      <c r="M262" s="74" t="n">
        <v>1</v>
      </c>
      <c r="N262" s="74" t="n">
        <v>1</v>
      </c>
      <c r="O262" s="74" t="n">
        <v>3</v>
      </c>
      <c r="P262" s="74" t="n">
        <v>1</v>
      </c>
      <c r="Q262" s="74" t="n">
        <v>0</v>
      </c>
      <c r="R262" s="74" t="n">
        <v>0</v>
      </c>
      <c r="S262" s="74" t="n">
        <v>0</v>
      </c>
      <c r="T262" s="74" t="n">
        <v>0</v>
      </c>
      <c r="U262" s="74" t="n">
        <v>0</v>
      </c>
    </row>
    <row r="263" customFormat="false" ht="15" hidden="false" customHeight="true" outlineLevel="0" collapsed="false">
      <c r="A263" s="30" t="s">
        <v>118</v>
      </c>
      <c r="B263" s="76"/>
      <c r="C263" s="76"/>
      <c r="D263" s="76"/>
      <c r="E263" s="76"/>
      <c r="F263" s="76"/>
      <c r="G263" s="74" t="n">
        <v>56</v>
      </c>
      <c r="H263" s="74" t="n">
        <v>47</v>
      </c>
      <c r="I263" s="74" t="n">
        <v>43</v>
      </c>
      <c r="J263" s="74" t="n">
        <v>40</v>
      </c>
      <c r="K263" s="74" t="n">
        <v>7</v>
      </c>
      <c r="L263" s="74" t="n">
        <v>3</v>
      </c>
      <c r="M263" s="74" t="n">
        <v>2</v>
      </c>
      <c r="N263" s="74" t="n">
        <v>2</v>
      </c>
      <c r="O263" s="74" t="n">
        <v>1</v>
      </c>
      <c r="P263" s="74" t="n">
        <v>1</v>
      </c>
      <c r="Q263" s="74" t="n">
        <v>1</v>
      </c>
      <c r="R263" s="74" t="n">
        <v>1</v>
      </c>
      <c r="S263" s="74" t="n">
        <v>1</v>
      </c>
      <c r="T263" s="74" t="n">
        <v>0</v>
      </c>
      <c r="U263" s="74" t="n">
        <v>0</v>
      </c>
    </row>
    <row r="264" customFormat="false" ht="15" hidden="false" customHeight="true" outlineLevel="0" collapsed="false">
      <c r="A264" s="30" t="s">
        <v>119</v>
      </c>
      <c r="B264" s="76"/>
      <c r="C264" s="76"/>
      <c r="D264" s="76"/>
      <c r="E264" s="76"/>
      <c r="F264" s="76"/>
      <c r="G264" s="76"/>
      <c r="H264" s="74" t="n">
        <v>28</v>
      </c>
      <c r="I264" s="74" t="n">
        <v>27</v>
      </c>
      <c r="J264" s="74" t="n">
        <v>26</v>
      </c>
      <c r="K264" s="74" t="n">
        <v>23</v>
      </c>
      <c r="L264" s="74" t="n">
        <v>1</v>
      </c>
      <c r="M264" s="74" t="n">
        <v>1</v>
      </c>
      <c r="N264" s="74" t="n">
        <v>2</v>
      </c>
      <c r="O264" s="74" t="n">
        <v>1</v>
      </c>
      <c r="P264" s="74" t="n">
        <v>0</v>
      </c>
      <c r="Q264" s="74" t="n">
        <v>0</v>
      </c>
      <c r="R264" s="74" t="n">
        <v>0</v>
      </c>
      <c r="S264" s="74" t="n">
        <v>0</v>
      </c>
      <c r="T264" s="74" t="n">
        <v>0</v>
      </c>
      <c r="U264" s="74" t="n">
        <v>0</v>
      </c>
    </row>
    <row r="265" customFormat="false" ht="15" hidden="false" customHeight="true" outlineLevel="0" collapsed="false">
      <c r="A265" s="30" t="s">
        <v>120</v>
      </c>
      <c r="B265" s="76"/>
      <c r="C265" s="76"/>
      <c r="D265" s="76"/>
      <c r="E265" s="76"/>
      <c r="F265" s="76"/>
      <c r="G265" s="76"/>
      <c r="H265" s="76"/>
      <c r="I265" s="74" t="n">
        <v>51</v>
      </c>
      <c r="J265" s="74" t="n">
        <v>41</v>
      </c>
      <c r="K265" s="74" t="n">
        <v>31</v>
      </c>
      <c r="L265" s="74" t="n">
        <v>36</v>
      </c>
      <c r="M265" s="74" t="n">
        <v>12</v>
      </c>
      <c r="N265" s="74" t="n">
        <v>2</v>
      </c>
      <c r="O265" s="74" t="n">
        <v>2</v>
      </c>
      <c r="P265" s="74" t="n">
        <v>1</v>
      </c>
      <c r="Q265" s="74" t="n">
        <v>1</v>
      </c>
      <c r="R265" s="74" t="n">
        <v>0</v>
      </c>
      <c r="S265" s="74" t="n">
        <v>0</v>
      </c>
      <c r="T265" s="74" t="n">
        <v>0</v>
      </c>
      <c r="U265" s="74" t="n">
        <v>0</v>
      </c>
    </row>
    <row r="266" customFormat="false" ht="15" hidden="false" customHeight="true" outlineLevel="0" collapsed="false">
      <c r="A266" s="30" t="s">
        <v>121</v>
      </c>
      <c r="B266" s="76"/>
      <c r="C266" s="76"/>
      <c r="D266" s="76"/>
      <c r="E266" s="76"/>
      <c r="F266" s="76"/>
      <c r="G266" s="76"/>
      <c r="H266" s="76"/>
      <c r="I266" s="76"/>
      <c r="J266" s="74" t="n">
        <v>35</v>
      </c>
      <c r="K266" s="74" t="n">
        <v>28</v>
      </c>
      <c r="L266" s="74" t="n">
        <v>29</v>
      </c>
      <c r="M266" s="74" t="n">
        <v>29</v>
      </c>
      <c r="N266" s="74" t="n">
        <v>5</v>
      </c>
      <c r="O266" s="74" t="n">
        <v>3</v>
      </c>
      <c r="P266" s="74" t="n">
        <v>3</v>
      </c>
      <c r="Q266" s="74" t="n">
        <v>2</v>
      </c>
      <c r="R266" s="74" t="n">
        <v>1</v>
      </c>
      <c r="S266" s="74" t="n">
        <v>0</v>
      </c>
      <c r="T266" s="74" t="n">
        <v>0</v>
      </c>
      <c r="U266" s="74" t="n">
        <v>0</v>
      </c>
    </row>
    <row r="267" customFormat="false" ht="15" hidden="false" customHeight="true" outlineLevel="0" collapsed="false">
      <c r="A267" s="30" t="s">
        <v>122</v>
      </c>
      <c r="B267" s="76"/>
      <c r="C267" s="76"/>
      <c r="D267" s="76"/>
      <c r="E267" s="76"/>
      <c r="F267" s="76"/>
      <c r="G267" s="76"/>
      <c r="H267" s="76"/>
      <c r="I267" s="76"/>
      <c r="J267" s="76"/>
      <c r="K267" s="74" t="n">
        <v>26</v>
      </c>
      <c r="L267" s="74" t="n">
        <v>21</v>
      </c>
      <c r="M267" s="74" t="n">
        <v>18</v>
      </c>
      <c r="N267" s="74" t="n">
        <v>19</v>
      </c>
      <c r="O267" s="74" t="n">
        <v>6</v>
      </c>
      <c r="P267" s="74" t="n">
        <v>5</v>
      </c>
      <c r="Q267" s="74" t="n">
        <v>1</v>
      </c>
      <c r="R267" s="74" t="n">
        <v>2</v>
      </c>
      <c r="S267" s="74" t="n">
        <v>0</v>
      </c>
      <c r="T267" s="74" t="n">
        <v>0</v>
      </c>
      <c r="U267" s="74" t="n">
        <v>0</v>
      </c>
    </row>
    <row r="268" customFormat="false" ht="15" hidden="false" customHeight="true" outlineLevel="0" collapsed="false">
      <c r="A268" s="30" t="s">
        <v>123</v>
      </c>
      <c r="B268" s="76"/>
      <c r="C268" s="76"/>
      <c r="D268" s="76"/>
      <c r="E268" s="76"/>
      <c r="F268" s="76"/>
      <c r="G268" s="76"/>
      <c r="H268" s="76"/>
      <c r="I268" s="76"/>
      <c r="J268" s="76"/>
      <c r="K268" s="76"/>
      <c r="L268" s="74" t="n">
        <v>36</v>
      </c>
      <c r="M268" s="74" t="n">
        <v>27</v>
      </c>
      <c r="N268" s="74" t="n">
        <v>20</v>
      </c>
      <c r="O268" s="74" t="n">
        <v>25</v>
      </c>
      <c r="P268" s="74" t="n">
        <v>14</v>
      </c>
      <c r="Q268" s="74" t="n">
        <v>5</v>
      </c>
      <c r="R268" s="74" t="n">
        <v>4</v>
      </c>
      <c r="S268" s="74" t="n">
        <v>4</v>
      </c>
      <c r="T268" s="74" t="n">
        <v>1</v>
      </c>
      <c r="U268" s="74" t="n">
        <v>1</v>
      </c>
    </row>
    <row r="269" customFormat="false" ht="15" hidden="false" customHeight="true" outlineLevel="0" collapsed="false">
      <c r="A269" s="30" t="s">
        <v>124</v>
      </c>
      <c r="B269" s="76"/>
      <c r="C269" s="76"/>
      <c r="D269" s="76"/>
      <c r="E269" s="76"/>
      <c r="F269" s="76"/>
      <c r="G269" s="76"/>
      <c r="H269" s="76"/>
      <c r="I269" s="76"/>
      <c r="J269" s="76"/>
      <c r="K269" s="76"/>
      <c r="L269" s="76"/>
      <c r="M269" s="74" t="n">
        <v>24</v>
      </c>
      <c r="N269" s="74" t="n">
        <v>19</v>
      </c>
      <c r="O269" s="74" t="n">
        <v>18</v>
      </c>
      <c r="P269" s="74" t="n">
        <v>18</v>
      </c>
      <c r="Q269" s="74" t="n">
        <v>4</v>
      </c>
      <c r="R269" s="74" t="n">
        <v>1</v>
      </c>
      <c r="S269" s="74" t="n">
        <v>0</v>
      </c>
      <c r="T269" s="74" t="n">
        <v>0</v>
      </c>
      <c r="U269" s="74" t="n">
        <v>0</v>
      </c>
    </row>
    <row r="270" customFormat="false" ht="15" hidden="false" customHeight="true" outlineLevel="0" collapsed="false">
      <c r="A270" s="30" t="s">
        <v>125</v>
      </c>
      <c r="B270" s="76"/>
      <c r="C270" s="76"/>
      <c r="D270" s="76"/>
      <c r="E270" s="76"/>
      <c r="F270" s="76"/>
      <c r="G270" s="76"/>
      <c r="H270" s="76"/>
      <c r="I270" s="76"/>
      <c r="J270" s="76"/>
      <c r="K270" s="76"/>
      <c r="L270" s="76"/>
      <c r="M270" s="76"/>
      <c r="N270" s="74" t="n">
        <v>14</v>
      </c>
      <c r="O270" s="74" t="n">
        <v>11</v>
      </c>
      <c r="P270" s="74" t="n">
        <v>12</v>
      </c>
      <c r="Q270" s="74" t="n">
        <v>8</v>
      </c>
      <c r="R270" s="74" t="n">
        <v>1</v>
      </c>
      <c r="S270" s="74" t="n">
        <v>0</v>
      </c>
      <c r="T270" s="74" t="n">
        <v>0</v>
      </c>
      <c r="U270" s="74" t="n">
        <v>0</v>
      </c>
    </row>
    <row r="271" customFormat="false" ht="15" hidden="false" customHeight="true" outlineLevel="0" collapsed="false">
      <c r="A271" s="30" t="s">
        <v>126</v>
      </c>
      <c r="B271" s="76"/>
      <c r="C271" s="76"/>
      <c r="D271" s="76"/>
      <c r="E271" s="76"/>
      <c r="F271" s="76"/>
      <c r="G271" s="76"/>
      <c r="H271" s="76"/>
      <c r="I271" s="76"/>
      <c r="J271" s="76"/>
      <c r="K271" s="76"/>
      <c r="L271" s="76"/>
      <c r="M271" s="76"/>
      <c r="N271" s="76"/>
      <c r="O271" s="74" t="n">
        <v>27</v>
      </c>
      <c r="P271" s="74" t="n">
        <v>24</v>
      </c>
      <c r="Q271" s="74" t="n">
        <v>19</v>
      </c>
      <c r="R271" s="74" t="n">
        <v>23</v>
      </c>
      <c r="S271" s="74" t="n">
        <v>6</v>
      </c>
      <c r="T271" s="74" t="n">
        <v>3</v>
      </c>
      <c r="U271" s="74" t="n">
        <v>3</v>
      </c>
    </row>
    <row r="272" customFormat="false" ht="15" hidden="false" customHeight="true" outlineLevel="0" collapsed="false">
      <c r="A272" s="30" t="s">
        <v>127</v>
      </c>
      <c r="B272" s="76"/>
      <c r="C272" s="76"/>
      <c r="D272" s="76"/>
      <c r="E272" s="76"/>
      <c r="F272" s="76"/>
      <c r="G272" s="76"/>
      <c r="H272" s="76"/>
      <c r="I272" s="76"/>
      <c r="J272" s="76"/>
      <c r="K272" s="76"/>
      <c r="L272" s="76"/>
      <c r="M272" s="76"/>
      <c r="N272" s="76"/>
      <c r="O272" s="76"/>
      <c r="P272" s="74" t="n">
        <v>17</v>
      </c>
      <c r="Q272" s="74" t="n">
        <v>12</v>
      </c>
      <c r="R272" s="74" t="n">
        <v>11</v>
      </c>
      <c r="S272" s="74" t="n">
        <v>10</v>
      </c>
      <c r="T272" s="74" t="n">
        <v>3</v>
      </c>
      <c r="U272" s="74" t="n">
        <v>0</v>
      </c>
    </row>
    <row r="273" customFormat="false" ht="15" hidden="false" customHeight="true" outlineLevel="0" collapsed="false">
      <c r="A273" s="30" t="s">
        <v>128</v>
      </c>
      <c r="B273" s="76"/>
      <c r="C273" s="76"/>
      <c r="D273" s="76"/>
      <c r="E273" s="76"/>
      <c r="F273" s="76"/>
      <c r="G273" s="76"/>
      <c r="H273" s="76"/>
      <c r="I273" s="76"/>
      <c r="J273" s="76"/>
      <c r="K273" s="76"/>
      <c r="L273" s="76"/>
      <c r="M273" s="76"/>
      <c r="N273" s="76"/>
      <c r="O273" s="76"/>
      <c r="P273" s="76"/>
      <c r="Q273" s="74" t="n">
        <v>10</v>
      </c>
      <c r="R273" s="74" t="n">
        <v>9</v>
      </c>
      <c r="S273" s="74" t="n">
        <v>9</v>
      </c>
      <c r="T273" s="74" t="n">
        <v>7</v>
      </c>
      <c r="U273" s="74" t="n">
        <v>3</v>
      </c>
    </row>
    <row r="274" customFormat="false" ht="15" hidden="false" customHeight="true" outlineLevel="0" collapsed="false">
      <c r="A274" s="30" t="s">
        <v>129</v>
      </c>
      <c r="B274" s="76"/>
      <c r="C274" s="76"/>
      <c r="D274" s="76"/>
      <c r="E274" s="76"/>
      <c r="F274" s="76"/>
      <c r="G274" s="76"/>
      <c r="H274" s="76"/>
      <c r="I274" s="76"/>
      <c r="J274" s="76"/>
      <c r="K274" s="76"/>
      <c r="L274" s="76"/>
      <c r="M274" s="76"/>
      <c r="N274" s="76"/>
      <c r="O274" s="76"/>
      <c r="P274" s="76"/>
      <c r="Q274" s="76"/>
      <c r="R274" s="74" t="n">
        <v>28</v>
      </c>
      <c r="S274" s="74" t="n">
        <v>23</v>
      </c>
      <c r="T274" s="74" t="n">
        <v>18</v>
      </c>
      <c r="U274" s="74" t="n">
        <v>21</v>
      </c>
    </row>
    <row r="275" customFormat="false" ht="15" hidden="false" customHeight="true" outlineLevel="0" collapsed="false">
      <c r="A275" s="30" t="s">
        <v>130</v>
      </c>
      <c r="B275" s="76"/>
      <c r="C275" s="76"/>
      <c r="D275" s="76"/>
      <c r="E275" s="76"/>
      <c r="F275" s="76"/>
      <c r="G275" s="76"/>
      <c r="H275" s="76"/>
      <c r="I275" s="76"/>
      <c r="J275" s="76"/>
      <c r="K275" s="76"/>
      <c r="L275" s="76"/>
      <c r="M275" s="76"/>
      <c r="N275" s="76"/>
      <c r="O275" s="76"/>
      <c r="P275" s="76"/>
      <c r="Q275" s="76"/>
      <c r="R275" s="76"/>
      <c r="S275" s="74" t="n">
        <v>17</v>
      </c>
      <c r="T275" s="74" t="n">
        <v>16</v>
      </c>
      <c r="U275" s="74" t="n">
        <v>16</v>
      </c>
    </row>
    <row r="276" customFormat="false" ht="15" hidden="false" customHeight="true" outlineLevel="0" collapsed="false">
      <c r="A276" s="30" t="s">
        <v>131</v>
      </c>
      <c r="B276" s="76"/>
      <c r="C276" s="76"/>
      <c r="D276" s="76"/>
      <c r="E276" s="76"/>
      <c r="F276" s="76"/>
      <c r="G276" s="76"/>
      <c r="H276" s="76"/>
      <c r="I276" s="76"/>
      <c r="J276" s="76"/>
      <c r="K276" s="76"/>
      <c r="L276" s="76"/>
      <c r="M276" s="76"/>
      <c r="N276" s="76"/>
      <c r="O276" s="76"/>
      <c r="P276" s="76"/>
      <c r="Q276" s="76"/>
      <c r="R276" s="76"/>
      <c r="S276" s="76"/>
      <c r="T276" s="74" t="n">
        <v>19</v>
      </c>
      <c r="U276" s="74" t="n">
        <v>17</v>
      </c>
    </row>
    <row r="277" customFormat="false" ht="15" hidden="false" customHeight="true" outlineLevel="0" collapsed="false">
      <c r="A277" s="30" t="s">
        <v>132</v>
      </c>
      <c r="B277" s="76"/>
      <c r="C277" s="76"/>
      <c r="D277" s="76"/>
      <c r="E277" s="76"/>
      <c r="F277" s="76"/>
      <c r="G277" s="76"/>
      <c r="H277" s="76"/>
      <c r="I277" s="76"/>
      <c r="J277" s="76"/>
      <c r="K277" s="76"/>
      <c r="L277" s="76"/>
      <c r="M277" s="76"/>
      <c r="N277" s="76"/>
      <c r="O277" s="76"/>
      <c r="P277" s="76"/>
      <c r="Q277" s="76"/>
      <c r="R277" s="76"/>
      <c r="S277" s="76"/>
      <c r="T277" s="76"/>
      <c r="U277" s="74" t="n">
        <v>20</v>
      </c>
    </row>
    <row r="278" customFormat="false" ht="15" hidden="false" customHeight="true" outlineLevel="0" collapsed="false">
      <c r="A278" s="34" t="s">
        <v>514</v>
      </c>
      <c r="B278" s="79" t="n">
        <v>31</v>
      </c>
      <c r="C278" s="79" t="n">
        <v>65</v>
      </c>
      <c r="D278" s="79" t="n">
        <v>97</v>
      </c>
      <c r="E278" s="79" t="n">
        <v>102</v>
      </c>
      <c r="F278" s="79" t="n">
        <v>123</v>
      </c>
      <c r="G278" s="79" t="n">
        <v>144</v>
      </c>
      <c r="H278" s="79" t="n">
        <v>127</v>
      </c>
      <c r="I278" s="79" t="n">
        <v>160</v>
      </c>
      <c r="J278" s="79" t="n">
        <v>156</v>
      </c>
      <c r="K278" s="79" t="n">
        <v>120</v>
      </c>
      <c r="L278" s="79" t="n">
        <v>130</v>
      </c>
      <c r="M278" s="79" t="n">
        <v>115</v>
      </c>
      <c r="N278" s="79" t="n">
        <v>84</v>
      </c>
      <c r="O278" s="79" t="n">
        <v>97</v>
      </c>
      <c r="P278" s="79" t="n">
        <v>96</v>
      </c>
      <c r="Q278" s="79" t="n">
        <v>63</v>
      </c>
      <c r="R278" s="79" t="n">
        <v>81</v>
      </c>
      <c r="S278" s="79" t="n">
        <v>70</v>
      </c>
      <c r="T278" s="79" t="n">
        <v>67</v>
      </c>
      <c r="U278" s="79" t="n">
        <v>81</v>
      </c>
    </row>
    <row r="280" customFormat="false" ht="19.5" hidden="false" customHeight="true" outlineLevel="0" collapsed="false">
      <c r="A280" s="65" t="s">
        <v>421</v>
      </c>
      <c r="B280" s="65"/>
      <c r="C280" s="65"/>
      <c r="D280" s="65"/>
      <c r="E280" s="65"/>
      <c r="F280" s="65"/>
      <c r="G280" s="65"/>
      <c r="H280" s="65"/>
      <c r="I280" s="65"/>
      <c r="J280" s="65"/>
      <c r="K280" s="65"/>
      <c r="L280" s="65"/>
      <c r="M280" s="65"/>
      <c r="N280" s="65"/>
      <c r="O280" s="65"/>
      <c r="P280" s="65"/>
      <c r="Q280" s="65"/>
      <c r="R280" s="65"/>
      <c r="S280" s="65"/>
      <c r="T280" s="65"/>
      <c r="U280" s="65"/>
    </row>
    <row r="281" customFormat="false" ht="15" hidden="false" customHeight="true" outlineLevel="0" collapsed="false">
      <c r="A281" s="12" t="s">
        <v>513</v>
      </c>
      <c r="B281" s="12" t="s">
        <v>113</v>
      </c>
      <c r="C281" s="12" t="s">
        <v>114</v>
      </c>
      <c r="D281" s="12" t="s">
        <v>115</v>
      </c>
      <c r="E281" s="12" t="s">
        <v>116</v>
      </c>
      <c r="F281" s="12" t="s">
        <v>117</v>
      </c>
      <c r="G281" s="12" t="s">
        <v>118</v>
      </c>
      <c r="H281" s="12" t="s">
        <v>119</v>
      </c>
      <c r="I281" s="12" t="s">
        <v>120</v>
      </c>
      <c r="J281" s="12" t="s">
        <v>121</v>
      </c>
      <c r="K281" s="12" t="s">
        <v>122</v>
      </c>
      <c r="L281" s="12" t="s">
        <v>123</v>
      </c>
      <c r="M281" s="12" t="s">
        <v>124</v>
      </c>
      <c r="N281" s="12" t="s">
        <v>125</v>
      </c>
      <c r="O281" s="12" t="s">
        <v>126</v>
      </c>
      <c r="P281" s="12" t="s">
        <v>127</v>
      </c>
      <c r="Q281" s="12" t="s">
        <v>128</v>
      </c>
      <c r="R281" s="12" t="s">
        <v>129</v>
      </c>
      <c r="S281" s="12" t="s">
        <v>130</v>
      </c>
      <c r="T281" s="12" t="s">
        <v>131</v>
      </c>
      <c r="U281" s="12" t="s">
        <v>132</v>
      </c>
    </row>
    <row r="282" customFormat="false" ht="15" hidden="false" customHeight="true" outlineLevel="0" collapsed="false">
      <c r="A282" s="30" t="s">
        <v>113</v>
      </c>
      <c r="B282" s="74" t="n">
        <v>22</v>
      </c>
      <c r="C282" s="74" t="n">
        <v>17</v>
      </c>
      <c r="D282" s="74" t="n">
        <v>16</v>
      </c>
      <c r="E282" s="74" t="n">
        <v>16</v>
      </c>
      <c r="F282" s="74" t="n">
        <v>3</v>
      </c>
      <c r="G282" s="74" t="n">
        <v>1</v>
      </c>
      <c r="H282" s="74" t="n">
        <v>0</v>
      </c>
      <c r="I282" s="74" t="n">
        <v>0</v>
      </c>
      <c r="J282" s="74" t="n">
        <v>0</v>
      </c>
      <c r="K282" s="74" t="n">
        <v>0</v>
      </c>
      <c r="L282" s="74" t="n">
        <v>0</v>
      </c>
      <c r="M282" s="74" t="n">
        <v>0</v>
      </c>
      <c r="N282" s="74" t="n">
        <v>0</v>
      </c>
      <c r="O282" s="74" t="n">
        <v>0</v>
      </c>
      <c r="P282" s="74" t="n">
        <v>0</v>
      </c>
      <c r="Q282" s="74" t="n">
        <v>0</v>
      </c>
      <c r="R282" s="74" t="n">
        <v>0</v>
      </c>
      <c r="S282" s="74" t="n">
        <v>0</v>
      </c>
      <c r="T282" s="74" t="n">
        <v>0</v>
      </c>
      <c r="U282" s="74" t="n">
        <v>0</v>
      </c>
    </row>
    <row r="283" customFormat="false" ht="15" hidden="false" customHeight="true" outlineLevel="0" collapsed="false">
      <c r="A283" s="30" t="s">
        <v>114</v>
      </c>
      <c r="B283" s="76"/>
      <c r="C283" s="74" t="n">
        <v>61</v>
      </c>
      <c r="D283" s="74" t="n">
        <v>53</v>
      </c>
      <c r="E283" s="74" t="n">
        <v>41</v>
      </c>
      <c r="F283" s="74" t="n">
        <v>50</v>
      </c>
      <c r="G283" s="74" t="n">
        <v>15</v>
      </c>
      <c r="H283" s="74" t="n">
        <v>3</v>
      </c>
      <c r="I283" s="74" t="n">
        <v>3</v>
      </c>
      <c r="J283" s="74" t="n">
        <v>3</v>
      </c>
      <c r="K283" s="74" t="n">
        <v>0</v>
      </c>
      <c r="L283" s="74" t="n">
        <v>1</v>
      </c>
      <c r="M283" s="74" t="n">
        <v>1</v>
      </c>
      <c r="N283" s="74" t="n">
        <v>0</v>
      </c>
      <c r="O283" s="74" t="n">
        <v>1</v>
      </c>
      <c r="P283" s="74" t="n">
        <v>0</v>
      </c>
      <c r="Q283" s="74" t="n">
        <v>0</v>
      </c>
      <c r="R283" s="74" t="n">
        <v>1</v>
      </c>
      <c r="S283" s="74" t="n">
        <v>1</v>
      </c>
      <c r="T283" s="74" t="n">
        <v>1</v>
      </c>
      <c r="U283" s="74" t="n">
        <v>0</v>
      </c>
    </row>
    <row r="284" customFormat="false" ht="15" hidden="false" customHeight="true" outlineLevel="0" collapsed="false">
      <c r="A284" s="30" t="s">
        <v>115</v>
      </c>
      <c r="B284" s="76"/>
      <c r="C284" s="76"/>
      <c r="D284" s="74" t="n">
        <v>68</v>
      </c>
      <c r="E284" s="74" t="n">
        <v>56</v>
      </c>
      <c r="F284" s="74" t="n">
        <v>53</v>
      </c>
      <c r="G284" s="74" t="n">
        <v>52</v>
      </c>
      <c r="H284" s="74" t="n">
        <v>8</v>
      </c>
      <c r="I284" s="74" t="n">
        <v>7</v>
      </c>
      <c r="J284" s="74" t="n">
        <v>3</v>
      </c>
      <c r="K284" s="74" t="n">
        <v>1</v>
      </c>
      <c r="L284" s="74" t="n">
        <v>0</v>
      </c>
      <c r="M284" s="74" t="n">
        <v>0</v>
      </c>
      <c r="N284" s="74" t="n">
        <v>0</v>
      </c>
      <c r="O284" s="74" t="n">
        <v>0</v>
      </c>
      <c r="P284" s="74" t="n">
        <v>0</v>
      </c>
      <c r="Q284" s="74" t="n">
        <v>1</v>
      </c>
      <c r="R284" s="74" t="n">
        <v>1</v>
      </c>
      <c r="S284" s="74" t="n">
        <v>0</v>
      </c>
      <c r="T284" s="74" t="n">
        <v>1</v>
      </c>
      <c r="U284" s="74" t="n">
        <v>0</v>
      </c>
    </row>
    <row r="285" customFormat="false" ht="15" hidden="false" customHeight="true" outlineLevel="0" collapsed="false">
      <c r="A285" s="30" t="s">
        <v>116</v>
      </c>
      <c r="B285" s="76"/>
      <c r="C285" s="76"/>
      <c r="D285" s="76"/>
      <c r="E285" s="74" t="n">
        <v>32</v>
      </c>
      <c r="F285" s="74" t="n">
        <v>26</v>
      </c>
      <c r="G285" s="74" t="n">
        <v>24</v>
      </c>
      <c r="H285" s="74" t="n">
        <v>20</v>
      </c>
      <c r="I285" s="74" t="n">
        <v>3</v>
      </c>
      <c r="J285" s="74" t="n">
        <v>5</v>
      </c>
      <c r="K285" s="74" t="n">
        <v>1</v>
      </c>
      <c r="L285" s="74" t="n">
        <v>1</v>
      </c>
      <c r="M285" s="74" t="n">
        <v>2</v>
      </c>
      <c r="N285" s="74" t="n">
        <v>0</v>
      </c>
      <c r="O285" s="74" t="n">
        <v>0</v>
      </c>
      <c r="P285" s="74" t="n">
        <v>0</v>
      </c>
      <c r="Q285" s="74" t="n">
        <v>0</v>
      </c>
      <c r="R285" s="74" t="n">
        <v>0</v>
      </c>
      <c r="S285" s="74" t="n">
        <v>0</v>
      </c>
      <c r="T285" s="74" t="n">
        <v>0</v>
      </c>
      <c r="U285" s="74" t="n">
        <v>0</v>
      </c>
    </row>
    <row r="286" customFormat="false" ht="15" hidden="false" customHeight="true" outlineLevel="0" collapsed="false">
      <c r="A286" s="30" t="s">
        <v>117</v>
      </c>
      <c r="B286" s="76"/>
      <c r="C286" s="76"/>
      <c r="D286" s="76"/>
      <c r="E286" s="76"/>
      <c r="F286" s="74" t="n">
        <v>79</v>
      </c>
      <c r="G286" s="74" t="n">
        <v>66</v>
      </c>
      <c r="H286" s="74" t="n">
        <v>48</v>
      </c>
      <c r="I286" s="74" t="n">
        <v>54</v>
      </c>
      <c r="J286" s="74" t="n">
        <v>20</v>
      </c>
      <c r="K286" s="74" t="n">
        <v>6</v>
      </c>
      <c r="L286" s="74" t="n">
        <v>11</v>
      </c>
      <c r="M286" s="74" t="n">
        <v>5</v>
      </c>
      <c r="N286" s="74" t="n">
        <v>2</v>
      </c>
      <c r="O286" s="74" t="n">
        <v>2</v>
      </c>
      <c r="P286" s="74" t="n">
        <v>3</v>
      </c>
      <c r="Q286" s="74" t="n">
        <v>2</v>
      </c>
      <c r="R286" s="74" t="n">
        <v>1</v>
      </c>
      <c r="S286" s="74" t="n">
        <v>1</v>
      </c>
      <c r="T286" s="74" t="n">
        <v>0</v>
      </c>
      <c r="U286" s="74" t="n">
        <v>0</v>
      </c>
    </row>
    <row r="287" customFormat="false" ht="15" hidden="false" customHeight="true" outlineLevel="0" collapsed="false">
      <c r="A287" s="30" t="s">
        <v>118</v>
      </c>
      <c r="B287" s="76"/>
      <c r="C287" s="76"/>
      <c r="D287" s="76"/>
      <c r="E287" s="76"/>
      <c r="F287" s="76"/>
      <c r="G287" s="74" t="n">
        <v>53</v>
      </c>
      <c r="H287" s="74" t="n">
        <v>38</v>
      </c>
      <c r="I287" s="74" t="n">
        <v>35</v>
      </c>
      <c r="J287" s="74" t="n">
        <v>31</v>
      </c>
      <c r="K287" s="74" t="n">
        <v>5</v>
      </c>
      <c r="L287" s="74" t="n">
        <v>3</v>
      </c>
      <c r="M287" s="74" t="n">
        <v>2</v>
      </c>
      <c r="N287" s="74" t="n">
        <v>0</v>
      </c>
      <c r="O287" s="74" t="n">
        <v>0</v>
      </c>
      <c r="P287" s="74" t="n">
        <v>0</v>
      </c>
      <c r="Q287" s="74" t="n">
        <v>0</v>
      </c>
      <c r="R287" s="74" t="n">
        <v>0</v>
      </c>
      <c r="S287" s="74" t="n">
        <v>0</v>
      </c>
      <c r="T287" s="74" t="n">
        <v>0</v>
      </c>
      <c r="U287" s="74" t="n">
        <v>0</v>
      </c>
    </row>
    <row r="288" customFormat="false" ht="15" hidden="false" customHeight="true" outlineLevel="0" collapsed="false">
      <c r="A288" s="30" t="s">
        <v>119</v>
      </c>
      <c r="B288" s="76"/>
      <c r="C288" s="76"/>
      <c r="D288" s="76"/>
      <c r="E288" s="76"/>
      <c r="F288" s="76"/>
      <c r="G288" s="76"/>
      <c r="H288" s="74" t="n">
        <v>29</v>
      </c>
      <c r="I288" s="74" t="n">
        <v>22</v>
      </c>
      <c r="J288" s="74" t="n">
        <v>18</v>
      </c>
      <c r="K288" s="74" t="n">
        <v>16</v>
      </c>
      <c r="L288" s="74" t="n">
        <v>1</v>
      </c>
      <c r="M288" s="74" t="n">
        <v>2</v>
      </c>
      <c r="N288" s="74" t="n">
        <v>2</v>
      </c>
      <c r="O288" s="74" t="n">
        <v>1</v>
      </c>
      <c r="P288" s="74" t="n">
        <v>0</v>
      </c>
      <c r="Q288" s="74" t="n">
        <v>1</v>
      </c>
      <c r="R288" s="74" t="n">
        <v>0</v>
      </c>
      <c r="S288" s="74" t="n">
        <v>0</v>
      </c>
      <c r="T288" s="74" t="n">
        <v>0</v>
      </c>
      <c r="U288" s="74" t="n">
        <v>0</v>
      </c>
    </row>
    <row r="289" customFormat="false" ht="15" hidden="false" customHeight="true" outlineLevel="0" collapsed="false">
      <c r="A289" s="30" t="s">
        <v>120</v>
      </c>
      <c r="B289" s="76"/>
      <c r="C289" s="76"/>
      <c r="D289" s="76"/>
      <c r="E289" s="76"/>
      <c r="F289" s="76"/>
      <c r="G289" s="76"/>
      <c r="H289" s="76"/>
      <c r="I289" s="74" t="n">
        <v>53</v>
      </c>
      <c r="J289" s="74" t="n">
        <v>36</v>
      </c>
      <c r="K289" s="74" t="n">
        <v>31</v>
      </c>
      <c r="L289" s="74" t="n">
        <v>35</v>
      </c>
      <c r="M289" s="74" t="n">
        <v>12</v>
      </c>
      <c r="N289" s="74" t="n">
        <v>2</v>
      </c>
      <c r="O289" s="74" t="n">
        <v>3</v>
      </c>
      <c r="P289" s="74" t="n">
        <v>1</v>
      </c>
      <c r="Q289" s="74" t="n">
        <v>1</v>
      </c>
      <c r="R289" s="74" t="n">
        <v>1</v>
      </c>
      <c r="S289" s="74" t="n">
        <v>1</v>
      </c>
      <c r="T289" s="74" t="n">
        <v>0</v>
      </c>
      <c r="U289" s="74" t="n">
        <v>0</v>
      </c>
    </row>
    <row r="290" customFormat="false" ht="15" hidden="false" customHeight="true" outlineLevel="0" collapsed="false">
      <c r="A290" s="30" t="s">
        <v>121</v>
      </c>
      <c r="B290" s="76"/>
      <c r="C290" s="76"/>
      <c r="D290" s="76"/>
      <c r="E290" s="76"/>
      <c r="F290" s="76"/>
      <c r="G290" s="76"/>
      <c r="H290" s="76"/>
      <c r="I290" s="76"/>
      <c r="J290" s="74" t="n">
        <v>44</v>
      </c>
      <c r="K290" s="74" t="n">
        <v>33</v>
      </c>
      <c r="L290" s="74" t="n">
        <v>33</v>
      </c>
      <c r="M290" s="74" t="n">
        <v>32</v>
      </c>
      <c r="N290" s="74" t="n">
        <v>4</v>
      </c>
      <c r="O290" s="74" t="n">
        <v>6</v>
      </c>
      <c r="P290" s="74" t="n">
        <v>2</v>
      </c>
      <c r="Q290" s="74" t="n">
        <v>1</v>
      </c>
      <c r="R290" s="74" t="n">
        <v>1</v>
      </c>
      <c r="S290" s="74" t="n">
        <v>2</v>
      </c>
      <c r="T290" s="74" t="n">
        <v>1</v>
      </c>
      <c r="U290" s="74" t="n">
        <v>1</v>
      </c>
    </row>
    <row r="291" customFormat="false" ht="15" hidden="false" customHeight="true" outlineLevel="0" collapsed="false">
      <c r="A291" s="30" t="s">
        <v>122</v>
      </c>
      <c r="B291" s="76"/>
      <c r="C291" s="76"/>
      <c r="D291" s="76"/>
      <c r="E291" s="76"/>
      <c r="F291" s="76"/>
      <c r="G291" s="76"/>
      <c r="H291" s="76"/>
      <c r="I291" s="76"/>
      <c r="J291" s="76"/>
      <c r="K291" s="74" t="n">
        <v>20</v>
      </c>
      <c r="L291" s="74" t="n">
        <v>13</v>
      </c>
      <c r="M291" s="74" t="n">
        <v>12</v>
      </c>
      <c r="N291" s="74" t="n">
        <v>11</v>
      </c>
      <c r="O291" s="74" t="n">
        <v>0</v>
      </c>
      <c r="P291" s="74" t="n">
        <v>0</v>
      </c>
      <c r="Q291" s="74" t="n">
        <v>0</v>
      </c>
      <c r="R291" s="74" t="n">
        <v>0</v>
      </c>
      <c r="S291" s="74" t="n">
        <v>0</v>
      </c>
      <c r="T291" s="74" t="n">
        <v>0</v>
      </c>
      <c r="U291" s="74" t="n">
        <v>0</v>
      </c>
    </row>
    <row r="292" customFormat="false" ht="15" hidden="false" customHeight="true" outlineLevel="0" collapsed="false">
      <c r="A292" s="30" t="s">
        <v>123</v>
      </c>
      <c r="B292" s="76"/>
      <c r="C292" s="76"/>
      <c r="D292" s="76"/>
      <c r="E292" s="76"/>
      <c r="F292" s="76"/>
      <c r="G292" s="76"/>
      <c r="H292" s="76"/>
      <c r="I292" s="76"/>
      <c r="J292" s="76"/>
      <c r="K292" s="76"/>
      <c r="L292" s="74" t="n">
        <v>61</v>
      </c>
      <c r="M292" s="74" t="n">
        <v>54</v>
      </c>
      <c r="N292" s="74" t="n">
        <v>42</v>
      </c>
      <c r="O292" s="74" t="n">
        <v>41</v>
      </c>
      <c r="P292" s="74" t="n">
        <v>8</v>
      </c>
      <c r="Q292" s="74" t="n">
        <v>2</v>
      </c>
      <c r="R292" s="74" t="n">
        <v>5</v>
      </c>
      <c r="S292" s="74" t="n">
        <v>2</v>
      </c>
      <c r="T292" s="74" t="n">
        <v>0</v>
      </c>
      <c r="U292" s="74" t="n">
        <v>0</v>
      </c>
    </row>
    <row r="293" customFormat="false" ht="15" hidden="false" customHeight="true" outlineLevel="0" collapsed="false">
      <c r="A293" s="30" t="s">
        <v>124</v>
      </c>
      <c r="B293" s="76"/>
      <c r="C293" s="76"/>
      <c r="D293" s="76"/>
      <c r="E293" s="76"/>
      <c r="F293" s="76"/>
      <c r="G293" s="76"/>
      <c r="H293" s="76"/>
      <c r="I293" s="76"/>
      <c r="J293" s="76"/>
      <c r="K293" s="76"/>
      <c r="L293" s="76"/>
      <c r="M293" s="74" t="n">
        <v>44</v>
      </c>
      <c r="N293" s="74" t="n">
        <v>34</v>
      </c>
      <c r="O293" s="74" t="n">
        <v>31</v>
      </c>
      <c r="P293" s="74" t="n">
        <v>29</v>
      </c>
      <c r="Q293" s="74" t="n">
        <v>10</v>
      </c>
      <c r="R293" s="74" t="n">
        <v>7</v>
      </c>
      <c r="S293" s="74" t="n">
        <v>3</v>
      </c>
      <c r="T293" s="74" t="n">
        <v>1</v>
      </c>
      <c r="U293" s="74" t="n">
        <v>1</v>
      </c>
    </row>
    <row r="294" customFormat="false" ht="15" hidden="false" customHeight="true" outlineLevel="0" collapsed="false">
      <c r="A294" s="30" t="s">
        <v>125</v>
      </c>
      <c r="B294" s="76"/>
      <c r="C294" s="76"/>
      <c r="D294" s="76"/>
      <c r="E294" s="76"/>
      <c r="F294" s="76"/>
      <c r="G294" s="76"/>
      <c r="H294" s="76"/>
      <c r="I294" s="76"/>
      <c r="J294" s="76"/>
      <c r="K294" s="76"/>
      <c r="L294" s="76"/>
      <c r="M294" s="76"/>
      <c r="N294" s="74" t="n">
        <v>19</v>
      </c>
      <c r="O294" s="74" t="n">
        <v>10</v>
      </c>
      <c r="P294" s="74" t="n">
        <v>8</v>
      </c>
      <c r="Q294" s="74" t="n">
        <v>9</v>
      </c>
      <c r="R294" s="74" t="n">
        <v>3</v>
      </c>
      <c r="S294" s="74" t="n">
        <v>2</v>
      </c>
      <c r="T294" s="74" t="n">
        <v>1</v>
      </c>
      <c r="U294" s="74" t="n">
        <v>1</v>
      </c>
    </row>
    <row r="295" customFormat="false" ht="15" hidden="false" customHeight="true" outlineLevel="0" collapsed="false">
      <c r="A295" s="30" t="s">
        <v>126</v>
      </c>
      <c r="B295" s="76"/>
      <c r="C295" s="76"/>
      <c r="D295" s="76"/>
      <c r="E295" s="76"/>
      <c r="F295" s="76"/>
      <c r="G295" s="76"/>
      <c r="H295" s="76"/>
      <c r="I295" s="76"/>
      <c r="J295" s="76"/>
      <c r="K295" s="76"/>
      <c r="L295" s="76"/>
      <c r="M295" s="76"/>
      <c r="N295" s="76"/>
      <c r="O295" s="74" t="n">
        <v>46</v>
      </c>
      <c r="P295" s="74" t="n">
        <v>41</v>
      </c>
      <c r="Q295" s="74" t="n">
        <v>28</v>
      </c>
      <c r="R295" s="74" t="n">
        <v>38</v>
      </c>
      <c r="S295" s="74" t="n">
        <v>15</v>
      </c>
      <c r="T295" s="74" t="n">
        <v>5</v>
      </c>
      <c r="U295" s="74" t="n">
        <v>6</v>
      </c>
    </row>
    <row r="296" customFormat="false" ht="15" hidden="false" customHeight="true" outlineLevel="0" collapsed="false">
      <c r="A296" s="30" t="s">
        <v>127</v>
      </c>
      <c r="B296" s="76"/>
      <c r="C296" s="76"/>
      <c r="D296" s="76"/>
      <c r="E296" s="76"/>
      <c r="F296" s="76"/>
      <c r="G296" s="76"/>
      <c r="H296" s="76"/>
      <c r="I296" s="76"/>
      <c r="J296" s="76"/>
      <c r="K296" s="76"/>
      <c r="L296" s="76"/>
      <c r="M296" s="76"/>
      <c r="N296" s="76"/>
      <c r="O296" s="76"/>
      <c r="P296" s="74" t="n">
        <v>30</v>
      </c>
      <c r="Q296" s="74" t="n">
        <v>24</v>
      </c>
      <c r="R296" s="74" t="n">
        <v>25</v>
      </c>
      <c r="S296" s="74" t="n">
        <v>23</v>
      </c>
      <c r="T296" s="74" t="n">
        <v>4</v>
      </c>
      <c r="U296" s="74" t="n">
        <v>3</v>
      </c>
    </row>
    <row r="297" customFormat="false" ht="15" hidden="false" customHeight="true" outlineLevel="0" collapsed="false">
      <c r="A297" s="30" t="s">
        <v>128</v>
      </c>
      <c r="B297" s="76"/>
      <c r="C297" s="76"/>
      <c r="D297" s="76"/>
      <c r="E297" s="76"/>
      <c r="F297" s="76"/>
      <c r="G297" s="76"/>
      <c r="H297" s="76"/>
      <c r="I297" s="76"/>
      <c r="J297" s="76"/>
      <c r="K297" s="76"/>
      <c r="L297" s="76"/>
      <c r="M297" s="76"/>
      <c r="N297" s="76"/>
      <c r="O297" s="76"/>
      <c r="P297" s="76"/>
      <c r="Q297" s="74" t="n">
        <v>13</v>
      </c>
      <c r="R297" s="74" t="n">
        <v>10</v>
      </c>
      <c r="S297" s="74" t="n">
        <v>10</v>
      </c>
      <c r="T297" s="74" t="n">
        <v>9</v>
      </c>
      <c r="U297" s="74" t="n">
        <v>1</v>
      </c>
    </row>
    <row r="298" customFormat="false" ht="15" hidden="false" customHeight="true" outlineLevel="0" collapsed="false">
      <c r="A298" s="30" t="s">
        <v>129</v>
      </c>
      <c r="B298" s="76"/>
      <c r="C298" s="76"/>
      <c r="D298" s="76"/>
      <c r="E298" s="76"/>
      <c r="F298" s="76"/>
      <c r="G298" s="76"/>
      <c r="H298" s="76"/>
      <c r="I298" s="76"/>
      <c r="J298" s="76"/>
      <c r="K298" s="76"/>
      <c r="L298" s="76"/>
      <c r="M298" s="76"/>
      <c r="N298" s="76"/>
      <c r="O298" s="76"/>
      <c r="P298" s="76"/>
      <c r="Q298" s="76"/>
      <c r="R298" s="74" t="n">
        <v>34</v>
      </c>
      <c r="S298" s="74" t="n">
        <v>24</v>
      </c>
      <c r="T298" s="74" t="n">
        <v>21</v>
      </c>
      <c r="U298" s="74" t="n">
        <v>23</v>
      </c>
    </row>
    <row r="299" customFormat="false" ht="15" hidden="false" customHeight="true" outlineLevel="0" collapsed="false">
      <c r="A299" s="30" t="s">
        <v>130</v>
      </c>
      <c r="B299" s="76"/>
      <c r="C299" s="76"/>
      <c r="D299" s="76"/>
      <c r="E299" s="76"/>
      <c r="F299" s="76"/>
      <c r="G299" s="76"/>
      <c r="H299" s="76"/>
      <c r="I299" s="76"/>
      <c r="J299" s="76"/>
      <c r="K299" s="76"/>
      <c r="L299" s="76"/>
      <c r="M299" s="76"/>
      <c r="N299" s="76"/>
      <c r="O299" s="76"/>
      <c r="P299" s="76"/>
      <c r="Q299" s="76"/>
      <c r="R299" s="76"/>
      <c r="S299" s="74" t="n">
        <v>23</v>
      </c>
      <c r="T299" s="74" t="n">
        <v>15</v>
      </c>
      <c r="U299" s="74" t="n">
        <v>19</v>
      </c>
    </row>
    <row r="300" customFormat="false" ht="15" hidden="false" customHeight="true" outlineLevel="0" collapsed="false">
      <c r="A300" s="30" t="s">
        <v>131</v>
      </c>
      <c r="B300" s="76"/>
      <c r="C300" s="76"/>
      <c r="D300" s="76"/>
      <c r="E300" s="76"/>
      <c r="F300" s="76"/>
      <c r="G300" s="76"/>
      <c r="H300" s="76"/>
      <c r="I300" s="76"/>
      <c r="J300" s="76"/>
      <c r="K300" s="76"/>
      <c r="L300" s="76"/>
      <c r="M300" s="76"/>
      <c r="N300" s="76"/>
      <c r="O300" s="76"/>
      <c r="P300" s="76"/>
      <c r="Q300" s="76"/>
      <c r="R300" s="76"/>
      <c r="S300" s="76"/>
      <c r="T300" s="74" t="n">
        <v>13</v>
      </c>
      <c r="U300" s="74" t="n">
        <v>11</v>
      </c>
    </row>
    <row r="301" customFormat="false" ht="15" hidden="false" customHeight="true" outlineLevel="0" collapsed="false">
      <c r="A301" s="30" t="s">
        <v>132</v>
      </c>
      <c r="B301" s="76"/>
      <c r="C301" s="76"/>
      <c r="D301" s="76"/>
      <c r="E301" s="76"/>
      <c r="F301" s="76"/>
      <c r="G301" s="76"/>
      <c r="H301" s="76"/>
      <c r="I301" s="76"/>
      <c r="J301" s="76"/>
      <c r="K301" s="76"/>
      <c r="L301" s="76"/>
      <c r="M301" s="76"/>
      <c r="N301" s="76"/>
      <c r="O301" s="76"/>
      <c r="P301" s="76"/>
      <c r="Q301" s="76"/>
      <c r="R301" s="76"/>
      <c r="S301" s="76"/>
      <c r="T301" s="76"/>
      <c r="U301" s="74" t="n">
        <v>24</v>
      </c>
    </row>
    <row r="302" customFormat="false" ht="15" hidden="false" customHeight="true" outlineLevel="0" collapsed="false">
      <c r="A302" s="34" t="s">
        <v>514</v>
      </c>
      <c r="B302" s="79" t="n">
        <v>22</v>
      </c>
      <c r="C302" s="79" t="n">
        <v>78</v>
      </c>
      <c r="D302" s="79" t="n">
        <v>137</v>
      </c>
      <c r="E302" s="79" t="n">
        <v>145</v>
      </c>
      <c r="F302" s="79" t="n">
        <v>211</v>
      </c>
      <c r="G302" s="79" t="n">
        <v>211</v>
      </c>
      <c r="H302" s="79" t="n">
        <v>146</v>
      </c>
      <c r="I302" s="79" t="n">
        <v>177</v>
      </c>
      <c r="J302" s="79" t="n">
        <v>160</v>
      </c>
      <c r="K302" s="79" t="n">
        <v>113</v>
      </c>
      <c r="L302" s="79" t="n">
        <v>159</v>
      </c>
      <c r="M302" s="79" t="n">
        <v>166</v>
      </c>
      <c r="N302" s="79" t="n">
        <v>116</v>
      </c>
      <c r="O302" s="79" t="n">
        <v>141</v>
      </c>
      <c r="P302" s="79" t="n">
        <v>122</v>
      </c>
      <c r="Q302" s="79" t="n">
        <v>92</v>
      </c>
      <c r="R302" s="79" t="n">
        <v>127</v>
      </c>
      <c r="S302" s="79" t="n">
        <v>107</v>
      </c>
      <c r="T302" s="79" t="n">
        <v>72</v>
      </c>
      <c r="U302" s="79" t="n">
        <v>90</v>
      </c>
    </row>
    <row r="304" customFormat="false" ht="19.5" hidden="false" customHeight="true" outlineLevel="0" collapsed="false">
      <c r="A304" s="65" t="s">
        <v>422</v>
      </c>
      <c r="B304" s="65"/>
      <c r="C304" s="65"/>
      <c r="D304" s="65"/>
      <c r="E304" s="65"/>
      <c r="F304" s="65"/>
      <c r="G304" s="65"/>
      <c r="H304" s="65"/>
      <c r="I304" s="65"/>
      <c r="J304" s="65"/>
      <c r="K304" s="65"/>
      <c r="L304" s="65"/>
      <c r="M304" s="65"/>
      <c r="N304" s="65"/>
      <c r="O304" s="65"/>
      <c r="P304" s="65"/>
      <c r="Q304" s="65"/>
      <c r="R304" s="65"/>
      <c r="S304" s="65"/>
      <c r="T304" s="65"/>
      <c r="U304" s="65"/>
    </row>
    <row r="305" customFormat="false" ht="15" hidden="false" customHeight="true" outlineLevel="0" collapsed="false">
      <c r="A305" s="12" t="s">
        <v>513</v>
      </c>
      <c r="B305" s="12" t="s">
        <v>113</v>
      </c>
      <c r="C305" s="12" t="s">
        <v>114</v>
      </c>
      <c r="D305" s="12" t="s">
        <v>115</v>
      </c>
      <c r="E305" s="12" t="s">
        <v>116</v>
      </c>
      <c r="F305" s="12" t="s">
        <v>117</v>
      </c>
      <c r="G305" s="12" t="s">
        <v>118</v>
      </c>
      <c r="H305" s="12" t="s">
        <v>119</v>
      </c>
      <c r="I305" s="12" t="s">
        <v>120</v>
      </c>
      <c r="J305" s="12" t="s">
        <v>121</v>
      </c>
      <c r="K305" s="12" t="s">
        <v>122</v>
      </c>
      <c r="L305" s="12" t="s">
        <v>123</v>
      </c>
      <c r="M305" s="12" t="s">
        <v>124</v>
      </c>
      <c r="N305" s="12" t="s">
        <v>125</v>
      </c>
      <c r="O305" s="12" t="s">
        <v>126</v>
      </c>
      <c r="P305" s="12" t="s">
        <v>127</v>
      </c>
      <c r="Q305" s="12" t="s">
        <v>128</v>
      </c>
      <c r="R305" s="12" t="s">
        <v>129</v>
      </c>
      <c r="S305" s="12" t="s">
        <v>130</v>
      </c>
      <c r="T305" s="12" t="s">
        <v>131</v>
      </c>
      <c r="U305" s="12" t="s">
        <v>132</v>
      </c>
    </row>
    <row r="306" customFormat="false" ht="15" hidden="false" customHeight="true" outlineLevel="0" collapsed="false">
      <c r="A306" s="30" t="s">
        <v>114</v>
      </c>
      <c r="B306" s="76"/>
      <c r="C306" s="74" t="n">
        <v>14</v>
      </c>
      <c r="D306" s="74" t="n">
        <v>12</v>
      </c>
      <c r="E306" s="74" t="n">
        <v>12</v>
      </c>
      <c r="F306" s="74" t="n">
        <v>13</v>
      </c>
      <c r="G306" s="74" t="n">
        <v>3</v>
      </c>
      <c r="H306" s="74" t="n">
        <v>2</v>
      </c>
      <c r="I306" s="74" t="n">
        <v>2</v>
      </c>
      <c r="J306" s="74" t="n">
        <v>0</v>
      </c>
      <c r="K306" s="74" t="n">
        <v>0</v>
      </c>
      <c r="L306" s="74" t="n">
        <v>0</v>
      </c>
      <c r="M306" s="74" t="n">
        <v>0</v>
      </c>
      <c r="N306" s="74" t="n">
        <v>0</v>
      </c>
      <c r="O306" s="74" t="n">
        <v>0</v>
      </c>
      <c r="P306" s="74" t="n">
        <v>0</v>
      </c>
      <c r="Q306" s="74" t="n">
        <v>0</v>
      </c>
      <c r="R306" s="74" t="n">
        <v>0</v>
      </c>
      <c r="S306" s="74" t="n">
        <v>0</v>
      </c>
      <c r="T306" s="74" t="n">
        <v>0</v>
      </c>
      <c r="U306" s="74" t="n">
        <v>0</v>
      </c>
    </row>
    <row r="307" customFormat="false" ht="15" hidden="false" customHeight="true" outlineLevel="0" collapsed="false">
      <c r="A307" s="30" t="s">
        <v>115</v>
      </c>
      <c r="B307" s="76"/>
      <c r="C307" s="76"/>
      <c r="D307" s="74" t="n">
        <v>14</v>
      </c>
      <c r="E307" s="74" t="n">
        <v>11</v>
      </c>
      <c r="F307" s="74" t="n">
        <v>9</v>
      </c>
      <c r="G307" s="74" t="n">
        <v>9</v>
      </c>
      <c r="H307" s="74" t="n">
        <v>2</v>
      </c>
      <c r="I307" s="74" t="n">
        <v>1</v>
      </c>
      <c r="J307" s="74" t="n">
        <v>0</v>
      </c>
      <c r="K307" s="74" t="n">
        <v>0</v>
      </c>
      <c r="L307" s="74" t="n">
        <v>0</v>
      </c>
      <c r="M307" s="74" t="n">
        <v>0</v>
      </c>
      <c r="N307" s="74" t="n">
        <v>0</v>
      </c>
      <c r="O307" s="74" t="n">
        <v>0</v>
      </c>
      <c r="P307" s="74" t="n">
        <v>0</v>
      </c>
      <c r="Q307" s="74" t="n">
        <v>0</v>
      </c>
      <c r="R307" s="74" t="n">
        <v>0</v>
      </c>
      <c r="S307" s="74" t="n">
        <v>0</v>
      </c>
      <c r="T307" s="74" t="n">
        <v>0</v>
      </c>
      <c r="U307" s="74" t="n">
        <v>0</v>
      </c>
    </row>
    <row r="308" customFormat="false" ht="15" hidden="false" customHeight="true" outlineLevel="0" collapsed="false">
      <c r="A308" s="30" t="s">
        <v>117</v>
      </c>
      <c r="B308" s="76"/>
      <c r="C308" s="76"/>
      <c r="D308" s="76"/>
      <c r="E308" s="76"/>
      <c r="F308" s="74" t="n">
        <v>11</v>
      </c>
      <c r="G308" s="74" t="n">
        <v>8</v>
      </c>
      <c r="H308" s="74" t="n">
        <v>8</v>
      </c>
      <c r="I308" s="74" t="n">
        <v>7</v>
      </c>
      <c r="J308" s="74" t="n">
        <v>1</v>
      </c>
      <c r="K308" s="74" t="n">
        <v>0</v>
      </c>
      <c r="L308" s="74" t="n">
        <v>0</v>
      </c>
      <c r="M308" s="74" t="n">
        <v>0</v>
      </c>
      <c r="N308" s="74" t="n">
        <v>0</v>
      </c>
      <c r="O308" s="74" t="n">
        <v>0</v>
      </c>
      <c r="P308" s="74" t="n">
        <v>0</v>
      </c>
      <c r="Q308" s="74" t="n">
        <v>0</v>
      </c>
      <c r="R308" s="74" t="n">
        <v>0</v>
      </c>
      <c r="S308" s="74" t="n">
        <v>0</v>
      </c>
      <c r="T308" s="74" t="n">
        <v>0</v>
      </c>
      <c r="U308" s="74" t="n">
        <v>0</v>
      </c>
    </row>
    <row r="309" customFormat="false" ht="15" hidden="false" customHeight="true" outlineLevel="0" collapsed="false">
      <c r="A309" s="30" t="s">
        <v>118</v>
      </c>
      <c r="B309" s="76"/>
      <c r="C309" s="76"/>
      <c r="D309" s="76"/>
      <c r="E309" s="76"/>
      <c r="F309" s="76"/>
      <c r="G309" s="74" t="n">
        <v>5</v>
      </c>
      <c r="H309" s="74" t="n">
        <v>4</v>
      </c>
      <c r="I309" s="74" t="n">
        <v>3</v>
      </c>
      <c r="J309" s="74" t="n">
        <v>3</v>
      </c>
      <c r="K309" s="74" t="n">
        <v>0</v>
      </c>
      <c r="L309" s="74" t="n">
        <v>0</v>
      </c>
      <c r="M309" s="74" t="n">
        <v>0</v>
      </c>
      <c r="N309" s="74" t="n">
        <v>0</v>
      </c>
      <c r="O309" s="74" t="n">
        <v>0</v>
      </c>
      <c r="P309" s="74" t="n">
        <v>0</v>
      </c>
      <c r="Q309" s="74" t="n">
        <v>0</v>
      </c>
      <c r="R309" s="74" t="n">
        <v>0</v>
      </c>
      <c r="S309" s="74" t="n">
        <v>0</v>
      </c>
      <c r="T309" s="74" t="n">
        <v>0</v>
      </c>
      <c r="U309" s="74" t="n">
        <v>0</v>
      </c>
    </row>
    <row r="310" customFormat="false" ht="15" hidden="false" customHeight="true" outlineLevel="0" collapsed="false">
      <c r="A310" s="30" t="s">
        <v>120</v>
      </c>
      <c r="B310" s="76"/>
      <c r="C310" s="76"/>
      <c r="D310" s="76"/>
      <c r="E310" s="76"/>
      <c r="F310" s="76"/>
      <c r="G310" s="76"/>
      <c r="H310" s="76"/>
      <c r="I310" s="74" t="n">
        <v>6</v>
      </c>
      <c r="J310" s="74" t="n">
        <v>5</v>
      </c>
      <c r="K310" s="74" t="n">
        <v>5</v>
      </c>
      <c r="L310" s="74" t="n">
        <v>5</v>
      </c>
      <c r="M310" s="74" t="n">
        <v>1</v>
      </c>
      <c r="N310" s="74" t="n">
        <v>1</v>
      </c>
      <c r="O310" s="74" t="n">
        <v>1</v>
      </c>
      <c r="P310" s="74" t="n">
        <v>1</v>
      </c>
      <c r="Q310" s="74" t="n">
        <v>0</v>
      </c>
      <c r="R310" s="74" t="n">
        <v>0</v>
      </c>
      <c r="S310" s="74" t="n">
        <v>0</v>
      </c>
      <c r="T310" s="74" t="n">
        <v>0</v>
      </c>
      <c r="U310" s="74" t="n">
        <v>0</v>
      </c>
    </row>
    <row r="311" customFormat="false" ht="15" hidden="false" customHeight="true" outlineLevel="0" collapsed="false">
      <c r="A311" s="30" t="s">
        <v>121</v>
      </c>
      <c r="B311" s="76"/>
      <c r="C311" s="76"/>
      <c r="D311" s="76"/>
      <c r="E311" s="76"/>
      <c r="F311" s="76"/>
      <c r="G311" s="76"/>
      <c r="H311" s="76"/>
      <c r="I311" s="76"/>
      <c r="J311" s="74" t="n">
        <v>4</v>
      </c>
      <c r="K311" s="74" t="n">
        <v>3</v>
      </c>
      <c r="L311" s="74" t="n">
        <v>4</v>
      </c>
      <c r="M311" s="74" t="n">
        <v>3</v>
      </c>
      <c r="N311" s="74" t="n">
        <v>0</v>
      </c>
      <c r="O311" s="74" t="n">
        <v>0</v>
      </c>
      <c r="P311" s="74" t="n">
        <v>0</v>
      </c>
      <c r="Q311" s="74" t="n">
        <v>0</v>
      </c>
      <c r="R311" s="74" t="n">
        <v>0</v>
      </c>
      <c r="S311" s="74" t="n">
        <v>0</v>
      </c>
      <c r="T311" s="74" t="n">
        <v>0</v>
      </c>
      <c r="U311" s="74" t="n">
        <v>0</v>
      </c>
    </row>
    <row r="312" customFormat="false" ht="15" hidden="false" customHeight="true" outlineLevel="0" collapsed="false">
      <c r="A312" s="30" t="s">
        <v>123</v>
      </c>
      <c r="B312" s="76"/>
      <c r="C312" s="76"/>
      <c r="D312" s="76"/>
      <c r="E312" s="76"/>
      <c r="F312" s="76"/>
      <c r="G312" s="76"/>
      <c r="H312" s="76"/>
      <c r="I312" s="76"/>
      <c r="J312" s="76"/>
      <c r="K312" s="76"/>
      <c r="L312" s="74" t="n">
        <v>8</v>
      </c>
      <c r="M312" s="74" t="n">
        <v>5</v>
      </c>
      <c r="N312" s="74" t="n">
        <v>4</v>
      </c>
      <c r="O312" s="74" t="n">
        <v>6</v>
      </c>
      <c r="P312" s="74" t="n">
        <v>3</v>
      </c>
      <c r="Q312" s="74" t="n">
        <v>1</v>
      </c>
      <c r="R312" s="74" t="n">
        <v>2</v>
      </c>
      <c r="S312" s="74" t="n">
        <v>1</v>
      </c>
      <c r="T312" s="74" t="n">
        <v>1</v>
      </c>
      <c r="U312" s="74" t="n">
        <v>1</v>
      </c>
    </row>
    <row r="313" customFormat="false" ht="15" hidden="false" customHeight="true" outlineLevel="0" collapsed="false">
      <c r="A313" s="30" t="s">
        <v>124</v>
      </c>
      <c r="B313" s="76"/>
      <c r="C313" s="76"/>
      <c r="D313" s="76"/>
      <c r="E313" s="76"/>
      <c r="F313" s="76"/>
      <c r="G313" s="76"/>
      <c r="H313" s="76"/>
      <c r="I313" s="76"/>
      <c r="J313" s="76"/>
      <c r="K313" s="76"/>
      <c r="L313" s="76"/>
      <c r="M313" s="74" t="n">
        <v>6</v>
      </c>
      <c r="N313" s="74" t="n">
        <v>4</v>
      </c>
      <c r="O313" s="74" t="n">
        <v>3</v>
      </c>
      <c r="P313" s="74" t="n">
        <v>2</v>
      </c>
      <c r="Q313" s="74" t="n">
        <v>1</v>
      </c>
      <c r="R313" s="74" t="n">
        <v>0</v>
      </c>
      <c r="S313" s="74" t="n">
        <v>0</v>
      </c>
      <c r="T313" s="74" t="n">
        <v>0</v>
      </c>
      <c r="U313" s="74" t="n">
        <v>0</v>
      </c>
    </row>
    <row r="314" customFormat="false" ht="15" hidden="false" customHeight="true" outlineLevel="0" collapsed="false">
      <c r="A314" s="30" t="s">
        <v>129</v>
      </c>
      <c r="B314" s="76"/>
      <c r="C314" s="76"/>
      <c r="D314" s="76"/>
      <c r="E314" s="76"/>
      <c r="F314" s="76"/>
      <c r="G314" s="76"/>
      <c r="H314" s="76"/>
      <c r="I314" s="76"/>
      <c r="J314" s="76"/>
      <c r="K314" s="76"/>
      <c r="L314" s="76"/>
      <c r="M314" s="76"/>
      <c r="N314" s="76"/>
      <c r="O314" s="76"/>
      <c r="P314" s="76"/>
      <c r="Q314" s="76"/>
      <c r="R314" s="74" t="n">
        <v>5</v>
      </c>
      <c r="S314" s="74" t="n">
        <v>4</v>
      </c>
      <c r="T314" s="74" t="n">
        <v>3</v>
      </c>
      <c r="U314" s="74" t="n">
        <v>4</v>
      </c>
    </row>
    <row r="315" customFormat="false" ht="15" hidden="false" customHeight="true" outlineLevel="0" collapsed="false">
      <c r="A315" s="30" t="s">
        <v>130</v>
      </c>
      <c r="B315" s="76"/>
      <c r="C315" s="76"/>
      <c r="D315" s="76"/>
      <c r="E315" s="76"/>
      <c r="F315" s="76"/>
      <c r="G315" s="76"/>
      <c r="H315" s="76"/>
      <c r="I315" s="76"/>
      <c r="J315" s="76"/>
      <c r="K315" s="76"/>
      <c r="L315" s="76"/>
      <c r="M315" s="76"/>
      <c r="N315" s="76"/>
      <c r="O315" s="76"/>
      <c r="P315" s="76"/>
      <c r="Q315" s="76"/>
      <c r="R315" s="76"/>
      <c r="S315" s="74" t="n">
        <v>2</v>
      </c>
      <c r="T315" s="74" t="n">
        <v>2</v>
      </c>
      <c r="U315" s="74" t="n">
        <v>2</v>
      </c>
    </row>
    <row r="316" customFormat="false" ht="15" hidden="false" customHeight="true" outlineLevel="0" collapsed="false">
      <c r="A316" s="30" t="s">
        <v>132</v>
      </c>
      <c r="B316" s="76"/>
      <c r="C316" s="76"/>
      <c r="D316" s="76"/>
      <c r="E316" s="76"/>
      <c r="F316" s="76"/>
      <c r="G316" s="76"/>
      <c r="H316" s="76"/>
      <c r="I316" s="76"/>
      <c r="J316" s="76"/>
      <c r="K316" s="76"/>
      <c r="L316" s="76"/>
      <c r="M316" s="76"/>
      <c r="N316" s="76"/>
      <c r="O316" s="76"/>
      <c r="P316" s="76"/>
      <c r="Q316" s="76"/>
      <c r="R316" s="76"/>
      <c r="S316" s="76"/>
      <c r="T316" s="76"/>
      <c r="U316" s="74" t="n">
        <v>5</v>
      </c>
    </row>
    <row r="317" customFormat="false" ht="15" hidden="false" customHeight="true" outlineLevel="0" collapsed="false">
      <c r="A317" s="34" t="s">
        <v>514</v>
      </c>
      <c r="B317" s="79"/>
      <c r="C317" s="79" t="n">
        <v>14</v>
      </c>
      <c r="D317" s="79" t="n">
        <v>26</v>
      </c>
      <c r="E317" s="79" t="n">
        <v>23</v>
      </c>
      <c r="F317" s="79" t="n">
        <v>33</v>
      </c>
      <c r="G317" s="79" t="n">
        <v>25</v>
      </c>
      <c r="H317" s="79" t="n">
        <v>16</v>
      </c>
      <c r="I317" s="79" t="n">
        <v>19</v>
      </c>
      <c r="J317" s="79" t="n">
        <v>13</v>
      </c>
      <c r="K317" s="79" t="n">
        <v>8</v>
      </c>
      <c r="L317" s="79" t="n">
        <v>17</v>
      </c>
      <c r="M317" s="79" t="n">
        <v>15</v>
      </c>
      <c r="N317" s="79" t="n">
        <v>9</v>
      </c>
      <c r="O317" s="79" t="n">
        <v>10</v>
      </c>
      <c r="P317" s="79" t="n">
        <v>6</v>
      </c>
      <c r="Q317" s="79" t="n">
        <v>2</v>
      </c>
      <c r="R317" s="79" t="n">
        <v>7</v>
      </c>
      <c r="S317" s="79" t="n">
        <v>7</v>
      </c>
      <c r="T317" s="79" t="n">
        <v>6</v>
      </c>
      <c r="U317" s="79" t="n">
        <v>12</v>
      </c>
    </row>
    <row r="319" customFormat="false" ht="45" hidden="false" customHeight="true" outlineLevel="0" collapsed="false">
      <c r="A319" s="65" t="s">
        <v>423</v>
      </c>
      <c r="B319" s="65"/>
      <c r="C319" s="65"/>
      <c r="D319" s="65"/>
      <c r="E319" s="65"/>
      <c r="F319" s="65"/>
      <c r="G319" s="65"/>
      <c r="H319" s="65"/>
      <c r="I319" s="65"/>
    </row>
    <row r="320" customFormat="false" ht="15" hidden="false" customHeight="true" outlineLevel="0" collapsed="false">
      <c r="A320" s="29" t="s">
        <v>272</v>
      </c>
      <c r="B320" s="29"/>
      <c r="C320" s="29"/>
      <c r="D320" s="29"/>
      <c r="E320" s="29"/>
      <c r="F320" s="29"/>
      <c r="G320" s="29"/>
      <c r="H320" s="29"/>
      <c r="I320" s="29"/>
    </row>
    <row r="322" customFormat="false" ht="30" hidden="false" customHeight="true" outlineLevel="0" collapsed="false">
      <c r="A322" s="65" t="s">
        <v>424</v>
      </c>
      <c r="B322" s="65"/>
      <c r="C322" s="65"/>
      <c r="D322" s="65"/>
      <c r="E322" s="65"/>
      <c r="F322" s="65"/>
      <c r="G322" s="65"/>
      <c r="H322" s="65"/>
      <c r="I322" s="65"/>
      <c r="J322" s="65"/>
      <c r="K322" s="65"/>
      <c r="L322" s="65"/>
      <c r="M322" s="65"/>
      <c r="N322" s="65"/>
      <c r="O322" s="65"/>
      <c r="P322" s="65"/>
      <c r="Q322" s="65"/>
      <c r="R322" s="65"/>
      <c r="S322" s="65"/>
      <c r="T322" s="65"/>
      <c r="U322" s="65"/>
    </row>
    <row r="323" customFormat="false" ht="15" hidden="false" customHeight="true" outlineLevel="0" collapsed="false">
      <c r="A323" s="12" t="s">
        <v>513</v>
      </c>
      <c r="B323" s="12" t="s">
        <v>113</v>
      </c>
      <c r="C323" s="12" t="s">
        <v>114</v>
      </c>
      <c r="D323" s="12" t="s">
        <v>115</v>
      </c>
      <c r="E323" s="12" t="s">
        <v>116</v>
      </c>
      <c r="F323" s="12" t="s">
        <v>117</v>
      </c>
      <c r="G323" s="12" t="s">
        <v>118</v>
      </c>
      <c r="H323" s="12" t="s">
        <v>119</v>
      </c>
      <c r="I323" s="12" t="s">
        <v>120</v>
      </c>
      <c r="J323" s="12" t="s">
        <v>121</v>
      </c>
      <c r="K323" s="12" t="s">
        <v>122</v>
      </c>
      <c r="L323" s="12" t="s">
        <v>123</v>
      </c>
      <c r="M323" s="12" t="s">
        <v>124</v>
      </c>
      <c r="N323" s="12" t="s">
        <v>125</v>
      </c>
      <c r="O323" s="12" t="s">
        <v>126</v>
      </c>
      <c r="P323" s="12" t="s">
        <v>127</v>
      </c>
      <c r="Q323" s="12" t="s">
        <v>128</v>
      </c>
      <c r="R323" s="12" t="s">
        <v>129</v>
      </c>
      <c r="S323" s="12" t="s">
        <v>130</v>
      </c>
      <c r="T323" s="12" t="s">
        <v>131</v>
      </c>
      <c r="U323" s="12" t="s">
        <v>132</v>
      </c>
    </row>
    <row r="324" customFormat="false" ht="15" hidden="false" customHeight="true" outlineLevel="0" collapsed="false">
      <c r="A324" s="30" t="s">
        <v>123</v>
      </c>
      <c r="B324" s="76"/>
      <c r="C324" s="76"/>
      <c r="D324" s="76"/>
      <c r="E324" s="76"/>
      <c r="F324" s="76"/>
      <c r="G324" s="76"/>
      <c r="H324" s="76"/>
      <c r="I324" s="76"/>
      <c r="J324" s="76"/>
      <c r="K324" s="76"/>
      <c r="L324" s="74" t="n">
        <v>22</v>
      </c>
      <c r="M324" s="74" t="n">
        <v>11</v>
      </c>
      <c r="N324" s="74" t="n">
        <v>9</v>
      </c>
      <c r="O324" s="74" t="n">
        <v>9</v>
      </c>
      <c r="P324" s="74" t="n">
        <v>7</v>
      </c>
      <c r="Q324" s="74" t="n">
        <v>2</v>
      </c>
      <c r="R324" s="74" t="n">
        <v>3</v>
      </c>
      <c r="S324" s="74" t="n">
        <v>2</v>
      </c>
      <c r="T324" s="74" t="n">
        <v>1</v>
      </c>
      <c r="U324" s="74" t="n">
        <v>0</v>
      </c>
    </row>
    <row r="325" customFormat="false" ht="15" hidden="false" customHeight="true" outlineLevel="0" collapsed="false">
      <c r="A325" s="30" t="s">
        <v>124</v>
      </c>
      <c r="B325" s="76"/>
      <c r="C325" s="76"/>
      <c r="D325" s="76"/>
      <c r="E325" s="76"/>
      <c r="F325" s="76"/>
      <c r="G325" s="76"/>
      <c r="H325" s="76"/>
      <c r="I325" s="76"/>
      <c r="J325" s="76"/>
      <c r="K325" s="76"/>
      <c r="L325" s="76"/>
      <c r="M325" s="74" t="n">
        <v>27</v>
      </c>
      <c r="N325" s="74" t="n">
        <v>16</v>
      </c>
      <c r="O325" s="74" t="n">
        <v>12</v>
      </c>
      <c r="P325" s="74" t="n">
        <v>12</v>
      </c>
      <c r="Q325" s="74" t="n">
        <v>12</v>
      </c>
      <c r="R325" s="74" t="n">
        <v>4</v>
      </c>
      <c r="S325" s="74" t="n">
        <v>3</v>
      </c>
      <c r="T325" s="74" t="n">
        <v>0</v>
      </c>
      <c r="U325" s="74" t="n">
        <v>1</v>
      </c>
    </row>
    <row r="326" customFormat="false" ht="15" hidden="false" customHeight="true" outlineLevel="0" collapsed="false">
      <c r="A326" s="30" t="s">
        <v>125</v>
      </c>
      <c r="B326" s="76"/>
      <c r="C326" s="76"/>
      <c r="D326" s="76"/>
      <c r="E326" s="76"/>
      <c r="F326" s="76"/>
      <c r="G326" s="76"/>
      <c r="H326" s="76"/>
      <c r="I326" s="76"/>
      <c r="J326" s="76"/>
      <c r="K326" s="76"/>
      <c r="L326" s="76"/>
      <c r="M326" s="76"/>
      <c r="N326" s="74" t="n">
        <v>26</v>
      </c>
      <c r="O326" s="74" t="n">
        <v>17</v>
      </c>
      <c r="P326" s="74" t="n">
        <v>12</v>
      </c>
      <c r="Q326" s="74" t="n">
        <v>11</v>
      </c>
      <c r="R326" s="74" t="n">
        <v>11</v>
      </c>
      <c r="S326" s="74" t="n">
        <v>2</v>
      </c>
      <c r="T326" s="74" t="n">
        <v>1</v>
      </c>
      <c r="U326" s="74" t="n">
        <v>1</v>
      </c>
    </row>
    <row r="327" customFormat="false" ht="15" hidden="false" customHeight="true" outlineLevel="0" collapsed="false">
      <c r="A327" s="30" t="s">
        <v>126</v>
      </c>
      <c r="B327" s="76"/>
      <c r="C327" s="76"/>
      <c r="D327" s="76"/>
      <c r="E327" s="76"/>
      <c r="F327" s="76"/>
      <c r="G327" s="76"/>
      <c r="H327" s="76"/>
      <c r="I327" s="76"/>
      <c r="J327" s="76"/>
      <c r="K327" s="76"/>
      <c r="L327" s="76"/>
      <c r="M327" s="76"/>
      <c r="N327" s="76"/>
      <c r="O327" s="74" t="n">
        <v>28</v>
      </c>
      <c r="P327" s="74" t="n">
        <v>24</v>
      </c>
      <c r="Q327" s="74" t="n">
        <v>19</v>
      </c>
      <c r="R327" s="74" t="n">
        <v>21</v>
      </c>
      <c r="S327" s="74" t="n">
        <v>18</v>
      </c>
      <c r="T327" s="74" t="n">
        <v>2</v>
      </c>
      <c r="U327" s="74" t="n">
        <v>0</v>
      </c>
    </row>
    <row r="328" customFormat="false" ht="15" hidden="false" customHeight="true" outlineLevel="0" collapsed="false">
      <c r="A328" s="30" t="s">
        <v>127</v>
      </c>
      <c r="B328" s="76"/>
      <c r="C328" s="76"/>
      <c r="D328" s="76"/>
      <c r="E328" s="76"/>
      <c r="F328" s="76"/>
      <c r="G328" s="76"/>
      <c r="H328" s="76"/>
      <c r="I328" s="76"/>
      <c r="J328" s="76"/>
      <c r="K328" s="76"/>
      <c r="L328" s="76"/>
      <c r="M328" s="76"/>
      <c r="N328" s="76"/>
      <c r="O328" s="76"/>
      <c r="P328" s="74" t="n">
        <v>19</v>
      </c>
      <c r="Q328" s="74" t="n">
        <v>14</v>
      </c>
      <c r="R328" s="74" t="n">
        <v>13</v>
      </c>
      <c r="S328" s="74" t="n">
        <v>12</v>
      </c>
      <c r="T328" s="74" t="n">
        <v>9</v>
      </c>
      <c r="U328" s="74" t="n">
        <v>2</v>
      </c>
    </row>
    <row r="329" customFormat="false" ht="15" hidden="false" customHeight="true" outlineLevel="0" collapsed="false">
      <c r="A329" s="30" t="s">
        <v>129</v>
      </c>
      <c r="B329" s="76"/>
      <c r="C329" s="76"/>
      <c r="D329" s="76"/>
      <c r="E329" s="76"/>
      <c r="F329" s="76"/>
      <c r="G329" s="76"/>
      <c r="H329" s="76"/>
      <c r="I329" s="76"/>
      <c r="J329" s="76"/>
      <c r="K329" s="76"/>
      <c r="L329" s="76"/>
      <c r="M329" s="76"/>
      <c r="N329" s="76"/>
      <c r="O329" s="76"/>
      <c r="P329" s="76"/>
      <c r="Q329" s="76"/>
      <c r="R329" s="74" t="n">
        <v>26</v>
      </c>
      <c r="S329" s="74" t="n">
        <v>22</v>
      </c>
      <c r="T329" s="74" t="n">
        <v>18</v>
      </c>
      <c r="U329" s="74" t="n">
        <v>19</v>
      </c>
    </row>
    <row r="330" customFormat="false" ht="15" hidden="false" customHeight="true" outlineLevel="0" collapsed="false">
      <c r="A330" s="30" t="s">
        <v>130</v>
      </c>
      <c r="B330" s="76"/>
      <c r="C330" s="76"/>
      <c r="D330" s="76"/>
      <c r="E330" s="76"/>
      <c r="F330" s="76"/>
      <c r="G330" s="76"/>
      <c r="H330" s="76"/>
      <c r="I330" s="76"/>
      <c r="J330" s="76"/>
      <c r="K330" s="76"/>
      <c r="L330" s="76"/>
      <c r="M330" s="76"/>
      <c r="N330" s="76"/>
      <c r="O330" s="76"/>
      <c r="P330" s="76"/>
      <c r="Q330" s="76"/>
      <c r="R330" s="76"/>
      <c r="S330" s="74" t="n">
        <v>4</v>
      </c>
      <c r="T330" s="74" t="n">
        <v>3</v>
      </c>
      <c r="U330" s="74" t="n">
        <v>3</v>
      </c>
    </row>
    <row r="331" customFormat="false" ht="15" hidden="false" customHeight="true" outlineLevel="0" collapsed="false">
      <c r="A331" s="30" t="s">
        <v>131</v>
      </c>
      <c r="B331" s="76"/>
      <c r="C331" s="76"/>
      <c r="D331" s="76"/>
      <c r="E331" s="76"/>
      <c r="F331" s="76"/>
      <c r="G331" s="76"/>
      <c r="H331" s="76"/>
      <c r="I331" s="76"/>
      <c r="J331" s="76"/>
      <c r="K331" s="76"/>
      <c r="L331" s="76"/>
      <c r="M331" s="76"/>
      <c r="N331" s="76"/>
      <c r="O331" s="76"/>
      <c r="P331" s="76"/>
      <c r="Q331" s="76"/>
      <c r="R331" s="76"/>
      <c r="S331" s="76"/>
      <c r="T331" s="74" t="n">
        <v>5</v>
      </c>
      <c r="U331" s="74" t="n">
        <v>5</v>
      </c>
    </row>
    <row r="332" customFormat="false" ht="15" hidden="false" customHeight="true" outlineLevel="0" collapsed="false">
      <c r="A332" s="30" t="s">
        <v>132</v>
      </c>
      <c r="B332" s="76"/>
      <c r="C332" s="76"/>
      <c r="D332" s="76"/>
      <c r="E332" s="76"/>
      <c r="F332" s="76"/>
      <c r="G332" s="76"/>
      <c r="H332" s="76"/>
      <c r="I332" s="76"/>
      <c r="J332" s="76"/>
      <c r="K332" s="76"/>
      <c r="L332" s="76"/>
      <c r="M332" s="76"/>
      <c r="N332" s="76"/>
      <c r="O332" s="76"/>
      <c r="P332" s="76"/>
      <c r="Q332" s="76"/>
      <c r="R332" s="76"/>
      <c r="S332" s="76"/>
      <c r="T332" s="76"/>
      <c r="U332" s="74" t="n">
        <v>1</v>
      </c>
    </row>
    <row r="333" customFormat="false" ht="15" hidden="false" customHeight="true" outlineLevel="0" collapsed="false">
      <c r="A333" s="34" t="s">
        <v>514</v>
      </c>
      <c r="B333" s="79"/>
      <c r="C333" s="79"/>
      <c r="D333" s="79"/>
      <c r="E333" s="79"/>
      <c r="F333" s="79"/>
      <c r="G333" s="79"/>
      <c r="H333" s="79"/>
      <c r="I333" s="79"/>
      <c r="J333" s="79"/>
      <c r="K333" s="79"/>
      <c r="L333" s="79" t="n">
        <v>22</v>
      </c>
      <c r="M333" s="79" t="n">
        <v>38</v>
      </c>
      <c r="N333" s="79" t="n">
        <v>51</v>
      </c>
      <c r="O333" s="79" t="n">
        <v>66</v>
      </c>
      <c r="P333" s="79" t="n">
        <v>74</v>
      </c>
      <c r="Q333" s="79" t="n">
        <v>58</v>
      </c>
      <c r="R333" s="79" t="n">
        <v>78</v>
      </c>
      <c r="S333" s="79" t="n">
        <v>63</v>
      </c>
      <c r="T333" s="79" t="n">
        <v>39</v>
      </c>
      <c r="U333" s="79" t="n">
        <v>32</v>
      </c>
    </row>
    <row r="335" customFormat="false" ht="19.5" hidden="false" customHeight="true" outlineLevel="0" collapsed="false">
      <c r="A335" s="65" t="s">
        <v>425</v>
      </c>
      <c r="B335" s="65"/>
      <c r="C335" s="65"/>
      <c r="D335" s="65"/>
      <c r="E335" s="65"/>
      <c r="F335" s="65"/>
      <c r="G335" s="65"/>
      <c r="H335" s="65"/>
      <c r="I335" s="65"/>
      <c r="J335" s="65"/>
      <c r="K335" s="65"/>
      <c r="L335" s="65"/>
      <c r="M335" s="65"/>
      <c r="N335" s="65"/>
      <c r="O335" s="65"/>
      <c r="P335" s="65"/>
      <c r="Q335" s="65"/>
      <c r="R335" s="65"/>
      <c r="S335" s="65"/>
      <c r="T335" s="65"/>
      <c r="U335" s="65"/>
    </row>
    <row r="336" customFormat="false" ht="15" hidden="false" customHeight="true" outlineLevel="0" collapsed="false">
      <c r="A336" s="12" t="s">
        <v>513</v>
      </c>
      <c r="B336" s="12" t="s">
        <v>113</v>
      </c>
      <c r="C336" s="12" t="s">
        <v>114</v>
      </c>
      <c r="D336" s="12" t="s">
        <v>115</v>
      </c>
      <c r="E336" s="12" t="s">
        <v>116</v>
      </c>
      <c r="F336" s="12" t="s">
        <v>117</v>
      </c>
      <c r="G336" s="12" t="s">
        <v>118</v>
      </c>
      <c r="H336" s="12" t="s">
        <v>119</v>
      </c>
      <c r="I336" s="12" t="s">
        <v>120</v>
      </c>
      <c r="J336" s="12" t="s">
        <v>121</v>
      </c>
      <c r="K336" s="12" t="s">
        <v>122</v>
      </c>
      <c r="L336" s="12" t="s">
        <v>123</v>
      </c>
      <c r="M336" s="12" t="s">
        <v>124</v>
      </c>
      <c r="N336" s="12" t="s">
        <v>125</v>
      </c>
      <c r="O336" s="12" t="s">
        <v>126</v>
      </c>
      <c r="P336" s="12" t="s">
        <v>127</v>
      </c>
      <c r="Q336" s="12" t="s">
        <v>128</v>
      </c>
      <c r="R336" s="12" t="s">
        <v>129</v>
      </c>
      <c r="S336" s="12" t="s">
        <v>130</v>
      </c>
      <c r="T336" s="12" t="s">
        <v>131</v>
      </c>
      <c r="U336" s="12" t="s">
        <v>132</v>
      </c>
    </row>
    <row r="337" customFormat="false" ht="15" hidden="false" customHeight="true" outlineLevel="0" collapsed="false">
      <c r="A337" s="30" t="s">
        <v>120</v>
      </c>
      <c r="B337" s="76"/>
      <c r="C337" s="76"/>
      <c r="D337" s="76"/>
      <c r="E337" s="76"/>
      <c r="F337" s="76"/>
      <c r="G337" s="76"/>
      <c r="H337" s="76"/>
      <c r="I337" s="74" t="n">
        <v>17</v>
      </c>
      <c r="J337" s="74" t="n">
        <v>13</v>
      </c>
      <c r="K337" s="74" t="n">
        <v>11</v>
      </c>
      <c r="L337" s="74" t="n">
        <v>10</v>
      </c>
      <c r="M337" s="74" t="n">
        <v>4</v>
      </c>
      <c r="N337" s="74" t="n">
        <v>1</v>
      </c>
      <c r="O337" s="74" t="n">
        <v>1</v>
      </c>
      <c r="P337" s="74" t="n">
        <v>1</v>
      </c>
      <c r="Q337" s="74" t="n">
        <v>1</v>
      </c>
      <c r="R337" s="74" t="n">
        <v>0</v>
      </c>
      <c r="S337" s="74" t="n">
        <v>0</v>
      </c>
      <c r="T337" s="74" t="n">
        <v>0</v>
      </c>
      <c r="U337" s="74" t="n">
        <v>0</v>
      </c>
    </row>
    <row r="338" customFormat="false" ht="15" hidden="false" customHeight="true" outlineLevel="0" collapsed="false">
      <c r="A338" s="30" t="s">
        <v>121</v>
      </c>
      <c r="B338" s="76"/>
      <c r="C338" s="76"/>
      <c r="D338" s="76"/>
      <c r="E338" s="76"/>
      <c r="F338" s="76"/>
      <c r="G338" s="76"/>
      <c r="H338" s="76"/>
      <c r="I338" s="76"/>
      <c r="J338" s="74" t="n">
        <v>18</v>
      </c>
      <c r="K338" s="74" t="n">
        <v>15</v>
      </c>
      <c r="L338" s="74" t="n">
        <v>13</v>
      </c>
      <c r="M338" s="74" t="n">
        <v>12</v>
      </c>
      <c r="N338" s="74" t="n">
        <v>5</v>
      </c>
      <c r="O338" s="74" t="n">
        <v>3</v>
      </c>
      <c r="P338" s="74" t="n">
        <v>1</v>
      </c>
      <c r="Q338" s="74" t="n">
        <v>1</v>
      </c>
      <c r="R338" s="74" t="n">
        <v>1</v>
      </c>
      <c r="S338" s="74" t="n">
        <v>1</v>
      </c>
      <c r="T338" s="74" t="n">
        <v>0</v>
      </c>
      <c r="U338" s="74" t="n">
        <v>0</v>
      </c>
    </row>
    <row r="339" customFormat="false" ht="15" hidden="false" customHeight="true" outlineLevel="0" collapsed="false">
      <c r="A339" s="30" t="s">
        <v>122</v>
      </c>
      <c r="B339" s="76"/>
      <c r="C339" s="76"/>
      <c r="D339" s="76"/>
      <c r="E339" s="76"/>
      <c r="F339" s="76"/>
      <c r="G339" s="76"/>
      <c r="H339" s="76"/>
      <c r="I339" s="76"/>
      <c r="J339" s="76"/>
      <c r="K339" s="74" t="n">
        <v>1</v>
      </c>
      <c r="L339" s="74" t="n">
        <v>1</v>
      </c>
      <c r="M339" s="74" t="n">
        <v>1</v>
      </c>
      <c r="N339" s="74" t="n">
        <v>0</v>
      </c>
      <c r="O339" s="74" t="n">
        <v>0</v>
      </c>
      <c r="P339" s="74" t="n">
        <v>0</v>
      </c>
      <c r="Q339" s="74" t="n">
        <v>0</v>
      </c>
      <c r="R339" s="74" t="n">
        <v>0</v>
      </c>
      <c r="S339" s="74" t="n">
        <v>0</v>
      </c>
      <c r="T339" s="74" t="n">
        <v>0</v>
      </c>
      <c r="U339" s="74" t="n">
        <v>0</v>
      </c>
    </row>
    <row r="340" customFormat="false" ht="15" hidden="false" customHeight="true" outlineLevel="0" collapsed="false">
      <c r="A340" s="30" t="s">
        <v>123</v>
      </c>
      <c r="B340" s="76"/>
      <c r="C340" s="76"/>
      <c r="D340" s="76"/>
      <c r="E340" s="76"/>
      <c r="F340" s="76"/>
      <c r="G340" s="76"/>
      <c r="H340" s="76"/>
      <c r="I340" s="76"/>
      <c r="J340" s="76"/>
      <c r="K340" s="76"/>
      <c r="L340" s="74" t="n">
        <v>25</v>
      </c>
      <c r="M340" s="74" t="n">
        <v>21</v>
      </c>
      <c r="N340" s="74" t="n">
        <v>15</v>
      </c>
      <c r="O340" s="74" t="n">
        <v>18</v>
      </c>
      <c r="P340" s="74" t="n">
        <v>3</v>
      </c>
      <c r="Q340" s="74" t="n">
        <v>1</v>
      </c>
      <c r="R340" s="74" t="n">
        <v>2</v>
      </c>
      <c r="S340" s="74" t="n">
        <v>3</v>
      </c>
      <c r="T340" s="74" t="n">
        <v>2</v>
      </c>
      <c r="U340" s="74" t="n">
        <v>0</v>
      </c>
    </row>
    <row r="341" customFormat="false" ht="15" hidden="false" customHeight="true" outlineLevel="0" collapsed="false">
      <c r="A341" s="30" t="s">
        <v>124</v>
      </c>
      <c r="B341" s="76"/>
      <c r="C341" s="76"/>
      <c r="D341" s="76"/>
      <c r="E341" s="76"/>
      <c r="F341" s="76"/>
      <c r="G341" s="76"/>
      <c r="H341" s="76"/>
      <c r="I341" s="76"/>
      <c r="J341" s="76"/>
      <c r="K341" s="76"/>
      <c r="L341" s="76"/>
      <c r="M341" s="74" t="n">
        <v>16</v>
      </c>
      <c r="N341" s="74" t="n">
        <v>7</v>
      </c>
      <c r="O341" s="74" t="n">
        <v>7</v>
      </c>
      <c r="P341" s="74" t="n">
        <v>9</v>
      </c>
      <c r="Q341" s="74" t="n">
        <v>1</v>
      </c>
      <c r="R341" s="74" t="n">
        <v>1</v>
      </c>
      <c r="S341" s="74" t="n">
        <v>1</v>
      </c>
      <c r="T341" s="74" t="n">
        <v>0</v>
      </c>
      <c r="U341" s="74" t="n">
        <v>0</v>
      </c>
    </row>
    <row r="342" customFormat="false" ht="15" hidden="false" customHeight="true" outlineLevel="0" collapsed="false">
      <c r="A342" s="30" t="s">
        <v>126</v>
      </c>
      <c r="B342" s="76"/>
      <c r="C342" s="76"/>
      <c r="D342" s="76"/>
      <c r="E342" s="76"/>
      <c r="F342" s="76"/>
      <c r="G342" s="76"/>
      <c r="H342" s="76"/>
      <c r="I342" s="76"/>
      <c r="J342" s="76"/>
      <c r="K342" s="76"/>
      <c r="L342" s="76"/>
      <c r="M342" s="76"/>
      <c r="N342" s="76"/>
      <c r="O342" s="74" t="n">
        <v>12</v>
      </c>
      <c r="P342" s="74" t="n">
        <v>10</v>
      </c>
      <c r="Q342" s="74" t="n">
        <v>7</v>
      </c>
      <c r="R342" s="74" t="n">
        <v>9</v>
      </c>
      <c r="S342" s="74" t="n">
        <v>4</v>
      </c>
      <c r="T342" s="74" t="n">
        <v>4</v>
      </c>
      <c r="U342" s="74" t="n">
        <v>2</v>
      </c>
    </row>
    <row r="343" customFormat="false" ht="15" hidden="false" customHeight="true" outlineLevel="0" collapsed="false">
      <c r="A343" s="30" t="s">
        <v>127</v>
      </c>
      <c r="B343" s="76"/>
      <c r="C343" s="76"/>
      <c r="D343" s="76"/>
      <c r="E343" s="76"/>
      <c r="F343" s="76"/>
      <c r="G343" s="76"/>
      <c r="H343" s="76"/>
      <c r="I343" s="76"/>
      <c r="J343" s="76"/>
      <c r="K343" s="76"/>
      <c r="L343" s="76"/>
      <c r="M343" s="76"/>
      <c r="N343" s="76"/>
      <c r="O343" s="76"/>
      <c r="P343" s="74" t="n">
        <v>12</v>
      </c>
      <c r="Q343" s="74" t="n">
        <v>11</v>
      </c>
      <c r="R343" s="74" t="n">
        <v>11</v>
      </c>
      <c r="S343" s="74" t="n">
        <v>11</v>
      </c>
      <c r="T343" s="74" t="n">
        <v>1</v>
      </c>
      <c r="U343" s="74" t="n">
        <v>1</v>
      </c>
    </row>
    <row r="344" customFormat="false" ht="15" hidden="false" customHeight="true" outlineLevel="0" collapsed="false">
      <c r="A344" s="30" t="s">
        <v>129</v>
      </c>
      <c r="B344" s="76"/>
      <c r="C344" s="76"/>
      <c r="D344" s="76"/>
      <c r="E344" s="76"/>
      <c r="F344" s="76"/>
      <c r="G344" s="76"/>
      <c r="H344" s="76"/>
      <c r="I344" s="76"/>
      <c r="J344" s="76"/>
      <c r="K344" s="76"/>
      <c r="L344" s="76"/>
      <c r="M344" s="76"/>
      <c r="N344" s="76"/>
      <c r="O344" s="76"/>
      <c r="P344" s="76"/>
      <c r="Q344" s="76"/>
      <c r="R344" s="74" t="n">
        <v>27</v>
      </c>
      <c r="S344" s="74" t="n">
        <v>25</v>
      </c>
      <c r="T344" s="74" t="n">
        <v>22</v>
      </c>
      <c r="U344" s="74" t="n">
        <v>24</v>
      </c>
    </row>
    <row r="345" customFormat="false" ht="15" hidden="false" customHeight="true" outlineLevel="0" collapsed="false">
      <c r="A345" s="30" t="s">
        <v>130</v>
      </c>
      <c r="B345" s="76"/>
      <c r="C345" s="76"/>
      <c r="D345" s="76"/>
      <c r="E345" s="76"/>
      <c r="F345" s="76"/>
      <c r="G345" s="76"/>
      <c r="H345" s="76"/>
      <c r="I345" s="76"/>
      <c r="J345" s="76"/>
      <c r="K345" s="76"/>
      <c r="L345" s="76"/>
      <c r="M345" s="76"/>
      <c r="N345" s="76"/>
      <c r="O345" s="76"/>
      <c r="P345" s="76"/>
      <c r="Q345" s="76"/>
      <c r="R345" s="76"/>
      <c r="S345" s="74" t="n">
        <v>13</v>
      </c>
      <c r="T345" s="74" t="n">
        <v>12</v>
      </c>
      <c r="U345" s="74" t="n">
        <v>12</v>
      </c>
    </row>
    <row r="346" customFormat="false" ht="15" hidden="false" customHeight="true" outlineLevel="0" collapsed="false">
      <c r="A346" s="30" t="s">
        <v>132</v>
      </c>
      <c r="B346" s="76"/>
      <c r="C346" s="76"/>
      <c r="D346" s="76"/>
      <c r="E346" s="76"/>
      <c r="F346" s="76"/>
      <c r="G346" s="76"/>
      <c r="H346" s="76"/>
      <c r="I346" s="76"/>
      <c r="J346" s="76"/>
      <c r="K346" s="76"/>
      <c r="L346" s="76"/>
      <c r="M346" s="76"/>
      <c r="N346" s="76"/>
      <c r="O346" s="76"/>
      <c r="P346" s="76"/>
      <c r="Q346" s="76"/>
      <c r="R346" s="76"/>
      <c r="S346" s="76"/>
      <c r="T346" s="76"/>
      <c r="U346" s="74" t="n">
        <v>12</v>
      </c>
    </row>
    <row r="347" customFormat="false" ht="15" hidden="false" customHeight="true" outlineLevel="0" collapsed="false">
      <c r="A347" s="34" t="s">
        <v>514</v>
      </c>
      <c r="B347" s="79"/>
      <c r="C347" s="79"/>
      <c r="D347" s="79"/>
      <c r="E347" s="79"/>
      <c r="F347" s="79"/>
      <c r="G347" s="79"/>
      <c r="H347" s="79"/>
      <c r="I347" s="79" t="n">
        <v>17</v>
      </c>
      <c r="J347" s="79" t="n">
        <v>31</v>
      </c>
      <c r="K347" s="79" t="n">
        <v>27</v>
      </c>
      <c r="L347" s="79" t="n">
        <v>49</v>
      </c>
      <c r="M347" s="79" t="n">
        <v>54</v>
      </c>
      <c r="N347" s="79" t="n">
        <v>28</v>
      </c>
      <c r="O347" s="79" t="n">
        <v>41</v>
      </c>
      <c r="P347" s="79" t="n">
        <v>36</v>
      </c>
      <c r="Q347" s="79" t="n">
        <v>22</v>
      </c>
      <c r="R347" s="79" t="n">
        <v>51</v>
      </c>
      <c r="S347" s="79" t="n">
        <v>58</v>
      </c>
      <c r="T347" s="79" t="n">
        <v>41</v>
      </c>
      <c r="U347" s="79" t="n">
        <v>51</v>
      </c>
    </row>
    <row r="349" customFormat="false" ht="19.5" hidden="false" customHeight="true" outlineLevel="0" collapsed="false">
      <c r="A349" s="65" t="s">
        <v>426</v>
      </c>
      <c r="B349" s="65"/>
      <c r="C349" s="65"/>
      <c r="D349" s="65"/>
      <c r="E349" s="65"/>
      <c r="F349" s="65"/>
      <c r="G349" s="65"/>
      <c r="H349" s="65"/>
      <c r="I349" s="65"/>
      <c r="J349" s="65"/>
      <c r="K349" s="65"/>
      <c r="L349" s="65"/>
      <c r="M349" s="65"/>
      <c r="N349" s="65"/>
      <c r="O349" s="65"/>
      <c r="P349" s="65"/>
      <c r="Q349" s="65"/>
      <c r="R349" s="65"/>
      <c r="S349" s="65"/>
      <c r="T349" s="65"/>
      <c r="U349" s="65"/>
    </row>
    <row r="350" customFormat="false" ht="15" hidden="false" customHeight="true" outlineLevel="0" collapsed="false">
      <c r="A350" s="12" t="s">
        <v>513</v>
      </c>
      <c r="B350" s="12" t="s">
        <v>113</v>
      </c>
      <c r="C350" s="12" t="s">
        <v>114</v>
      </c>
      <c r="D350" s="12" t="s">
        <v>115</v>
      </c>
      <c r="E350" s="12" t="s">
        <v>116</v>
      </c>
      <c r="F350" s="12" t="s">
        <v>117</v>
      </c>
      <c r="G350" s="12" t="s">
        <v>118</v>
      </c>
      <c r="H350" s="12" t="s">
        <v>119</v>
      </c>
      <c r="I350" s="12" t="s">
        <v>120</v>
      </c>
      <c r="J350" s="12" t="s">
        <v>121</v>
      </c>
      <c r="K350" s="12" t="s">
        <v>122</v>
      </c>
      <c r="L350" s="12" t="s">
        <v>123</v>
      </c>
      <c r="M350" s="12" t="s">
        <v>124</v>
      </c>
      <c r="N350" s="12" t="s">
        <v>125</v>
      </c>
      <c r="O350" s="12" t="s">
        <v>126</v>
      </c>
      <c r="P350" s="12" t="s">
        <v>127</v>
      </c>
      <c r="Q350" s="12" t="s">
        <v>128</v>
      </c>
      <c r="R350" s="12" t="s">
        <v>129</v>
      </c>
      <c r="S350" s="12" t="s">
        <v>130</v>
      </c>
      <c r="T350" s="12" t="s">
        <v>131</v>
      </c>
      <c r="U350" s="12" t="s">
        <v>132</v>
      </c>
    </row>
    <row r="351" customFormat="false" ht="15" hidden="false" customHeight="true" outlineLevel="0" collapsed="false">
      <c r="A351" s="30" t="s">
        <v>114</v>
      </c>
      <c r="B351" s="76"/>
      <c r="C351" s="74" t="n">
        <v>28</v>
      </c>
      <c r="D351" s="74" t="n">
        <v>27</v>
      </c>
      <c r="E351" s="74" t="n">
        <v>26</v>
      </c>
      <c r="F351" s="74" t="n">
        <v>25</v>
      </c>
      <c r="G351" s="74" t="n">
        <v>24</v>
      </c>
      <c r="H351" s="74" t="n">
        <v>2</v>
      </c>
      <c r="I351" s="74" t="n">
        <v>4</v>
      </c>
      <c r="J351" s="74" t="n">
        <v>6</v>
      </c>
      <c r="K351" s="74" t="n">
        <v>1</v>
      </c>
      <c r="L351" s="74" t="n">
        <v>0</v>
      </c>
      <c r="M351" s="74" t="n">
        <v>1</v>
      </c>
      <c r="N351" s="74" t="n">
        <v>0</v>
      </c>
      <c r="O351" s="74" t="n">
        <v>0</v>
      </c>
      <c r="P351" s="74" t="n">
        <v>0</v>
      </c>
      <c r="Q351" s="74" t="n">
        <v>0</v>
      </c>
      <c r="R351" s="74" t="n">
        <v>0</v>
      </c>
      <c r="S351" s="74" t="n">
        <v>0</v>
      </c>
      <c r="T351" s="74" t="n">
        <v>0</v>
      </c>
      <c r="U351" s="74" t="n">
        <v>0</v>
      </c>
    </row>
    <row r="352" customFormat="false" ht="15" hidden="false" customHeight="true" outlineLevel="0" collapsed="false">
      <c r="A352" s="30" t="s">
        <v>115</v>
      </c>
      <c r="B352" s="76"/>
      <c r="C352" s="76"/>
      <c r="D352" s="74" t="n">
        <v>15</v>
      </c>
      <c r="E352" s="74" t="n">
        <v>11</v>
      </c>
      <c r="F352" s="74" t="n">
        <v>12</v>
      </c>
      <c r="G352" s="74" t="n">
        <v>9</v>
      </c>
      <c r="H352" s="74" t="n">
        <v>2</v>
      </c>
      <c r="I352" s="74" t="n">
        <v>10</v>
      </c>
      <c r="J352" s="74" t="n">
        <v>2</v>
      </c>
      <c r="K352" s="74" t="n">
        <v>1</v>
      </c>
      <c r="L352" s="74" t="n">
        <v>1</v>
      </c>
      <c r="M352" s="74" t="n">
        <v>2</v>
      </c>
      <c r="N352" s="74" t="n">
        <v>0</v>
      </c>
      <c r="O352" s="74" t="n">
        <v>2</v>
      </c>
      <c r="P352" s="74" t="n">
        <v>1</v>
      </c>
      <c r="Q352" s="74" t="n">
        <v>0</v>
      </c>
      <c r="R352" s="74" t="n">
        <v>1</v>
      </c>
      <c r="S352" s="74" t="n">
        <v>1</v>
      </c>
      <c r="T352" s="74" t="n">
        <v>0</v>
      </c>
      <c r="U352" s="74" t="n">
        <v>0</v>
      </c>
    </row>
    <row r="353" customFormat="false" ht="15" hidden="false" customHeight="true" outlineLevel="0" collapsed="false">
      <c r="A353" s="30" t="s">
        <v>117</v>
      </c>
      <c r="B353" s="76"/>
      <c r="C353" s="76"/>
      <c r="D353" s="76"/>
      <c r="E353" s="76"/>
      <c r="F353" s="74" t="n">
        <v>21</v>
      </c>
      <c r="G353" s="74" t="n">
        <v>19</v>
      </c>
      <c r="H353" s="74" t="n">
        <v>18</v>
      </c>
      <c r="I353" s="74" t="n">
        <v>18</v>
      </c>
      <c r="J353" s="74" t="n">
        <v>18</v>
      </c>
      <c r="K353" s="74" t="n">
        <v>1</v>
      </c>
      <c r="L353" s="74" t="n">
        <v>2</v>
      </c>
      <c r="M353" s="74" t="n">
        <v>3</v>
      </c>
      <c r="N353" s="74" t="n">
        <v>1</v>
      </c>
      <c r="O353" s="74" t="n">
        <v>1</v>
      </c>
      <c r="P353" s="74" t="n">
        <v>1</v>
      </c>
      <c r="Q353" s="74" t="n">
        <v>0</v>
      </c>
      <c r="R353" s="74" t="n">
        <v>0</v>
      </c>
      <c r="S353" s="74" t="n">
        <v>0</v>
      </c>
      <c r="T353" s="74" t="n">
        <v>0</v>
      </c>
      <c r="U353" s="74" t="n">
        <v>0</v>
      </c>
    </row>
    <row r="354" customFormat="false" ht="15" hidden="false" customHeight="true" outlineLevel="0" collapsed="false">
      <c r="A354" s="30" t="s">
        <v>118</v>
      </c>
      <c r="B354" s="76"/>
      <c r="C354" s="76"/>
      <c r="D354" s="76"/>
      <c r="E354" s="76"/>
      <c r="F354" s="76"/>
      <c r="G354" s="74" t="n">
        <v>15</v>
      </c>
      <c r="H354" s="74" t="n">
        <v>12</v>
      </c>
      <c r="I354" s="74" t="n">
        <v>13</v>
      </c>
      <c r="J354" s="74" t="n">
        <v>11</v>
      </c>
      <c r="K354" s="74" t="n">
        <v>3</v>
      </c>
      <c r="L354" s="74" t="n">
        <v>11</v>
      </c>
      <c r="M354" s="74" t="n">
        <v>3</v>
      </c>
      <c r="N354" s="74" t="n">
        <v>2</v>
      </c>
      <c r="O354" s="74" t="n">
        <v>3</v>
      </c>
      <c r="P354" s="74" t="n">
        <v>0</v>
      </c>
      <c r="Q354" s="74" t="n">
        <v>1</v>
      </c>
      <c r="R354" s="74" t="n">
        <v>0</v>
      </c>
      <c r="S354" s="74" t="n">
        <v>0</v>
      </c>
      <c r="T354" s="74" t="n">
        <v>0</v>
      </c>
      <c r="U354" s="74" t="n">
        <v>0</v>
      </c>
    </row>
    <row r="355" customFormat="false" ht="15" hidden="false" customHeight="true" outlineLevel="0" collapsed="false">
      <c r="A355" s="30" t="s">
        <v>120</v>
      </c>
      <c r="B355" s="76"/>
      <c r="C355" s="76"/>
      <c r="D355" s="76"/>
      <c r="E355" s="76"/>
      <c r="F355" s="76"/>
      <c r="G355" s="76"/>
      <c r="H355" s="76"/>
      <c r="I355" s="74" t="n">
        <v>17</v>
      </c>
      <c r="J355" s="74" t="n">
        <v>15</v>
      </c>
      <c r="K355" s="74" t="n">
        <v>13</v>
      </c>
      <c r="L355" s="74" t="n">
        <v>12</v>
      </c>
      <c r="M355" s="74" t="n">
        <v>12</v>
      </c>
      <c r="N355" s="74" t="n">
        <v>1</v>
      </c>
      <c r="O355" s="74" t="n">
        <v>3</v>
      </c>
      <c r="P355" s="74" t="n">
        <v>2</v>
      </c>
      <c r="Q355" s="74" t="n">
        <v>0</v>
      </c>
      <c r="R355" s="74" t="n">
        <v>1</v>
      </c>
      <c r="S355" s="74" t="n">
        <v>1</v>
      </c>
      <c r="T355" s="74" t="n">
        <v>0</v>
      </c>
      <c r="U355" s="74" t="n">
        <v>0</v>
      </c>
    </row>
    <row r="356" customFormat="false" ht="15" hidden="false" customHeight="true" outlineLevel="0" collapsed="false">
      <c r="A356" s="30" t="s">
        <v>121</v>
      </c>
      <c r="B356" s="76"/>
      <c r="C356" s="76"/>
      <c r="D356" s="76"/>
      <c r="E356" s="76"/>
      <c r="F356" s="76"/>
      <c r="G356" s="76"/>
      <c r="H356" s="76"/>
      <c r="I356" s="76"/>
      <c r="J356" s="74" t="n">
        <v>12</v>
      </c>
      <c r="K356" s="74" t="n">
        <v>9</v>
      </c>
      <c r="L356" s="74" t="n">
        <v>11</v>
      </c>
      <c r="M356" s="74" t="n">
        <v>10</v>
      </c>
      <c r="N356" s="74" t="n">
        <v>2</v>
      </c>
      <c r="O356" s="74" t="n">
        <v>9</v>
      </c>
      <c r="P356" s="74" t="n">
        <v>0</v>
      </c>
      <c r="Q356" s="74" t="n">
        <v>0</v>
      </c>
      <c r="R356" s="74" t="n">
        <v>0</v>
      </c>
      <c r="S356" s="74" t="n">
        <v>0</v>
      </c>
      <c r="T356" s="74" t="n">
        <v>0</v>
      </c>
      <c r="U356" s="74" t="n">
        <v>0</v>
      </c>
    </row>
    <row r="357" customFormat="false" ht="15" hidden="false" customHeight="true" outlineLevel="0" collapsed="false">
      <c r="A357" s="30" t="s">
        <v>122</v>
      </c>
      <c r="B357" s="76"/>
      <c r="C357" s="76"/>
      <c r="D357" s="76"/>
      <c r="E357" s="76"/>
      <c r="F357" s="76"/>
      <c r="G357" s="76"/>
      <c r="H357" s="76"/>
      <c r="I357" s="76"/>
      <c r="J357" s="76"/>
      <c r="K357" s="74" t="n">
        <v>1</v>
      </c>
      <c r="L357" s="74" t="n">
        <v>1</v>
      </c>
      <c r="M357" s="74" t="n">
        <v>1</v>
      </c>
      <c r="N357" s="74" t="n">
        <v>0</v>
      </c>
      <c r="O357" s="74" t="n">
        <v>0</v>
      </c>
      <c r="P357" s="74" t="n">
        <v>0</v>
      </c>
      <c r="Q357" s="74" t="n">
        <v>0</v>
      </c>
      <c r="R357" s="74" t="n">
        <v>0</v>
      </c>
      <c r="S357" s="74" t="n">
        <v>0</v>
      </c>
      <c r="T357" s="74" t="n">
        <v>0</v>
      </c>
      <c r="U357" s="74" t="n">
        <v>0</v>
      </c>
    </row>
    <row r="358" customFormat="false" ht="15" hidden="false" customHeight="true" outlineLevel="0" collapsed="false">
      <c r="A358" s="30" t="s">
        <v>123</v>
      </c>
      <c r="B358" s="76"/>
      <c r="C358" s="76"/>
      <c r="D358" s="76"/>
      <c r="E358" s="76"/>
      <c r="F358" s="76"/>
      <c r="G358" s="76"/>
      <c r="H358" s="76"/>
      <c r="I358" s="76"/>
      <c r="J358" s="76"/>
      <c r="K358" s="76"/>
      <c r="L358" s="74" t="n">
        <v>26</v>
      </c>
      <c r="M358" s="74" t="n">
        <v>19</v>
      </c>
      <c r="N358" s="74" t="n">
        <v>19</v>
      </c>
      <c r="O358" s="74" t="n">
        <v>19</v>
      </c>
      <c r="P358" s="74" t="n">
        <v>16</v>
      </c>
      <c r="Q358" s="74" t="n">
        <v>3</v>
      </c>
      <c r="R358" s="74" t="n">
        <v>3</v>
      </c>
      <c r="S358" s="74" t="n">
        <v>3</v>
      </c>
      <c r="T358" s="74" t="n">
        <v>0</v>
      </c>
      <c r="U358" s="74" t="n">
        <v>1</v>
      </c>
    </row>
    <row r="359" customFormat="false" ht="15" hidden="false" customHeight="true" outlineLevel="0" collapsed="false">
      <c r="A359" s="30" t="s">
        <v>124</v>
      </c>
      <c r="B359" s="76"/>
      <c r="C359" s="76"/>
      <c r="D359" s="76"/>
      <c r="E359" s="76"/>
      <c r="F359" s="76"/>
      <c r="G359" s="76"/>
      <c r="H359" s="76"/>
      <c r="I359" s="76"/>
      <c r="J359" s="76"/>
      <c r="K359" s="76"/>
      <c r="L359" s="76"/>
      <c r="M359" s="74" t="n">
        <v>10</v>
      </c>
      <c r="N359" s="74" t="n">
        <v>8</v>
      </c>
      <c r="O359" s="74" t="n">
        <v>8</v>
      </c>
      <c r="P359" s="74" t="n">
        <v>7</v>
      </c>
      <c r="Q359" s="74" t="n">
        <v>3</v>
      </c>
      <c r="R359" s="74" t="n">
        <v>6</v>
      </c>
      <c r="S359" s="74" t="n">
        <v>1</v>
      </c>
      <c r="T359" s="74" t="n">
        <v>0</v>
      </c>
      <c r="U359" s="74" t="n">
        <v>2</v>
      </c>
    </row>
    <row r="360" customFormat="false" ht="15" hidden="false" customHeight="true" outlineLevel="0" collapsed="false">
      <c r="A360" s="30" t="s">
        <v>126</v>
      </c>
      <c r="B360" s="76"/>
      <c r="C360" s="76"/>
      <c r="D360" s="76"/>
      <c r="E360" s="76"/>
      <c r="F360" s="76"/>
      <c r="G360" s="76"/>
      <c r="H360" s="76"/>
      <c r="I360" s="76"/>
      <c r="J360" s="76"/>
      <c r="K360" s="76"/>
      <c r="L360" s="76"/>
      <c r="M360" s="76"/>
      <c r="N360" s="76"/>
      <c r="O360" s="74" t="n">
        <v>24</v>
      </c>
      <c r="P360" s="74" t="n">
        <v>20</v>
      </c>
      <c r="Q360" s="74" t="n">
        <v>15</v>
      </c>
      <c r="R360" s="74" t="n">
        <v>18</v>
      </c>
      <c r="S360" s="74" t="n">
        <v>18</v>
      </c>
      <c r="T360" s="74" t="n">
        <v>4</v>
      </c>
      <c r="U360" s="74" t="n">
        <v>4</v>
      </c>
    </row>
    <row r="361" customFormat="false" ht="15" hidden="false" customHeight="true" outlineLevel="0" collapsed="false">
      <c r="A361" s="30" t="s">
        <v>127</v>
      </c>
      <c r="B361" s="76"/>
      <c r="C361" s="76"/>
      <c r="D361" s="76"/>
      <c r="E361" s="76"/>
      <c r="F361" s="76"/>
      <c r="G361" s="76"/>
      <c r="H361" s="76"/>
      <c r="I361" s="76"/>
      <c r="J361" s="76"/>
      <c r="K361" s="76"/>
      <c r="L361" s="76"/>
      <c r="M361" s="76"/>
      <c r="N361" s="76"/>
      <c r="O361" s="76"/>
      <c r="P361" s="74" t="n">
        <v>12</v>
      </c>
      <c r="Q361" s="74" t="n">
        <v>10</v>
      </c>
      <c r="R361" s="74" t="n">
        <v>12</v>
      </c>
      <c r="S361" s="74" t="n">
        <v>11</v>
      </c>
      <c r="T361" s="74" t="n">
        <v>2</v>
      </c>
      <c r="U361" s="74" t="n">
        <v>9</v>
      </c>
    </row>
    <row r="362" customFormat="false" ht="15" hidden="false" customHeight="true" outlineLevel="0" collapsed="false">
      <c r="A362" s="30" t="s">
        <v>129</v>
      </c>
      <c r="B362" s="76"/>
      <c r="C362" s="76"/>
      <c r="D362" s="76"/>
      <c r="E362" s="76"/>
      <c r="F362" s="76"/>
      <c r="G362" s="76"/>
      <c r="H362" s="76"/>
      <c r="I362" s="76"/>
      <c r="J362" s="76"/>
      <c r="K362" s="76"/>
      <c r="L362" s="76"/>
      <c r="M362" s="76"/>
      <c r="N362" s="76"/>
      <c r="O362" s="76"/>
      <c r="P362" s="76"/>
      <c r="Q362" s="76"/>
      <c r="R362" s="74" t="n">
        <v>27</v>
      </c>
      <c r="S362" s="74" t="n">
        <v>26</v>
      </c>
      <c r="T362" s="74" t="n">
        <v>22</v>
      </c>
      <c r="U362" s="74" t="n">
        <v>19</v>
      </c>
    </row>
    <row r="363" customFormat="false" ht="15" hidden="false" customHeight="true" outlineLevel="0" collapsed="false">
      <c r="A363" s="30" t="s">
        <v>130</v>
      </c>
      <c r="B363" s="76"/>
      <c r="C363" s="76"/>
      <c r="D363" s="76"/>
      <c r="E363" s="76"/>
      <c r="F363" s="76"/>
      <c r="G363" s="76"/>
      <c r="H363" s="76"/>
      <c r="I363" s="76"/>
      <c r="J363" s="76"/>
      <c r="K363" s="76"/>
      <c r="L363" s="76"/>
      <c r="M363" s="76"/>
      <c r="N363" s="76"/>
      <c r="O363" s="76"/>
      <c r="P363" s="76"/>
      <c r="Q363" s="76"/>
      <c r="R363" s="76"/>
      <c r="S363" s="74" t="n">
        <v>14</v>
      </c>
      <c r="T363" s="74" t="n">
        <v>12</v>
      </c>
      <c r="U363" s="74" t="n">
        <v>13</v>
      </c>
    </row>
    <row r="364" customFormat="false" ht="15" hidden="false" customHeight="true" outlineLevel="0" collapsed="false">
      <c r="A364" s="30" t="s">
        <v>132</v>
      </c>
      <c r="B364" s="76"/>
      <c r="C364" s="76"/>
      <c r="D364" s="76"/>
      <c r="E364" s="76"/>
      <c r="F364" s="76"/>
      <c r="G364" s="76"/>
      <c r="H364" s="76"/>
      <c r="I364" s="76"/>
      <c r="J364" s="76"/>
      <c r="K364" s="76"/>
      <c r="L364" s="76"/>
      <c r="M364" s="76"/>
      <c r="N364" s="76"/>
      <c r="O364" s="76"/>
      <c r="P364" s="76"/>
      <c r="Q364" s="76"/>
      <c r="R364" s="76"/>
      <c r="S364" s="76"/>
      <c r="T364" s="76"/>
      <c r="U364" s="74" t="n">
        <v>19</v>
      </c>
    </row>
    <row r="365" customFormat="false" ht="15" hidden="false" customHeight="true" outlineLevel="0" collapsed="false">
      <c r="A365" s="34" t="s">
        <v>514</v>
      </c>
      <c r="B365" s="79"/>
      <c r="C365" s="79" t="n">
        <v>28</v>
      </c>
      <c r="D365" s="79" t="n">
        <v>42</v>
      </c>
      <c r="E365" s="79" t="n">
        <v>37</v>
      </c>
      <c r="F365" s="79" t="n">
        <v>58</v>
      </c>
      <c r="G365" s="79" t="n">
        <v>67</v>
      </c>
      <c r="H365" s="79" t="n">
        <v>34</v>
      </c>
      <c r="I365" s="79" t="n">
        <v>62</v>
      </c>
      <c r="J365" s="79" t="n">
        <v>64</v>
      </c>
      <c r="K365" s="79" t="n">
        <v>29</v>
      </c>
      <c r="L365" s="79" t="n">
        <v>64</v>
      </c>
      <c r="M365" s="79" t="n">
        <v>61</v>
      </c>
      <c r="N365" s="79" t="n">
        <v>33</v>
      </c>
      <c r="O365" s="79" t="n">
        <v>69</v>
      </c>
      <c r="P365" s="79" t="n">
        <v>59</v>
      </c>
      <c r="Q365" s="79" t="n">
        <v>32</v>
      </c>
      <c r="R365" s="79" t="n">
        <v>68</v>
      </c>
      <c r="S365" s="79" t="n">
        <v>75</v>
      </c>
      <c r="T365" s="79" t="n">
        <v>40</v>
      </c>
      <c r="U365" s="79" t="n">
        <v>67</v>
      </c>
    </row>
    <row r="367" customFormat="false" ht="19.5" hidden="false" customHeight="true" outlineLevel="0" collapsed="false">
      <c r="A367" s="65" t="s">
        <v>427</v>
      </c>
      <c r="B367" s="65"/>
      <c r="C367" s="65"/>
      <c r="D367" s="65"/>
      <c r="E367" s="65"/>
      <c r="F367" s="65"/>
      <c r="G367" s="65"/>
      <c r="H367" s="65"/>
      <c r="I367" s="65"/>
      <c r="J367" s="65"/>
      <c r="K367" s="65"/>
      <c r="L367" s="65"/>
      <c r="M367" s="65"/>
      <c r="N367" s="65"/>
      <c r="O367" s="65"/>
      <c r="P367" s="65"/>
      <c r="Q367" s="65"/>
      <c r="R367" s="65"/>
      <c r="S367" s="65"/>
      <c r="T367" s="65"/>
      <c r="U367" s="65"/>
    </row>
    <row r="368" customFormat="false" ht="15" hidden="false" customHeight="true" outlineLevel="0" collapsed="false">
      <c r="A368" s="12" t="s">
        <v>513</v>
      </c>
      <c r="B368" s="12" t="s">
        <v>113</v>
      </c>
      <c r="C368" s="12" t="s">
        <v>114</v>
      </c>
      <c r="D368" s="12" t="s">
        <v>115</v>
      </c>
      <c r="E368" s="12" t="s">
        <v>116</v>
      </c>
      <c r="F368" s="12" t="s">
        <v>117</v>
      </c>
      <c r="G368" s="12" t="s">
        <v>118</v>
      </c>
      <c r="H368" s="12" t="s">
        <v>119</v>
      </c>
      <c r="I368" s="12" t="s">
        <v>120</v>
      </c>
      <c r="J368" s="12" t="s">
        <v>121</v>
      </c>
      <c r="K368" s="12" t="s">
        <v>122</v>
      </c>
      <c r="L368" s="12" t="s">
        <v>123</v>
      </c>
      <c r="M368" s="12" t="s">
        <v>124</v>
      </c>
      <c r="N368" s="12" t="s">
        <v>125</v>
      </c>
      <c r="O368" s="12" t="s">
        <v>126</v>
      </c>
      <c r="P368" s="12" t="s">
        <v>127</v>
      </c>
      <c r="Q368" s="12" t="s">
        <v>128</v>
      </c>
      <c r="R368" s="12" t="s">
        <v>129</v>
      </c>
      <c r="S368" s="12" t="s">
        <v>130</v>
      </c>
      <c r="T368" s="12" t="s">
        <v>131</v>
      </c>
      <c r="U368" s="12" t="s">
        <v>132</v>
      </c>
    </row>
    <row r="369" customFormat="false" ht="15" hidden="false" customHeight="true" outlineLevel="0" collapsed="false">
      <c r="A369" s="30" t="s">
        <v>113</v>
      </c>
      <c r="B369" s="74" t="n">
        <v>4</v>
      </c>
      <c r="C369" s="74" t="n">
        <v>4</v>
      </c>
      <c r="D369" s="74" t="n">
        <v>4</v>
      </c>
      <c r="E369" s="74" t="n">
        <v>3</v>
      </c>
      <c r="F369" s="74" t="n">
        <v>4</v>
      </c>
      <c r="G369" s="74" t="n">
        <v>2</v>
      </c>
      <c r="H369" s="74" t="n">
        <v>0</v>
      </c>
      <c r="I369" s="74" t="n">
        <v>1</v>
      </c>
      <c r="J369" s="74" t="n">
        <v>1</v>
      </c>
      <c r="K369" s="74" t="n">
        <v>0</v>
      </c>
      <c r="L369" s="74" t="n">
        <v>1</v>
      </c>
      <c r="M369" s="74" t="n">
        <v>0</v>
      </c>
      <c r="N369" s="74" t="n">
        <v>0</v>
      </c>
      <c r="O369" s="74" t="n">
        <v>0</v>
      </c>
      <c r="P369" s="74" t="n">
        <v>0</v>
      </c>
      <c r="Q369" s="74" t="n">
        <v>0</v>
      </c>
      <c r="R369" s="74" t="n">
        <v>0</v>
      </c>
      <c r="S369" s="74" t="n">
        <v>0</v>
      </c>
      <c r="T369" s="74" t="n">
        <v>0</v>
      </c>
      <c r="U369" s="74" t="n">
        <v>0</v>
      </c>
    </row>
    <row r="370" customFormat="false" ht="15" hidden="false" customHeight="true" outlineLevel="0" collapsed="false">
      <c r="A370" s="30" t="s">
        <v>114</v>
      </c>
      <c r="B370" s="76"/>
      <c r="C370" s="74" t="n">
        <v>7</v>
      </c>
      <c r="D370" s="74" t="n">
        <v>5</v>
      </c>
      <c r="E370" s="74" t="n">
        <v>2</v>
      </c>
      <c r="F370" s="74" t="n">
        <v>3</v>
      </c>
      <c r="G370" s="74" t="n">
        <v>3</v>
      </c>
      <c r="H370" s="74" t="n">
        <v>3</v>
      </c>
      <c r="I370" s="74" t="n">
        <v>3</v>
      </c>
      <c r="J370" s="74" t="n">
        <v>1</v>
      </c>
      <c r="K370" s="74" t="n">
        <v>0</v>
      </c>
      <c r="L370" s="74" t="n">
        <v>0</v>
      </c>
      <c r="M370" s="74" t="n">
        <v>0</v>
      </c>
      <c r="N370" s="74" t="n">
        <v>0</v>
      </c>
      <c r="O370" s="74" t="n">
        <v>0</v>
      </c>
      <c r="P370" s="74" t="n">
        <v>0</v>
      </c>
      <c r="Q370" s="74" t="n">
        <v>0</v>
      </c>
      <c r="R370" s="74" t="n">
        <v>0</v>
      </c>
      <c r="S370" s="74" t="n">
        <v>0</v>
      </c>
      <c r="T370" s="74" t="n">
        <v>0</v>
      </c>
      <c r="U370" s="74" t="n">
        <v>0</v>
      </c>
    </row>
    <row r="371" customFormat="false" ht="15" hidden="false" customHeight="true" outlineLevel="0" collapsed="false">
      <c r="A371" s="30" t="s">
        <v>115</v>
      </c>
      <c r="B371" s="76"/>
      <c r="C371" s="76"/>
      <c r="D371" s="74" t="n">
        <v>8</v>
      </c>
      <c r="E371" s="74" t="n">
        <v>6</v>
      </c>
      <c r="F371" s="74" t="n">
        <v>6</v>
      </c>
      <c r="G371" s="74" t="n">
        <v>7</v>
      </c>
      <c r="H371" s="74" t="n">
        <v>5</v>
      </c>
      <c r="I371" s="74" t="n">
        <v>5</v>
      </c>
      <c r="J371" s="74" t="n">
        <v>5</v>
      </c>
      <c r="K371" s="74" t="n">
        <v>4</v>
      </c>
      <c r="L371" s="74" t="n">
        <v>2</v>
      </c>
      <c r="M371" s="74" t="n">
        <v>2</v>
      </c>
      <c r="N371" s="74" t="n">
        <v>1</v>
      </c>
      <c r="O371" s="74" t="n">
        <v>1</v>
      </c>
      <c r="P371" s="74" t="n">
        <v>1</v>
      </c>
      <c r="Q371" s="74" t="n">
        <v>0</v>
      </c>
      <c r="R371" s="74" t="n">
        <v>0</v>
      </c>
      <c r="S371" s="74" t="n">
        <v>0</v>
      </c>
      <c r="T371" s="74" t="n">
        <v>0</v>
      </c>
      <c r="U371" s="74" t="n">
        <v>0</v>
      </c>
    </row>
    <row r="372" customFormat="false" ht="15" hidden="false" customHeight="true" outlineLevel="0" collapsed="false">
      <c r="A372" s="30" t="s">
        <v>116</v>
      </c>
      <c r="B372" s="76"/>
      <c r="C372" s="76"/>
      <c r="D372" s="76"/>
      <c r="E372" s="74" t="n">
        <v>6</v>
      </c>
      <c r="F372" s="74" t="n">
        <v>6</v>
      </c>
      <c r="G372" s="74" t="n">
        <v>5</v>
      </c>
      <c r="H372" s="74" t="n">
        <v>3</v>
      </c>
      <c r="I372" s="74" t="n">
        <v>5</v>
      </c>
      <c r="J372" s="74" t="n">
        <v>4</v>
      </c>
      <c r="K372" s="74" t="n">
        <v>1</v>
      </c>
      <c r="L372" s="74" t="n">
        <v>2</v>
      </c>
      <c r="M372" s="74" t="n">
        <v>2</v>
      </c>
      <c r="N372" s="74" t="n">
        <v>0</v>
      </c>
      <c r="O372" s="74" t="n">
        <v>3</v>
      </c>
      <c r="P372" s="74" t="n">
        <v>2</v>
      </c>
      <c r="Q372" s="74" t="n">
        <v>0</v>
      </c>
      <c r="R372" s="74" t="n">
        <v>0</v>
      </c>
      <c r="S372" s="74" t="n">
        <v>0</v>
      </c>
      <c r="T372" s="74" t="n">
        <v>0</v>
      </c>
      <c r="U372" s="74" t="n">
        <v>0</v>
      </c>
    </row>
    <row r="373" customFormat="false" ht="15" hidden="false" customHeight="true" outlineLevel="0" collapsed="false">
      <c r="A373" s="30" t="s">
        <v>117</v>
      </c>
      <c r="B373" s="76"/>
      <c r="C373" s="76"/>
      <c r="D373" s="76"/>
      <c r="E373" s="76"/>
      <c r="F373" s="74" t="n">
        <v>18</v>
      </c>
      <c r="G373" s="74" t="n">
        <v>14</v>
      </c>
      <c r="H373" s="74" t="n">
        <v>8</v>
      </c>
      <c r="I373" s="74" t="n">
        <v>10</v>
      </c>
      <c r="J373" s="74" t="n">
        <v>9</v>
      </c>
      <c r="K373" s="74" t="n">
        <v>5</v>
      </c>
      <c r="L373" s="74" t="n">
        <v>8</v>
      </c>
      <c r="M373" s="74" t="n">
        <v>4</v>
      </c>
      <c r="N373" s="74" t="n">
        <v>1</v>
      </c>
      <c r="O373" s="74" t="n">
        <v>4</v>
      </c>
      <c r="P373" s="74" t="n">
        <v>2</v>
      </c>
      <c r="Q373" s="74" t="n">
        <v>0</v>
      </c>
      <c r="R373" s="74" t="n">
        <v>0</v>
      </c>
      <c r="S373" s="74" t="n">
        <v>0</v>
      </c>
      <c r="T373" s="74" t="n">
        <v>0</v>
      </c>
      <c r="U373" s="74" t="n">
        <v>0</v>
      </c>
    </row>
    <row r="374" customFormat="false" ht="15" hidden="false" customHeight="true" outlineLevel="0" collapsed="false">
      <c r="A374" s="30" t="s">
        <v>118</v>
      </c>
      <c r="B374" s="76"/>
      <c r="C374" s="76"/>
      <c r="D374" s="76"/>
      <c r="E374" s="76"/>
      <c r="F374" s="76"/>
      <c r="G374" s="74" t="n">
        <v>26</v>
      </c>
      <c r="H374" s="74" t="n">
        <v>14</v>
      </c>
      <c r="I374" s="74" t="n">
        <v>12</v>
      </c>
      <c r="J374" s="74" t="n">
        <v>14</v>
      </c>
      <c r="K374" s="74" t="n">
        <v>11</v>
      </c>
      <c r="L374" s="74" t="n">
        <v>12</v>
      </c>
      <c r="M374" s="74" t="n">
        <v>7</v>
      </c>
      <c r="N374" s="74" t="n">
        <v>3</v>
      </c>
      <c r="O374" s="74" t="n">
        <v>2</v>
      </c>
      <c r="P374" s="74" t="n">
        <v>0</v>
      </c>
      <c r="Q374" s="74" t="n">
        <v>0</v>
      </c>
      <c r="R374" s="74" t="n">
        <v>0</v>
      </c>
      <c r="S374" s="74" t="n">
        <v>0</v>
      </c>
      <c r="T374" s="74" t="n">
        <v>0</v>
      </c>
      <c r="U374" s="74" t="n">
        <v>0</v>
      </c>
    </row>
    <row r="375" customFormat="false" ht="15" hidden="false" customHeight="true" outlineLevel="0" collapsed="false">
      <c r="A375" s="30" t="s">
        <v>119</v>
      </c>
      <c r="B375" s="76"/>
      <c r="C375" s="76"/>
      <c r="D375" s="76"/>
      <c r="E375" s="76"/>
      <c r="F375" s="76"/>
      <c r="G375" s="76"/>
      <c r="H375" s="74" t="n">
        <v>21</v>
      </c>
      <c r="I375" s="74" t="n">
        <v>16</v>
      </c>
      <c r="J375" s="74" t="n">
        <v>13</v>
      </c>
      <c r="K375" s="74" t="n">
        <v>6</v>
      </c>
      <c r="L375" s="74" t="n">
        <v>9</v>
      </c>
      <c r="M375" s="74" t="n">
        <v>9</v>
      </c>
      <c r="N375" s="74" t="n">
        <v>1</v>
      </c>
      <c r="O375" s="74" t="n">
        <v>1</v>
      </c>
      <c r="P375" s="74" t="n">
        <v>1</v>
      </c>
      <c r="Q375" s="74" t="n">
        <v>1</v>
      </c>
      <c r="R375" s="74" t="n">
        <v>1</v>
      </c>
      <c r="S375" s="74" t="n">
        <v>0</v>
      </c>
      <c r="T375" s="74" t="n">
        <v>0</v>
      </c>
      <c r="U375" s="74" t="n">
        <v>0</v>
      </c>
    </row>
    <row r="376" customFormat="false" ht="15" hidden="false" customHeight="true" outlineLevel="0" collapsed="false">
      <c r="A376" s="30" t="s">
        <v>120</v>
      </c>
      <c r="B376" s="76"/>
      <c r="C376" s="76"/>
      <c r="D376" s="76"/>
      <c r="E376" s="76"/>
      <c r="F376" s="76"/>
      <c r="G376" s="76"/>
      <c r="H376" s="76"/>
      <c r="I376" s="74" t="n">
        <v>32</v>
      </c>
      <c r="J376" s="74" t="n">
        <v>22</v>
      </c>
      <c r="K376" s="74" t="n">
        <v>13</v>
      </c>
      <c r="L376" s="74" t="n">
        <v>17</v>
      </c>
      <c r="M376" s="74" t="n">
        <v>16</v>
      </c>
      <c r="N376" s="74" t="n">
        <v>9</v>
      </c>
      <c r="O376" s="74" t="n">
        <v>5</v>
      </c>
      <c r="P376" s="74" t="n">
        <v>1</v>
      </c>
      <c r="Q376" s="74" t="n">
        <v>0</v>
      </c>
      <c r="R376" s="74" t="n">
        <v>0</v>
      </c>
      <c r="S376" s="74" t="n">
        <v>0</v>
      </c>
      <c r="T376" s="74" t="n">
        <v>0</v>
      </c>
      <c r="U376" s="74" t="n">
        <v>0</v>
      </c>
    </row>
    <row r="377" customFormat="false" ht="15" hidden="false" customHeight="true" outlineLevel="0" collapsed="false">
      <c r="A377" s="30" t="s">
        <v>121</v>
      </c>
      <c r="B377" s="76"/>
      <c r="C377" s="76"/>
      <c r="D377" s="76"/>
      <c r="E377" s="76"/>
      <c r="F377" s="76"/>
      <c r="G377" s="76"/>
      <c r="H377" s="76"/>
      <c r="I377" s="76"/>
      <c r="J377" s="74" t="n">
        <v>24</v>
      </c>
      <c r="K377" s="74" t="n">
        <v>11</v>
      </c>
      <c r="L377" s="74" t="n">
        <v>13</v>
      </c>
      <c r="M377" s="74" t="n">
        <v>11</v>
      </c>
      <c r="N377" s="74" t="n">
        <v>6</v>
      </c>
      <c r="O377" s="74" t="n">
        <v>9</v>
      </c>
      <c r="P377" s="74" t="n">
        <v>5</v>
      </c>
      <c r="Q377" s="74" t="n">
        <v>1</v>
      </c>
      <c r="R377" s="74" t="n">
        <v>1</v>
      </c>
      <c r="S377" s="74" t="n">
        <v>1</v>
      </c>
      <c r="T377" s="74" t="n">
        <v>1</v>
      </c>
      <c r="U377" s="74" t="n">
        <v>1</v>
      </c>
    </row>
    <row r="378" customFormat="false" ht="15" hidden="false" customHeight="true" outlineLevel="0" collapsed="false">
      <c r="A378" s="30" t="s">
        <v>122</v>
      </c>
      <c r="B378" s="76"/>
      <c r="C378" s="76"/>
      <c r="D378" s="76"/>
      <c r="E378" s="76"/>
      <c r="F378" s="76"/>
      <c r="G378" s="76"/>
      <c r="H378" s="76"/>
      <c r="I378" s="76"/>
      <c r="J378" s="76"/>
      <c r="K378" s="74" t="n">
        <v>16</v>
      </c>
      <c r="L378" s="74" t="n">
        <v>13</v>
      </c>
      <c r="M378" s="74" t="n">
        <v>12</v>
      </c>
      <c r="N378" s="74" t="n">
        <v>9</v>
      </c>
      <c r="O378" s="74" t="n">
        <v>10</v>
      </c>
      <c r="P378" s="74" t="n">
        <v>5</v>
      </c>
      <c r="Q378" s="74" t="n">
        <v>2</v>
      </c>
      <c r="R378" s="74" t="n">
        <v>1</v>
      </c>
      <c r="S378" s="74" t="n">
        <v>0</v>
      </c>
      <c r="T378" s="74" t="n">
        <v>0</v>
      </c>
      <c r="U378" s="74" t="n">
        <v>0</v>
      </c>
    </row>
    <row r="379" customFormat="false" ht="15" hidden="false" customHeight="true" outlineLevel="0" collapsed="false">
      <c r="A379" s="30" t="s">
        <v>123</v>
      </c>
      <c r="B379" s="76"/>
      <c r="C379" s="76"/>
      <c r="D379" s="76"/>
      <c r="E379" s="76"/>
      <c r="F379" s="76"/>
      <c r="G379" s="76"/>
      <c r="H379" s="76"/>
      <c r="I379" s="76"/>
      <c r="J379" s="76"/>
      <c r="K379" s="76"/>
      <c r="L379" s="74" t="n">
        <v>33</v>
      </c>
      <c r="M379" s="74" t="n">
        <v>24</v>
      </c>
      <c r="N379" s="74" t="n">
        <v>16</v>
      </c>
      <c r="O379" s="74" t="n">
        <v>17</v>
      </c>
      <c r="P379" s="74" t="n">
        <v>17</v>
      </c>
      <c r="Q379" s="74" t="n">
        <v>3</v>
      </c>
      <c r="R379" s="74" t="n">
        <v>6</v>
      </c>
      <c r="S379" s="74" t="n">
        <v>2</v>
      </c>
      <c r="T379" s="74" t="n">
        <v>0</v>
      </c>
      <c r="U379" s="74" t="n">
        <v>0</v>
      </c>
    </row>
    <row r="380" customFormat="false" ht="15" hidden="false" customHeight="true" outlineLevel="0" collapsed="false">
      <c r="A380" s="30" t="s">
        <v>124</v>
      </c>
      <c r="B380" s="76"/>
      <c r="C380" s="76"/>
      <c r="D380" s="76"/>
      <c r="E380" s="76"/>
      <c r="F380" s="76"/>
      <c r="G380" s="76"/>
      <c r="H380" s="76"/>
      <c r="I380" s="76"/>
      <c r="J380" s="76"/>
      <c r="K380" s="76"/>
      <c r="L380" s="76"/>
      <c r="M380" s="74" t="n">
        <v>23</v>
      </c>
      <c r="N380" s="74" t="n">
        <v>18</v>
      </c>
      <c r="O380" s="74" t="n">
        <v>17</v>
      </c>
      <c r="P380" s="74" t="n">
        <v>16</v>
      </c>
      <c r="Q380" s="74" t="n">
        <v>9</v>
      </c>
      <c r="R380" s="74" t="n">
        <v>3</v>
      </c>
      <c r="S380" s="74" t="n">
        <v>2</v>
      </c>
      <c r="T380" s="74" t="n">
        <v>1</v>
      </c>
      <c r="U380" s="74" t="n">
        <v>1</v>
      </c>
    </row>
    <row r="381" customFormat="false" ht="15" hidden="false" customHeight="true" outlineLevel="0" collapsed="false">
      <c r="A381" s="30" t="s">
        <v>125</v>
      </c>
      <c r="B381" s="76"/>
      <c r="C381" s="76"/>
      <c r="D381" s="76"/>
      <c r="E381" s="76"/>
      <c r="F381" s="76"/>
      <c r="G381" s="76"/>
      <c r="H381" s="76"/>
      <c r="I381" s="76"/>
      <c r="J381" s="76"/>
      <c r="K381" s="76"/>
      <c r="L381" s="76"/>
      <c r="M381" s="76"/>
      <c r="N381" s="74" t="n">
        <v>14</v>
      </c>
      <c r="O381" s="74" t="n">
        <v>12</v>
      </c>
      <c r="P381" s="74" t="n">
        <v>11</v>
      </c>
      <c r="Q381" s="74" t="n">
        <v>9</v>
      </c>
      <c r="R381" s="74" t="n">
        <v>9</v>
      </c>
      <c r="S381" s="74" t="n">
        <v>4</v>
      </c>
      <c r="T381" s="74" t="n">
        <v>1</v>
      </c>
      <c r="U381" s="74" t="n">
        <v>2</v>
      </c>
    </row>
    <row r="382" customFormat="false" ht="15" hidden="false" customHeight="true" outlineLevel="0" collapsed="false">
      <c r="A382" s="30" t="s">
        <v>126</v>
      </c>
      <c r="B382" s="76"/>
      <c r="C382" s="76"/>
      <c r="D382" s="76"/>
      <c r="E382" s="76"/>
      <c r="F382" s="76"/>
      <c r="G382" s="76"/>
      <c r="H382" s="76"/>
      <c r="I382" s="76"/>
      <c r="J382" s="76"/>
      <c r="K382" s="76"/>
      <c r="L382" s="76"/>
      <c r="M382" s="76"/>
      <c r="N382" s="76"/>
      <c r="O382" s="74" t="n">
        <v>27</v>
      </c>
      <c r="P382" s="74" t="n">
        <v>25</v>
      </c>
      <c r="Q382" s="74" t="n">
        <v>16</v>
      </c>
      <c r="R382" s="74" t="n">
        <v>22</v>
      </c>
      <c r="S382" s="74" t="n">
        <v>19</v>
      </c>
      <c r="T382" s="74" t="n">
        <v>4</v>
      </c>
      <c r="U382" s="74" t="n">
        <v>1</v>
      </c>
    </row>
    <row r="383" customFormat="false" ht="15" hidden="false" customHeight="true" outlineLevel="0" collapsed="false">
      <c r="A383" s="30" t="s">
        <v>127</v>
      </c>
      <c r="B383" s="76"/>
      <c r="C383" s="76"/>
      <c r="D383" s="76"/>
      <c r="E383" s="76"/>
      <c r="F383" s="76"/>
      <c r="G383" s="76"/>
      <c r="H383" s="76"/>
      <c r="I383" s="76"/>
      <c r="J383" s="76"/>
      <c r="K383" s="76"/>
      <c r="L383" s="76"/>
      <c r="M383" s="76"/>
      <c r="N383" s="76"/>
      <c r="O383" s="76"/>
      <c r="P383" s="74" t="n">
        <v>19</v>
      </c>
      <c r="Q383" s="74" t="n">
        <v>12</v>
      </c>
      <c r="R383" s="74" t="n">
        <v>11</v>
      </c>
      <c r="S383" s="74" t="n">
        <v>10</v>
      </c>
      <c r="T383" s="74" t="n">
        <v>2</v>
      </c>
      <c r="U383" s="74" t="n">
        <v>1</v>
      </c>
    </row>
    <row r="384" customFormat="false" ht="15" hidden="false" customHeight="true" outlineLevel="0" collapsed="false">
      <c r="A384" s="30" t="s">
        <v>128</v>
      </c>
      <c r="B384" s="76"/>
      <c r="C384" s="76"/>
      <c r="D384" s="76"/>
      <c r="E384" s="76"/>
      <c r="F384" s="76"/>
      <c r="G384" s="76"/>
      <c r="H384" s="76"/>
      <c r="I384" s="76"/>
      <c r="J384" s="76"/>
      <c r="K384" s="76"/>
      <c r="L384" s="76"/>
      <c r="M384" s="76"/>
      <c r="N384" s="76"/>
      <c r="O384" s="76"/>
      <c r="P384" s="76"/>
      <c r="Q384" s="74" t="n">
        <v>1</v>
      </c>
      <c r="R384" s="74" t="n">
        <v>0</v>
      </c>
      <c r="S384" s="74" t="n">
        <v>0</v>
      </c>
      <c r="T384" s="74" t="n">
        <v>0</v>
      </c>
      <c r="U384" s="74" t="n">
        <v>0</v>
      </c>
    </row>
    <row r="385" customFormat="false" ht="15" hidden="false" customHeight="true" outlineLevel="0" collapsed="false">
      <c r="A385" s="30" t="s">
        <v>129</v>
      </c>
      <c r="B385" s="76"/>
      <c r="C385" s="76"/>
      <c r="D385" s="76"/>
      <c r="E385" s="76"/>
      <c r="F385" s="76"/>
      <c r="G385" s="76"/>
      <c r="H385" s="76"/>
      <c r="I385" s="76"/>
      <c r="J385" s="76"/>
      <c r="K385" s="76"/>
      <c r="L385" s="76"/>
      <c r="M385" s="76"/>
      <c r="N385" s="76"/>
      <c r="O385" s="76"/>
      <c r="P385" s="76"/>
      <c r="Q385" s="76"/>
      <c r="R385" s="74" t="n">
        <v>26</v>
      </c>
      <c r="S385" s="74" t="n">
        <v>20</v>
      </c>
      <c r="T385" s="74" t="n">
        <v>14</v>
      </c>
      <c r="U385" s="74" t="n">
        <v>20</v>
      </c>
    </row>
    <row r="386" customFormat="false" ht="15" hidden="false" customHeight="true" outlineLevel="0" collapsed="false">
      <c r="A386" s="30" t="s">
        <v>130</v>
      </c>
      <c r="B386" s="76"/>
      <c r="C386" s="76"/>
      <c r="D386" s="76"/>
      <c r="E386" s="76"/>
      <c r="F386" s="76"/>
      <c r="G386" s="76"/>
      <c r="H386" s="76"/>
      <c r="I386" s="76"/>
      <c r="J386" s="76"/>
      <c r="K386" s="76"/>
      <c r="L386" s="76"/>
      <c r="M386" s="76"/>
      <c r="N386" s="76"/>
      <c r="O386" s="76"/>
      <c r="P386" s="76"/>
      <c r="Q386" s="76"/>
      <c r="R386" s="76"/>
      <c r="S386" s="74" t="n">
        <v>12</v>
      </c>
      <c r="T386" s="74" t="n">
        <v>7</v>
      </c>
      <c r="U386" s="74" t="n">
        <v>12</v>
      </c>
    </row>
    <row r="387" customFormat="false" ht="15" hidden="false" customHeight="true" outlineLevel="0" collapsed="false">
      <c r="A387" s="30" t="s">
        <v>131</v>
      </c>
      <c r="B387" s="76"/>
      <c r="C387" s="76"/>
      <c r="D387" s="76"/>
      <c r="E387" s="76"/>
      <c r="F387" s="76"/>
      <c r="G387" s="76"/>
      <c r="H387" s="76"/>
      <c r="I387" s="76"/>
      <c r="J387" s="76"/>
      <c r="K387" s="76"/>
      <c r="L387" s="76"/>
      <c r="M387" s="76"/>
      <c r="N387" s="76"/>
      <c r="O387" s="76"/>
      <c r="P387" s="76"/>
      <c r="Q387" s="76"/>
      <c r="R387" s="76"/>
      <c r="S387" s="76"/>
      <c r="T387" s="74" t="n">
        <v>7</v>
      </c>
      <c r="U387" s="74" t="n">
        <v>4</v>
      </c>
    </row>
    <row r="388" customFormat="false" ht="15" hidden="false" customHeight="true" outlineLevel="0" collapsed="false">
      <c r="A388" s="30" t="s">
        <v>132</v>
      </c>
      <c r="B388" s="76"/>
      <c r="C388" s="76"/>
      <c r="D388" s="76"/>
      <c r="E388" s="76"/>
      <c r="F388" s="76"/>
      <c r="G388" s="76"/>
      <c r="H388" s="76"/>
      <c r="I388" s="76"/>
      <c r="J388" s="76"/>
      <c r="K388" s="76"/>
      <c r="L388" s="76"/>
      <c r="M388" s="76"/>
      <c r="N388" s="76"/>
      <c r="O388" s="76"/>
      <c r="P388" s="76"/>
      <c r="Q388" s="76"/>
      <c r="R388" s="76"/>
      <c r="S388" s="76"/>
      <c r="T388" s="76"/>
      <c r="U388" s="74" t="n">
        <v>21</v>
      </c>
    </row>
    <row r="389" customFormat="false" ht="15" hidden="false" customHeight="true" outlineLevel="0" collapsed="false">
      <c r="A389" s="34" t="s">
        <v>514</v>
      </c>
      <c r="B389" s="79" t="n">
        <v>4</v>
      </c>
      <c r="C389" s="79" t="n">
        <v>11</v>
      </c>
      <c r="D389" s="79" t="n">
        <v>17</v>
      </c>
      <c r="E389" s="79" t="n">
        <v>17</v>
      </c>
      <c r="F389" s="79" t="n">
        <v>37</v>
      </c>
      <c r="G389" s="79" t="n">
        <v>57</v>
      </c>
      <c r="H389" s="79" t="n">
        <v>54</v>
      </c>
      <c r="I389" s="79" t="n">
        <v>84</v>
      </c>
      <c r="J389" s="79" t="n">
        <v>93</v>
      </c>
      <c r="K389" s="79" t="n">
        <v>67</v>
      </c>
      <c r="L389" s="79" t="n">
        <v>110</v>
      </c>
      <c r="M389" s="79" t="n">
        <v>110</v>
      </c>
      <c r="N389" s="79" t="n">
        <v>78</v>
      </c>
      <c r="O389" s="79" t="n">
        <v>108</v>
      </c>
      <c r="P389" s="79" t="n">
        <v>105</v>
      </c>
      <c r="Q389" s="79" t="n">
        <v>54</v>
      </c>
      <c r="R389" s="79" t="n">
        <v>80</v>
      </c>
      <c r="S389" s="79" t="n">
        <v>70</v>
      </c>
      <c r="T389" s="79" t="n">
        <v>37</v>
      </c>
      <c r="U389" s="79" t="n">
        <v>63</v>
      </c>
    </row>
    <row r="391" customFormat="false" ht="45" hidden="false" customHeight="true" outlineLevel="0" collapsed="false">
      <c r="A391" s="65" t="s">
        <v>428</v>
      </c>
      <c r="B391" s="65"/>
      <c r="C391" s="65"/>
      <c r="D391" s="65"/>
      <c r="E391" s="65"/>
      <c r="F391" s="65"/>
      <c r="G391" s="65"/>
      <c r="H391" s="65"/>
      <c r="I391" s="65"/>
    </row>
    <row r="392" customFormat="false" ht="15" hidden="false" customHeight="true" outlineLevel="0" collapsed="false">
      <c r="A392" s="29" t="s">
        <v>272</v>
      </c>
      <c r="B392" s="29"/>
      <c r="C392" s="29"/>
      <c r="D392" s="29"/>
      <c r="E392" s="29"/>
      <c r="F392" s="29"/>
      <c r="G392" s="29"/>
      <c r="H392" s="29"/>
      <c r="I392" s="29"/>
    </row>
    <row r="394" customFormat="false" ht="30" hidden="false" customHeight="true" outlineLevel="0" collapsed="false">
      <c r="A394" s="65" t="s">
        <v>429</v>
      </c>
      <c r="B394" s="65"/>
      <c r="C394" s="65"/>
      <c r="D394" s="65"/>
      <c r="E394" s="65"/>
      <c r="F394" s="65"/>
      <c r="G394" s="65"/>
      <c r="H394" s="65"/>
      <c r="I394" s="65"/>
      <c r="J394" s="65"/>
      <c r="K394" s="65"/>
      <c r="L394" s="65"/>
      <c r="M394" s="65"/>
      <c r="N394" s="65"/>
      <c r="O394" s="65"/>
      <c r="P394" s="65"/>
      <c r="Q394" s="65"/>
      <c r="R394" s="65"/>
      <c r="S394" s="65"/>
      <c r="T394" s="65"/>
      <c r="U394" s="65"/>
    </row>
    <row r="395" customFormat="false" ht="15" hidden="false" customHeight="true" outlineLevel="0" collapsed="false">
      <c r="A395" s="12" t="s">
        <v>513</v>
      </c>
      <c r="B395" s="12" t="s">
        <v>113</v>
      </c>
      <c r="C395" s="12" t="s">
        <v>114</v>
      </c>
      <c r="D395" s="12" t="s">
        <v>115</v>
      </c>
      <c r="E395" s="12" t="s">
        <v>116</v>
      </c>
      <c r="F395" s="12" t="s">
        <v>117</v>
      </c>
      <c r="G395" s="12" t="s">
        <v>118</v>
      </c>
      <c r="H395" s="12" t="s">
        <v>119</v>
      </c>
      <c r="I395" s="12" t="s">
        <v>120</v>
      </c>
      <c r="J395" s="12" t="s">
        <v>121</v>
      </c>
      <c r="K395" s="12" t="s">
        <v>122</v>
      </c>
      <c r="L395" s="12" t="s">
        <v>123</v>
      </c>
      <c r="M395" s="12" t="s">
        <v>124</v>
      </c>
      <c r="N395" s="12" t="s">
        <v>125</v>
      </c>
      <c r="O395" s="12" t="s">
        <v>126</v>
      </c>
      <c r="P395" s="12" t="s">
        <v>127</v>
      </c>
      <c r="Q395" s="12" t="s">
        <v>128</v>
      </c>
      <c r="R395" s="12" t="s">
        <v>129</v>
      </c>
      <c r="S395" s="12" t="s">
        <v>130</v>
      </c>
      <c r="T395" s="12" t="s">
        <v>131</v>
      </c>
      <c r="U395" s="12" t="s">
        <v>132</v>
      </c>
    </row>
    <row r="396" customFormat="false" ht="15" hidden="false" customHeight="true" outlineLevel="0" collapsed="false">
      <c r="A396" s="30" t="s">
        <v>124</v>
      </c>
      <c r="B396" s="76"/>
      <c r="C396" s="76"/>
      <c r="D396" s="76"/>
      <c r="E396" s="76"/>
      <c r="F396" s="76"/>
      <c r="G396" s="76"/>
      <c r="H396" s="76"/>
      <c r="I396" s="76"/>
      <c r="J396" s="76"/>
      <c r="K396" s="76"/>
      <c r="L396" s="76"/>
      <c r="M396" s="74" t="n">
        <v>24</v>
      </c>
      <c r="N396" s="74" t="n">
        <v>20</v>
      </c>
      <c r="O396" s="74" t="n">
        <v>19</v>
      </c>
      <c r="P396" s="74" t="n">
        <v>12</v>
      </c>
      <c r="Q396" s="74" t="n">
        <v>12</v>
      </c>
      <c r="R396" s="74" t="n">
        <v>0</v>
      </c>
      <c r="S396" s="74" t="n">
        <v>0</v>
      </c>
      <c r="T396" s="74" t="n">
        <v>0</v>
      </c>
      <c r="U396" s="74" t="n">
        <v>0</v>
      </c>
    </row>
    <row r="397" customFormat="false" ht="15" hidden="false" customHeight="true" outlineLevel="0" collapsed="false">
      <c r="A397" s="30" t="s">
        <v>126</v>
      </c>
      <c r="B397" s="76"/>
      <c r="C397" s="76"/>
      <c r="D397" s="76"/>
      <c r="E397" s="76"/>
      <c r="F397" s="76"/>
      <c r="G397" s="76"/>
      <c r="H397" s="76"/>
      <c r="I397" s="76"/>
      <c r="J397" s="76"/>
      <c r="K397" s="76"/>
      <c r="L397" s="76"/>
      <c r="M397" s="76"/>
      <c r="N397" s="76"/>
      <c r="O397" s="74" t="n">
        <v>35</v>
      </c>
      <c r="P397" s="74" t="n">
        <v>31</v>
      </c>
      <c r="Q397" s="74" t="n">
        <v>27</v>
      </c>
      <c r="R397" s="74" t="n">
        <v>11</v>
      </c>
      <c r="S397" s="74" t="n">
        <v>4</v>
      </c>
      <c r="T397" s="74" t="n">
        <v>4</v>
      </c>
      <c r="U397" s="74" t="n">
        <v>2</v>
      </c>
    </row>
    <row r="398" customFormat="false" ht="15" hidden="false" customHeight="true" outlineLevel="0" collapsed="false">
      <c r="A398" s="30" t="s">
        <v>127</v>
      </c>
      <c r="B398" s="76"/>
      <c r="C398" s="76"/>
      <c r="D398" s="76"/>
      <c r="E398" s="76"/>
      <c r="F398" s="76"/>
      <c r="G398" s="76"/>
      <c r="H398" s="76"/>
      <c r="I398" s="76"/>
      <c r="J398" s="76"/>
      <c r="K398" s="76"/>
      <c r="L398" s="76"/>
      <c r="M398" s="76"/>
      <c r="N398" s="76"/>
      <c r="O398" s="76"/>
      <c r="P398" s="74" t="n">
        <v>29</v>
      </c>
      <c r="Q398" s="74" t="n">
        <v>22</v>
      </c>
      <c r="R398" s="74" t="n">
        <v>27</v>
      </c>
      <c r="S398" s="74" t="n">
        <v>16</v>
      </c>
      <c r="T398" s="74" t="n">
        <v>13</v>
      </c>
      <c r="U398" s="74" t="n">
        <v>8</v>
      </c>
    </row>
    <row r="399" customFormat="false" ht="15" hidden="false" customHeight="true" outlineLevel="0" collapsed="false">
      <c r="A399" s="30" t="s">
        <v>129</v>
      </c>
      <c r="B399" s="76"/>
      <c r="C399" s="76"/>
      <c r="D399" s="76"/>
      <c r="E399" s="76"/>
      <c r="F399" s="76"/>
      <c r="G399" s="76"/>
      <c r="H399" s="76"/>
      <c r="I399" s="76"/>
      <c r="J399" s="76"/>
      <c r="K399" s="76"/>
      <c r="L399" s="76"/>
      <c r="M399" s="76"/>
      <c r="N399" s="76"/>
      <c r="O399" s="76"/>
      <c r="P399" s="76"/>
      <c r="Q399" s="76"/>
      <c r="R399" s="74" t="n">
        <v>34</v>
      </c>
      <c r="S399" s="74" t="n">
        <v>33</v>
      </c>
      <c r="T399" s="74" t="n">
        <v>30</v>
      </c>
      <c r="U399" s="74" t="n">
        <v>19</v>
      </c>
    </row>
    <row r="400" customFormat="false" ht="15" hidden="false" customHeight="true" outlineLevel="0" collapsed="false">
      <c r="A400" s="30" t="s">
        <v>130</v>
      </c>
      <c r="B400" s="76"/>
      <c r="C400" s="76"/>
      <c r="D400" s="76"/>
      <c r="E400" s="76"/>
      <c r="F400" s="76"/>
      <c r="G400" s="76"/>
      <c r="H400" s="76"/>
      <c r="I400" s="76"/>
      <c r="J400" s="76"/>
      <c r="K400" s="76"/>
      <c r="L400" s="76"/>
      <c r="M400" s="76"/>
      <c r="N400" s="76"/>
      <c r="O400" s="76"/>
      <c r="P400" s="76"/>
      <c r="Q400" s="76"/>
      <c r="R400" s="76"/>
      <c r="S400" s="74" t="n">
        <v>22</v>
      </c>
      <c r="T400" s="74" t="n">
        <v>19</v>
      </c>
      <c r="U400" s="74" t="n">
        <v>19</v>
      </c>
    </row>
    <row r="401" customFormat="false" ht="15" hidden="false" customHeight="true" outlineLevel="0" collapsed="false">
      <c r="A401" s="30" t="s">
        <v>132</v>
      </c>
      <c r="B401" s="76"/>
      <c r="C401" s="76"/>
      <c r="D401" s="76"/>
      <c r="E401" s="76"/>
      <c r="F401" s="76"/>
      <c r="G401" s="76"/>
      <c r="H401" s="76"/>
      <c r="I401" s="76"/>
      <c r="J401" s="76"/>
      <c r="K401" s="76"/>
      <c r="L401" s="76"/>
      <c r="M401" s="76"/>
      <c r="N401" s="76"/>
      <c r="O401" s="76"/>
      <c r="P401" s="76"/>
      <c r="Q401" s="76"/>
      <c r="R401" s="76"/>
      <c r="S401" s="76"/>
      <c r="T401" s="76"/>
      <c r="U401" s="74" t="n">
        <v>43</v>
      </c>
    </row>
    <row r="402" customFormat="false" ht="15" hidden="false" customHeight="true" outlineLevel="0" collapsed="false">
      <c r="A402" s="34" t="s">
        <v>514</v>
      </c>
      <c r="B402" s="79"/>
      <c r="C402" s="79"/>
      <c r="D402" s="79"/>
      <c r="E402" s="79"/>
      <c r="F402" s="79"/>
      <c r="G402" s="79"/>
      <c r="H402" s="79"/>
      <c r="I402" s="79"/>
      <c r="J402" s="79"/>
      <c r="K402" s="79"/>
      <c r="L402" s="79"/>
      <c r="M402" s="79" t="n">
        <v>24</v>
      </c>
      <c r="N402" s="79" t="n">
        <v>20</v>
      </c>
      <c r="O402" s="79" t="n">
        <v>54</v>
      </c>
      <c r="P402" s="79" t="n">
        <v>72</v>
      </c>
      <c r="Q402" s="79" t="n">
        <v>61</v>
      </c>
      <c r="R402" s="79" t="n">
        <v>72</v>
      </c>
      <c r="S402" s="79" t="n">
        <v>75</v>
      </c>
      <c r="T402" s="79" t="n">
        <v>66</v>
      </c>
      <c r="U402" s="79" t="n">
        <v>91</v>
      </c>
    </row>
    <row r="404" customFormat="false" ht="19.5" hidden="false" customHeight="true" outlineLevel="0" collapsed="false">
      <c r="A404" s="65" t="s">
        <v>430</v>
      </c>
      <c r="B404" s="65"/>
      <c r="C404" s="65"/>
      <c r="D404" s="65"/>
      <c r="E404" s="65"/>
      <c r="F404" s="65"/>
      <c r="G404" s="65"/>
      <c r="H404" s="65"/>
      <c r="I404" s="65"/>
      <c r="J404" s="65"/>
      <c r="K404" s="65"/>
      <c r="L404" s="65"/>
      <c r="M404" s="65"/>
      <c r="N404" s="65"/>
      <c r="O404" s="65"/>
      <c r="P404" s="65"/>
      <c r="Q404" s="65"/>
      <c r="R404" s="65"/>
      <c r="S404" s="65"/>
      <c r="T404" s="65"/>
      <c r="U404" s="65"/>
    </row>
    <row r="405" customFormat="false" ht="15" hidden="false" customHeight="true" outlineLevel="0" collapsed="false">
      <c r="A405" s="12" t="s">
        <v>513</v>
      </c>
      <c r="B405" s="12" t="s">
        <v>113</v>
      </c>
      <c r="C405" s="12" t="s">
        <v>114</v>
      </c>
      <c r="D405" s="12" t="s">
        <v>115</v>
      </c>
      <c r="E405" s="12" t="s">
        <v>116</v>
      </c>
      <c r="F405" s="12" t="s">
        <v>117</v>
      </c>
      <c r="G405" s="12" t="s">
        <v>118</v>
      </c>
      <c r="H405" s="12" t="s">
        <v>119</v>
      </c>
      <c r="I405" s="12" t="s">
        <v>120</v>
      </c>
      <c r="J405" s="12" t="s">
        <v>121</v>
      </c>
      <c r="K405" s="12" t="s">
        <v>122</v>
      </c>
      <c r="L405" s="12" t="s">
        <v>123</v>
      </c>
      <c r="M405" s="12" t="s">
        <v>124</v>
      </c>
      <c r="N405" s="12" t="s">
        <v>125</v>
      </c>
      <c r="O405" s="12" t="s">
        <v>126</v>
      </c>
      <c r="P405" s="12" t="s">
        <v>127</v>
      </c>
      <c r="Q405" s="12" t="s">
        <v>128</v>
      </c>
      <c r="R405" s="12" t="s">
        <v>129</v>
      </c>
      <c r="S405" s="12" t="s">
        <v>130</v>
      </c>
      <c r="T405" s="12" t="s">
        <v>131</v>
      </c>
      <c r="U405" s="12" t="s">
        <v>132</v>
      </c>
    </row>
    <row r="406" customFormat="false" ht="15" hidden="false" customHeight="true" outlineLevel="0" collapsed="false">
      <c r="A406" s="30" t="s">
        <v>113</v>
      </c>
      <c r="B406" s="74" t="n">
        <v>3</v>
      </c>
      <c r="C406" s="74" t="n">
        <v>3</v>
      </c>
      <c r="D406" s="74" t="n">
        <v>3</v>
      </c>
      <c r="E406" s="74" t="n">
        <v>1</v>
      </c>
      <c r="F406" s="74" t="n">
        <v>0</v>
      </c>
      <c r="G406" s="74" t="n">
        <v>0</v>
      </c>
      <c r="H406" s="74" t="n">
        <v>0</v>
      </c>
      <c r="I406" s="74" t="n">
        <v>0</v>
      </c>
      <c r="J406" s="74" t="n">
        <v>0</v>
      </c>
      <c r="K406" s="74" t="n">
        <v>0</v>
      </c>
      <c r="L406" s="74" t="n">
        <v>0</v>
      </c>
      <c r="M406" s="74" t="n">
        <v>0</v>
      </c>
      <c r="N406" s="74" t="n">
        <v>0</v>
      </c>
      <c r="O406" s="74" t="n">
        <v>0</v>
      </c>
      <c r="P406" s="74" t="n">
        <v>0</v>
      </c>
      <c r="Q406" s="74" t="n">
        <v>0</v>
      </c>
      <c r="R406" s="74" t="n">
        <v>0</v>
      </c>
      <c r="S406" s="74" t="n">
        <v>0</v>
      </c>
      <c r="T406" s="74" t="n">
        <v>0</v>
      </c>
      <c r="U406" s="74" t="n">
        <v>0</v>
      </c>
    </row>
    <row r="407" customFormat="false" ht="15" hidden="false" customHeight="true" outlineLevel="0" collapsed="false">
      <c r="A407" s="30" t="s">
        <v>114</v>
      </c>
      <c r="B407" s="76"/>
      <c r="C407" s="74" t="n">
        <v>47</v>
      </c>
      <c r="D407" s="74" t="n">
        <v>42</v>
      </c>
      <c r="E407" s="74" t="n">
        <v>38</v>
      </c>
      <c r="F407" s="74" t="n">
        <v>38</v>
      </c>
      <c r="G407" s="74" t="n">
        <v>10</v>
      </c>
      <c r="H407" s="74" t="n">
        <v>4</v>
      </c>
      <c r="I407" s="74" t="n">
        <v>3</v>
      </c>
      <c r="J407" s="74" t="n">
        <v>2</v>
      </c>
      <c r="K407" s="74" t="n">
        <v>1</v>
      </c>
      <c r="L407" s="74" t="n">
        <v>1</v>
      </c>
      <c r="M407" s="74" t="n">
        <v>1</v>
      </c>
      <c r="N407" s="74" t="n">
        <v>0</v>
      </c>
      <c r="O407" s="74" t="n">
        <v>0</v>
      </c>
      <c r="P407" s="74" t="n">
        <v>0</v>
      </c>
      <c r="Q407" s="74" t="n">
        <v>0</v>
      </c>
      <c r="R407" s="74" t="n">
        <v>0</v>
      </c>
      <c r="S407" s="74" t="n">
        <v>0</v>
      </c>
      <c r="T407" s="74" t="n">
        <v>0</v>
      </c>
      <c r="U407" s="74" t="n">
        <v>0</v>
      </c>
    </row>
    <row r="408" customFormat="false" ht="15" hidden="false" customHeight="true" outlineLevel="0" collapsed="false">
      <c r="A408" s="30" t="s">
        <v>115</v>
      </c>
      <c r="B408" s="76"/>
      <c r="C408" s="76"/>
      <c r="D408" s="74" t="n">
        <v>35</v>
      </c>
      <c r="E408" s="74" t="n">
        <v>28</v>
      </c>
      <c r="F408" s="74" t="n">
        <v>26</v>
      </c>
      <c r="G408" s="74" t="n">
        <v>24</v>
      </c>
      <c r="H408" s="74" t="n">
        <v>6</v>
      </c>
      <c r="I408" s="74" t="n">
        <v>4</v>
      </c>
      <c r="J408" s="74" t="n">
        <v>2</v>
      </c>
      <c r="K408" s="74" t="n">
        <v>2</v>
      </c>
      <c r="L408" s="74" t="n">
        <v>1</v>
      </c>
      <c r="M408" s="74" t="n">
        <v>0</v>
      </c>
      <c r="N408" s="74" t="n">
        <v>0</v>
      </c>
      <c r="O408" s="74" t="n">
        <v>0</v>
      </c>
      <c r="P408" s="74" t="n">
        <v>0</v>
      </c>
      <c r="Q408" s="74" t="n">
        <v>0</v>
      </c>
      <c r="R408" s="74" t="n">
        <v>0</v>
      </c>
      <c r="S408" s="74" t="n">
        <v>0</v>
      </c>
      <c r="T408" s="74" t="n">
        <v>0</v>
      </c>
      <c r="U408" s="74" t="n">
        <v>0</v>
      </c>
    </row>
    <row r="409" customFormat="false" ht="15" hidden="false" customHeight="true" outlineLevel="0" collapsed="false">
      <c r="A409" s="30" t="s">
        <v>116</v>
      </c>
      <c r="B409" s="76"/>
      <c r="C409" s="76"/>
      <c r="D409" s="76"/>
      <c r="E409" s="74" t="n">
        <v>1</v>
      </c>
      <c r="F409" s="74" t="n">
        <v>1</v>
      </c>
      <c r="G409" s="74" t="n">
        <v>1</v>
      </c>
      <c r="H409" s="74" t="n">
        <v>0</v>
      </c>
      <c r="I409" s="74" t="n">
        <v>0</v>
      </c>
      <c r="J409" s="74" t="n">
        <v>0</v>
      </c>
      <c r="K409" s="74" t="n">
        <v>0</v>
      </c>
      <c r="L409" s="74" t="n">
        <v>0</v>
      </c>
      <c r="M409" s="74" t="n">
        <v>0</v>
      </c>
      <c r="N409" s="74" t="n">
        <v>0</v>
      </c>
      <c r="O409" s="74" t="n">
        <v>0</v>
      </c>
      <c r="P409" s="74" t="n">
        <v>0</v>
      </c>
      <c r="Q409" s="74" t="n">
        <v>0</v>
      </c>
      <c r="R409" s="74" t="n">
        <v>0</v>
      </c>
      <c r="S409" s="74" t="n">
        <v>0</v>
      </c>
      <c r="T409" s="74" t="n">
        <v>0</v>
      </c>
      <c r="U409" s="74" t="n">
        <v>0</v>
      </c>
    </row>
    <row r="410" customFormat="false" ht="15" hidden="false" customHeight="true" outlineLevel="0" collapsed="false">
      <c r="A410" s="30" t="s">
        <v>117</v>
      </c>
      <c r="B410" s="76"/>
      <c r="C410" s="76"/>
      <c r="D410" s="76"/>
      <c r="E410" s="76"/>
      <c r="F410" s="74" t="n">
        <v>42</v>
      </c>
      <c r="G410" s="74" t="n">
        <v>35</v>
      </c>
      <c r="H410" s="74" t="n">
        <v>31</v>
      </c>
      <c r="I410" s="74" t="n">
        <v>32</v>
      </c>
      <c r="J410" s="74" t="n">
        <v>11</v>
      </c>
      <c r="K410" s="74" t="n">
        <v>5</v>
      </c>
      <c r="L410" s="74" t="n">
        <v>7</v>
      </c>
      <c r="M410" s="74" t="n">
        <v>3</v>
      </c>
      <c r="N410" s="74" t="n">
        <v>2</v>
      </c>
      <c r="O410" s="74" t="n">
        <v>2</v>
      </c>
      <c r="P410" s="74" t="n">
        <v>1</v>
      </c>
      <c r="Q410" s="74" t="n">
        <v>1</v>
      </c>
      <c r="R410" s="74" t="n">
        <v>1</v>
      </c>
      <c r="S410" s="74" t="n">
        <v>1</v>
      </c>
      <c r="T410" s="74" t="n">
        <v>0</v>
      </c>
      <c r="U410" s="74" t="n">
        <v>0</v>
      </c>
    </row>
    <row r="411" customFormat="false" ht="15" hidden="false" customHeight="true" outlineLevel="0" collapsed="false">
      <c r="A411" s="30" t="s">
        <v>118</v>
      </c>
      <c r="B411" s="76"/>
      <c r="C411" s="76"/>
      <c r="D411" s="76"/>
      <c r="E411" s="76"/>
      <c r="F411" s="76"/>
      <c r="G411" s="74" t="n">
        <v>30</v>
      </c>
      <c r="H411" s="74" t="n">
        <v>25</v>
      </c>
      <c r="I411" s="74" t="n">
        <v>26</v>
      </c>
      <c r="J411" s="74" t="n">
        <v>26</v>
      </c>
      <c r="K411" s="74" t="n">
        <v>7</v>
      </c>
      <c r="L411" s="74" t="n">
        <v>6</v>
      </c>
      <c r="M411" s="74" t="n">
        <v>4</v>
      </c>
      <c r="N411" s="74" t="n">
        <v>2</v>
      </c>
      <c r="O411" s="74" t="n">
        <v>2</v>
      </c>
      <c r="P411" s="74" t="n">
        <v>1</v>
      </c>
      <c r="Q411" s="74" t="n">
        <v>1</v>
      </c>
      <c r="R411" s="74" t="n">
        <v>1</v>
      </c>
      <c r="S411" s="74" t="n">
        <v>0</v>
      </c>
      <c r="T411" s="74" t="n">
        <v>0</v>
      </c>
      <c r="U411" s="74" t="n">
        <v>0</v>
      </c>
    </row>
    <row r="412" customFormat="false" ht="15" hidden="false" customHeight="true" outlineLevel="0" collapsed="false">
      <c r="A412" s="30" t="s">
        <v>119</v>
      </c>
      <c r="B412" s="76"/>
      <c r="C412" s="76"/>
      <c r="D412" s="76"/>
      <c r="E412" s="76"/>
      <c r="F412" s="76"/>
      <c r="G412" s="76"/>
      <c r="H412" s="74" t="n">
        <v>7</v>
      </c>
      <c r="I412" s="74" t="n">
        <v>7</v>
      </c>
      <c r="J412" s="74" t="n">
        <v>4</v>
      </c>
      <c r="K412" s="74" t="n">
        <v>1</v>
      </c>
      <c r="L412" s="74" t="n">
        <v>0</v>
      </c>
      <c r="M412" s="74" t="n">
        <v>0</v>
      </c>
      <c r="N412" s="74" t="n">
        <v>0</v>
      </c>
      <c r="O412" s="74" t="n">
        <v>0</v>
      </c>
      <c r="P412" s="74" t="n">
        <v>0</v>
      </c>
      <c r="Q412" s="74" t="n">
        <v>0</v>
      </c>
      <c r="R412" s="74" t="n">
        <v>0</v>
      </c>
      <c r="S412" s="74" t="n">
        <v>0</v>
      </c>
      <c r="T412" s="74" t="n">
        <v>0</v>
      </c>
      <c r="U412" s="74" t="n">
        <v>0</v>
      </c>
    </row>
    <row r="413" customFormat="false" ht="15" hidden="false" customHeight="true" outlineLevel="0" collapsed="false">
      <c r="A413" s="30" t="s">
        <v>120</v>
      </c>
      <c r="B413" s="76"/>
      <c r="C413" s="76"/>
      <c r="D413" s="76"/>
      <c r="E413" s="76"/>
      <c r="F413" s="76"/>
      <c r="G413" s="76"/>
      <c r="H413" s="76"/>
      <c r="I413" s="74" t="n">
        <v>32</v>
      </c>
      <c r="J413" s="74" t="n">
        <v>21</v>
      </c>
      <c r="K413" s="74" t="n">
        <v>16</v>
      </c>
      <c r="L413" s="74" t="n">
        <v>14</v>
      </c>
      <c r="M413" s="74" t="n">
        <v>3</v>
      </c>
      <c r="N413" s="74" t="n">
        <v>2</v>
      </c>
      <c r="O413" s="74" t="n">
        <v>1</v>
      </c>
      <c r="P413" s="74" t="n">
        <v>1</v>
      </c>
      <c r="Q413" s="74" t="n">
        <v>0</v>
      </c>
      <c r="R413" s="74" t="n">
        <v>2</v>
      </c>
      <c r="S413" s="74" t="n">
        <v>2</v>
      </c>
      <c r="T413" s="74" t="n">
        <v>1</v>
      </c>
      <c r="U413" s="74" t="n">
        <v>1</v>
      </c>
    </row>
    <row r="414" customFormat="false" ht="15" hidden="false" customHeight="true" outlineLevel="0" collapsed="false">
      <c r="A414" s="30" t="s">
        <v>121</v>
      </c>
      <c r="B414" s="76"/>
      <c r="C414" s="76"/>
      <c r="D414" s="76"/>
      <c r="E414" s="76"/>
      <c r="F414" s="76"/>
      <c r="G414" s="76"/>
      <c r="H414" s="76"/>
      <c r="I414" s="76"/>
      <c r="J414" s="74" t="n">
        <v>17</v>
      </c>
      <c r="K414" s="74" t="n">
        <v>9</v>
      </c>
      <c r="L414" s="74" t="n">
        <v>14</v>
      </c>
      <c r="M414" s="74" t="n">
        <v>10</v>
      </c>
      <c r="N414" s="74" t="n">
        <v>1</v>
      </c>
      <c r="O414" s="74" t="n">
        <v>1</v>
      </c>
      <c r="P414" s="74" t="n">
        <v>1</v>
      </c>
      <c r="Q414" s="74" t="n">
        <v>1</v>
      </c>
      <c r="R414" s="74" t="n">
        <v>0</v>
      </c>
      <c r="S414" s="74" t="n">
        <v>0</v>
      </c>
      <c r="T414" s="74" t="n">
        <v>0</v>
      </c>
      <c r="U414" s="74" t="n">
        <v>0</v>
      </c>
    </row>
    <row r="415" customFormat="false" ht="15" hidden="false" customHeight="true" outlineLevel="0" collapsed="false">
      <c r="A415" s="30" t="s">
        <v>122</v>
      </c>
      <c r="B415" s="76"/>
      <c r="C415" s="76"/>
      <c r="D415" s="76"/>
      <c r="E415" s="76"/>
      <c r="F415" s="76"/>
      <c r="G415" s="76"/>
      <c r="H415" s="76"/>
      <c r="I415" s="76"/>
      <c r="J415" s="76"/>
      <c r="K415" s="74" t="n">
        <v>9</v>
      </c>
      <c r="L415" s="74" t="n">
        <v>9</v>
      </c>
      <c r="M415" s="74" t="n">
        <v>5</v>
      </c>
      <c r="N415" s="74" t="n">
        <v>1</v>
      </c>
      <c r="O415" s="74" t="n">
        <v>1</v>
      </c>
      <c r="P415" s="74" t="n">
        <v>0</v>
      </c>
      <c r="Q415" s="74" t="n">
        <v>0</v>
      </c>
      <c r="R415" s="74" t="n">
        <v>0</v>
      </c>
      <c r="S415" s="74" t="n">
        <v>0</v>
      </c>
      <c r="T415" s="74" t="n">
        <v>0</v>
      </c>
      <c r="U415" s="74" t="n">
        <v>0</v>
      </c>
    </row>
    <row r="416" customFormat="false" ht="15" hidden="false" customHeight="true" outlineLevel="0" collapsed="false">
      <c r="A416" s="30" t="s">
        <v>123</v>
      </c>
      <c r="B416" s="76"/>
      <c r="C416" s="76"/>
      <c r="D416" s="76"/>
      <c r="E416" s="76"/>
      <c r="F416" s="76"/>
      <c r="G416" s="76"/>
      <c r="H416" s="76"/>
      <c r="I416" s="76"/>
      <c r="J416" s="76"/>
      <c r="K416" s="76"/>
      <c r="L416" s="74" t="n">
        <v>23</v>
      </c>
      <c r="M416" s="74" t="n">
        <v>21</v>
      </c>
      <c r="N416" s="74" t="n">
        <v>19</v>
      </c>
      <c r="O416" s="74" t="n">
        <v>20</v>
      </c>
      <c r="P416" s="74" t="n">
        <v>3</v>
      </c>
      <c r="Q416" s="74" t="n">
        <v>3</v>
      </c>
      <c r="R416" s="74" t="n">
        <v>2</v>
      </c>
      <c r="S416" s="74" t="n">
        <v>0</v>
      </c>
      <c r="T416" s="74" t="n">
        <v>0</v>
      </c>
      <c r="U416" s="74" t="n">
        <v>0</v>
      </c>
    </row>
    <row r="417" customFormat="false" ht="15" hidden="false" customHeight="true" outlineLevel="0" collapsed="false">
      <c r="A417" s="30" t="s">
        <v>124</v>
      </c>
      <c r="B417" s="76"/>
      <c r="C417" s="76"/>
      <c r="D417" s="76"/>
      <c r="E417" s="76"/>
      <c r="F417" s="76"/>
      <c r="G417" s="76"/>
      <c r="H417" s="76"/>
      <c r="I417" s="76"/>
      <c r="J417" s="76"/>
      <c r="K417" s="76"/>
      <c r="L417" s="76"/>
      <c r="M417" s="74" t="n">
        <v>16</v>
      </c>
      <c r="N417" s="74" t="n">
        <v>13</v>
      </c>
      <c r="O417" s="74" t="n">
        <v>12</v>
      </c>
      <c r="P417" s="74" t="n">
        <v>9</v>
      </c>
      <c r="Q417" s="74" t="n">
        <v>2</v>
      </c>
      <c r="R417" s="74" t="n">
        <v>1</v>
      </c>
      <c r="S417" s="74" t="n">
        <v>1</v>
      </c>
      <c r="T417" s="74" t="n">
        <v>1</v>
      </c>
      <c r="U417" s="74" t="n">
        <v>1</v>
      </c>
    </row>
    <row r="418" customFormat="false" ht="15" hidden="false" customHeight="true" outlineLevel="0" collapsed="false">
      <c r="A418" s="30" t="s">
        <v>125</v>
      </c>
      <c r="B418" s="76"/>
      <c r="C418" s="76"/>
      <c r="D418" s="76"/>
      <c r="E418" s="76"/>
      <c r="F418" s="76"/>
      <c r="G418" s="76"/>
      <c r="H418" s="76"/>
      <c r="I418" s="76"/>
      <c r="J418" s="76"/>
      <c r="K418" s="76"/>
      <c r="L418" s="76"/>
      <c r="M418" s="76"/>
      <c r="N418" s="74" t="n">
        <v>2</v>
      </c>
      <c r="O418" s="74" t="n">
        <v>2</v>
      </c>
      <c r="P418" s="74" t="n">
        <v>1</v>
      </c>
      <c r="Q418" s="74" t="n">
        <v>0</v>
      </c>
      <c r="R418" s="74" t="n">
        <v>0</v>
      </c>
      <c r="S418" s="74" t="n">
        <v>0</v>
      </c>
      <c r="T418" s="74" t="n">
        <v>0</v>
      </c>
      <c r="U418" s="74" t="n">
        <v>0</v>
      </c>
    </row>
    <row r="419" customFormat="false" ht="15" hidden="false" customHeight="true" outlineLevel="0" collapsed="false">
      <c r="A419" s="30" t="s">
        <v>126</v>
      </c>
      <c r="B419" s="76"/>
      <c r="C419" s="76"/>
      <c r="D419" s="76"/>
      <c r="E419" s="76"/>
      <c r="F419" s="76"/>
      <c r="G419" s="76"/>
      <c r="H419" s="76"/>
      <c r="I419" s="76"/>
      <c r="J419" s="76"/>
      <c r="K419" s="76"/>
      <c r="L419" s="76"/>
      <c r="M419" s="76"/>
      <c r="N419" s="76"/>
      <c r="O419" s="74" t="n">
        <v>24</v>
      </c>
      <c r="P419" s="74" t="n">
        <v>21</v>
      </c>
      <c r="Q419" s="74" t="n">
        <v>17</v>
      </c>
      <c r="R419" s="74" t="n">
        <v>17</v>
      </c>
      <c r="S419" s="74" t="n">
        <v>7</v>
      </c>
      <c r="T419" s="74" t="n">
        <v>2</v>
      </c>
      <c r="U419" s="74" t="n">
        <v>1</v>
      </c>
    </row>
    <row r="420" customFormat="false" ht="15" hidden="false" customHeight="true" outlineLevel="0" collapsed="false">
      <c r="A420" s="30" t="s">
        <v>127</v>
      </c>
      <c r="B420" s="76"/>
      <c r="C420" s="76"/>
      <c r="D420" s="76"/>
      <c r="E420" s="76"/>
      <c r="F420" s="76"/>
      <c r="G420" s="76"/>
      <c r="H420" s="76"/>
      <c r="I420" s="76"/>
      <c r="J420" s="76"/>
      <c r="K420" s="76"/>
      <c r="L420" s="76"/>
      <c r="M420" s="76"/>
      <c r="N420" s="76"/>
      <c r="O420" s="76"/>
      <c r="P420" s="74" t="n">
        <v>22</v>
      </c>
      <c r="Q420" s="74" t="n">
        <v>13</v>
      </c>
      <c r="R420" s="74" t="n">
        <v>13</v>
      </c>
      <c r="S420" s="74" t="n">
        <v>14</v>
      </c>
      <c r="T420" s="74" t="n">
        <v>2</v>
      </c>
      <c r="U420" s="74" t="n">
        <v>3</v>
      </c>
    </row>
    <row r="421" customFormat="false" ht="15" hidden="false" customHeight="true" outlineLevel="0" collapsed="false">
      <c r="A421" s="30" t="s">
        <v>128</v>
      </c>
      <c r="B421" s="76"/>
      <c r="C421" s="76"/>
      <c r="D421" s="76"/>
      <c r="E421" s="76"/>
      <c r="F421" s="76"/>
      <c r="G421" s="76"/>
      <c r="H421" s="76"/>
      <c r="I421" s="76"/>
      <c r="J421" s="76"/>
      <c r="K421" s="76"/>
      <c r="L421" s="76"/>
      <c r="M421" s="76"/>
      <c r="N421" s="76"/>
      <c r="O421" s="76"/>
      <c r="P421" s="76"/>
      <c r="Q421" s="74" t="n">
        <v>8</v>
      </c>
      <c r="R421" s="74" t="n">
        <v>8</v>
      </c>
      <c r="S421" s="74" t="n">
        <v>4</v>
      </c>
      <c r="T421" s="74" t="n">
        <v>0</v>
      </c>
      <c r="U421" s="74" t="n">
        <v>0</v>
      </c>
    </row>
    <row r="422" customFormat="false" ht="15" hidden="false" customHeight="true" outlineLevel="0" collapsed="false">
      <c r="A422" s="30" t="s">
        <v>129</v>
      </c>
      <c r="B422" s="76"/>
      <c r="C422" s="76"/>
      <c r="D422" s="76"/>
      <c r="E422" s="76"/>
      <c r="F422" s="76"/>
      <c r="G422" s="76"/>
      <c r="H422" s="76"/>
      <c r="I422" s="76"/>
      <c r="J422" s="76"/>
      <c r="K422" s="76"/>
      <c r="L422" s="76"/>
      <c r="M422" s="76"/>
      <c r="N422" s="76"/>
      <c r="O422" s="76"/>
      <c r="P422" s="76"/>
      <c r="Q422" s="76"/>
      <c r="R422" s="74" t="n">
        <v>27</v>
      </c>
      <c r="S422" s="74" t="n">
        <v>23</v>
      </c>
      <c r="T422" s="74" t="n">
        <v>22</v>
      </c>
      <c r="U422" s="74" t="n">
        <v>21</v>
      </c>
    </row>
    <row r="423" customFormat="false" ht="15" hidden="false" customHeight="true" outlineLevel="0" collapsed="false">
      <c r="A423" s="30" t="s">
        <v>130</v>
      </c>
      <c r="B423" s="76"/>
      <c r="C423" s="76"/>
      <c r="D423" s="76"/>
      <c r="E423" s="76"/>
      <c r="F423" s="76"/>
      <c r="G423" s="76"/>
      <c r="H423" s="76"/>
      <c r="I423" s="76"/>
      <c r="J423" s="76"/>
      <c r="K423" s="76"/>
      <c r="L423" s="76"/>
      <c r="M423" s="76"/>
      <c r="N423" s="76"/>
      <c r="O423" s="76"/>
      <c r="P423" s="76"/>
      <c r="Q423" s="76"/>
      <c r="R423" s="76"/>
      <c r="S423" s="74" t="n">
        <v>21</v>
      </c>
      <c r="T423" s="74" t="n">
        <v>18</v>
      </c>
      <c r="U423" s="74" t="n">
        <v>14</v>
      </c>
    </row>
    <row r="424" customFormat="false" ht="15" hidden="false" customHeight="true" outlineLevel="0" collapsed="false">
      <c r="A424" s="30" t="s">
        <v>131</v>
      </c>
      <c r="B424" s="76"/>
      <c r="C424" s="76"/>
      <c r="D424" s="76"/>
      <c r="E424" s="76"/>
      <c r="F424" s="76"/>
      <c r="G424" s="76"/>
      <c r="H424" s="76"/>
      <c r="I424" s="76"/>
      <c r="J424" s="76"/>
      <c r="K424" s="76"/>
      <c r="L424" s="76"/>
      <c r="M424" s="76"/>
      <c r="N424" s="76"/>
      <c r="O424" s="76"/>
      <c r="P424" s="76"/>
      <c r="Q424" s="76"/>
      <c r="R424" s="76"/>
      <c r="S424" s="76"/>
      <c r="T424" s="74" t="n">
        <v>9</v>
      </c>
      <c r="U424" s="74" t="n">
        <v>9</v>
      </c>
    </row>
    <row r="425" customFormat="false" ht="15" hidden="false" customHeight="true" outlineLevel="0" collapsed="false">
      <c r="A425" s="30" t="s">
        <v>132</v>
      </c>
      <c r="B425" s="76"/>
      <c r="C425" s="76"/>
      <c r="D425" s="76"/>
      <c r="E425" s="76"/>
      <c r="F425" s="76"/>
      <c r="G425" s="76"/>
      <c r="H425" s="76"/>
      <c r="I425" s="76"/>
      <c r="J425" s="76"/>
      <c r="K425" s="76"/>
      <c r="L425" s="76"/>
      <c r="M425" s="76"/>
      <c r="N425" s="76"/>
      <c r="O425" s="76"/>
      <c r="P425" s="76"/>
      <c r="Q425" s="76"/>
      <c r="R425" s="76"/>
      <c r="S425" s="76"/>
      <c r="T425" s="76"/>
      <c r="U425" s="74" t="n">
        <v>27</v>
      </c>
    </row>
    <row r="426" customFormat="false" ht="15" hidden="false" customHeight="true" outlineLevel="0" collapsed="false">
      <c r="A426" s="34" t="s">
        <v>514</v>
      </c>
      <c r="B426" s="79" t="n">
        <v>3</v>
      </c>
      <c r="C426" s="79" t="n">
        <v>50</v>
      </c>
      <c r="D426" s="79" t="n">
        <v>80</v>
      </c>
      <c r="E426" s="79" t="n">
        <v>68</v>
      </c>
      <c r="F426" s="79" t="n">
        <v>107</v>
      </c>
      <c r="G426" s="79" t="n">
        <v>100</v>
      </c>
      <c r="H426" s="79" t="n">
        <v>73</v>
      </c>
      <c r="I426" s="79" t="n">
        <v>104</v>
      </c>
      <c r="J426" s="79" t="n">
        <v>83</v>
      </c>
      <c r="K426" s="79" t="n">
        <v>50</v>
      </c>
      <c r="L426" s="79" t="n">
        <v>75</v>
      </c>
      <c r="M426" s="79" t="n">
        <v>63</v>
      </c>
      <c r="N426" s="79" t="n">
        <v>42</v>
      </c>
      <c r="O426" s="79" t="n">
        <v>65</v>
      </c>
      <c r="P426" s="79" t="n">
        <v>60</v>
      </c>
      <c r="Q426" s="79" t="n">
        <v>46</v>
      </c>
      <c r="R426" s="79" t="n">
        <v>72</v>
      </c>
      <c r="S426" s="79" t="n">
        <v>73</v>
      </c>
      <c r="T426" s="79" t="n">
        <v>55</v>
      </c>
      <c r="U426" s="79" t="n">
        <v>77</v>
      </c>
    </row>
    <row r="428" customFormat="false" ht="19.5" hidden="false" customHeight="true" outlineLevel="0" collapsed="false">
      <c r="A428" s="65" t="s">
        <v>431</v>
      </c>
      <c r="B428" s="65"/>
      <c r="C428" s="65"/>
      <c r="D428" s="65"/>
      <c r="E428" s="65"/>
      <c r="F428" s="65"/>
      <c r="G428" s="65"/>
      <c r="H428" s="65"/>
      <c r="I428" s="65"/>
      <c r="J428" s="65"/>
      <c r="K428" s="65"/>
      <c r="L428" s="65"/>
      <c r="M428" s="65"/>
      <c r="N428" s="65"/>
      <c r="O428" s="65"/>
      <c r="P428" s="65"/>
      <c r="Q428" s="65"/>
      <c r="R428" s="65"/>
      <c r="S428" s="65"/>
      <c r="T428" s="65"/>
      <c r="U428" s="65"/>
    </row>
    <row r="429" customFormat="false" ht="15" hidden="false" customHeight="true" outlineLevel="0" collapsed="false">
      <c r="A429" s="12" t="s">
        <v>513</v>
      </c>
      <c r="B429" s="12" t="s">
        <v>113</v>
      </c>
      <c r="C429" s="12" t="s">
        <v>114</v>
      </c>
      <c r="D429" s="12" t="s">
        <v>115</v>
      </c>
      <c r="E429" s="12" t="s">
        <v>116</v>
      </c>
      <c r="F429" s="12" t="s">
        <v>117</v>
      </c>
      <c r="G429" s="12" t="s">
        <v>118</v>
      </c>
      <c r="H429" s="12" t="s">
        <v>119</v>
      </c>
      <c r="I429" s="12" t="s">
        <v>120</v>
      </c>
      <c r="J429" s="12" t="s">
        <v>121</v>
      </c>
      <c r="K429" s="12" t="s">
        <v>122</v>
      </c>
      <c r="L429" s="12" t="s">
        <v>123</v>
      </c>
      <c r="M429" s="12" t="s">
        <v>124</v>
      </c>
      <c r="N429" s="12" t="s">
        <v>125</v>
      </c>
      <c r="O429" s="12" t="s">
        <v>126</v>
      </c>
      <c r="P429" s="12" t="s">
        <v>127</v>
      </c>
      <c r="Q429" s="12" t="s">
        <v>128</v>
      </c>
      <c r="R429" s="12" t="s">
        <v>129</v>
      </c>
      <c r="S429" s="12" t="s">
        <v>130</v>
      </c>
      <c r="T429" s="12" t="s">
        <v>131</v>
      </c>
      <c r="U429" s="12" t="s">
        <v>132</v>
      </c>
    </row>
    <row r="430" customFormat="false" ht="15" hidden="false" customHeight="true" outlineLevel="0" collapsed="false">
      <c r="A430" s="30" t="s">
        <v>114</v>
      </c>
      <c r="B430" s="76"/>
      <c r="C430" s="74" t="n">
        <v>18</v>
      </c>
      <c r="D430" s="74" t="n">
        <v>15</v>
      </c>
      <c r="E430" s="74" t="n">
        <v>11</v>
      </c>
      <c r="F430" s="74" t="n">
        <v>10</v>
      </c>
      <c r="G430" s="74" t="n">
        <v>10</v>
      </c>
      <c r="H430" s="74" t="n">
        <v>2</v>
      </c>
      <c r="I430" s="74" t="n">
        <v>1</v>
      </c>
      <c r="J430" s="74" t="n">
        <v>1</v>
      </c>
      <c r="K430" s="74" t="n">
        <v>0</v>
      </c>
      <c r="L430" s="74" t="n">
        <v>0</v>
      </c>
      <c r="M430" s="74" t="n">
        <v>0</v>
      </c>
      <c r="N430" s="74" t="n">
        <v>0</v>
      </c>
      <c r="O430" s="74" t="n">
        <v>0</v>
      </c>
      <c r="P430" s="74" t="n">
        <v>0</v>
      </c>
      <c r="Q430" s="74" t="n">
        <v>0</v>
      </c>
      <c r="R430" s="74" t="n">
        <v>0</v>
      </c>
      <c r="S430" s="74" t="n">
        <v>0</v>
      </c>
      <c r="T430" s="74" t="n">
        <v>0</v>
      </c>
      <c r="U430" s="74" t="n">
        <v>0</v>
      </c>
    </row>
    <row r="431" customFormat="false" ht="15" hidden="false" customHeight="true" outlineLevel="0" collapsed="false">
      <c r="A431" s="30" t="s">
        <v>115</v>
      </c>
      <c r="B431" s="76"/>
      <c r="C431" s="76"/>
      <c r="D431" s="74" t="n">
        <v>21</v>
      </c>
      <c r="E431" s="74" t="n">
        <v>19</v>
      </c>
      <c r="F431" s="74" t="n">
        <v>19</v>
      </c>
      <c r="G431" s="74" t="n">
        <v>17</v>
      </c>
      <c r="H431" s="74" t="n">
        <v>18</v>
      </c>
      <c r="I431" s="74" t="n">
        <v>6</v>
      </c>
      <c r="J431" s="74" t="n">
        <v>5</v>
      </c>
      <c r="K431" s="74" t="n">
        <v>1</v>
      </c>
      <c r="L431" s="74" t="n">
        <v>1</v>
      </c>
      <c r="M431" s="74" t="n">
        <v>1</v>
      </c>
      <c r="N431" s="74" t="n">
        <v>0</v>
      </c>
      <c r="O431" s="74" t="n">
        <v>0</v>
      </c>
      <c r="P431" s="74" t="n">
        <v>0</v>
      </c>
      <c r="Q431" s="74" t="n">
        <v>0</v>
      </c>
      <c r="R431" s="74" t="n">
        <v>0</v>
      </c>
      <c r="S431" s="74" t="n">
        <v>0</v>
      </c>
      <c r="T431" s="74" t="n">
        <v>0</v>
      </c>
      <c r="U431" s="74" t="n">
        <v>0</v>
      </c>
    </row>
    <row r="432" customFormat="false" ht="15" hidden="false" customHeight="true" outlineLevel="0" collapsed="false">
      <c r="A432" s="30" t="s">
        <v>117</v>
      </c>
      <c r="B432" s="76"/>
      <c r="C432" s="76"/>
      <c r="D432" s="76"/>
      <c r="E432" s="76"/>
      <c r="F432" s="74" t="n">
        <v>17</v>
      </c>
      <c r="G432" s="74" t="n">
        <v>14</v>
      </c>
      <c r="H432" s="74" t="n">
        <v>11</v>
      </c>
      <c r="I432" s="74" t="n">
        <v>11</v>
      </c>
      <c r="J432" s="74" t="n">
        <v>11</v>
      </c>
      <c r="K432" s="74" t="n">
        <v>2</v>
      </c>
      <c r="L432" s="74" t="n">
        <v>1</v>
      </c>
      <c r="M432" s="74" t="n">
        <v>1</v>
      </c>
      <c r="N432" s="74" t="n">
        <v>1</v>
      </c>
      <c r="O432" s="74" t="n">
        <v>1</v>
      </c>
      <c r="P432" s="74" t="n">
        <v>1</v>
      </c>
      <c r="Q432" s="74" t="n">
        <v>0</v>
      </c>
      <c r="R432" s="74" t="n">
        <v>0</v>
      </c>
      <c r="S432" s="74" t="n">
        <v>0</v>
      </c>
      <c r="T432" s="74" t="n">
        <v>0</v>
      </c>
      <c r="U432" s="74" t="n">
        <v>0</v>
      </c>
    </row>
    <row r="433" customFormat="false" ht="15" hidden="false" customHeight="true" outlineLevel="0" collapsed="false">
      <c r="A433" s="30" t="s">
        <v>118</v>
      </c>
      <c r="B433" s="76"/>
      <c r="C433" s="76"/>
      <c r="D433" s="76"/>
      <c r="E433" s="76"/>
      <c r="F433" s="76"/>
      <c r="G433" s="74" t="n">
        <v>10</v>
      </c>
      <c r="H433" s="74" t="n">
        <v>8</v>
      </c>
      <c r="I433" s="74" t="n">
        <v>8</v>
      </c>
      <c r="J433" s="74" t="n">
        <v>7</v>
      </c>
      <c r="K433" s="74" t="n">
        <v>8</v>
      </c>
      <c r="L433" s="74" t="n">
        <v>2</v>
      </c>
      <c r="M433" s="74" t="n">
        <v>1</v>
      </c>
      <c r="N433" s="74" t="n">
        <v>1</v>
      </c>
      <c r="O433" s="74" t="n">
        <v>0</v>
      </c>
      <c r="P433" s="74" t="n">
        <v>0</v>
      </c>
      <c r="Q433" s="74" t="n">
        <v>0</v>
      </c>
      <c r="R433" s="74" t="n">
        <v>0</v>
      </c>
      <c r="S433" s="74" t="n">
        <v>0</v>
      </c>
      <c r="T433" s="74" t="n">
        <v>0</v>
      </c>
      <c r="U433" s="74" t="n">
        <v>0</v>
      </c>
    </row>
    <row r="434" customFormat="false" ht="15" hidden="false" customHeight="true" outlineLevel="0" collapsed="false">
      <c r="A434" s="30" t="s">
        <v>120</v>
      </c>
      <c r="B434" s="76"/>
      <c r="C434" s="76"/>
      <c r="D434" s="76"/>
      <c r="E434" s="76"/>
      <c r="F434" s="76"/>
      <c r="G434" s="76"/>
      <c r="H434" s="76"/>
      <c r="I434" s="74" t="n">
        <v>10</v>
      </c>
      <c r="J434" s="74" t="n">
        <v>9</v>
      </c>
      <c r="K434" s="74" t="n">
        <v>7</v>
      </c>
      <c r="L434" s="74" t="n">
        <v>8</v>
      </c>
      <c r="M434" s="74" t="n">
        <v>8</v>
      </c>
      <c r="N434" s="74" t="n">
        <v>0</v>
      </c>
      <c r="O434" s="74" t="n">
        <v>1</v>
      </c>
      <c r="P434" s="74" t="n">
        <v>0</v>
      </c>
      <c r="Q434" s="74" t="n">
        <v>0</v>
      </c>
      <c r="R434" s="74" t="n">
        <v>0</v>
      </c>
      <c r="S434" s="74" t="n">
        <v>1</v>
      </c>
      <c r="T434" s="74" t="n">
        <v>0</v>
      </c>
      <c r="U434" s="74" t="n">
        <v>0</v>
      </c>
    </row>
    <row r="435" customFormat="false" ht="15" hidden="false" customHeight="true" outlineLevel="0" collapsed="false">
      <c r="A435" s="30" t="s">
        <v>121</v>
      </c>
      <c r="B435" s="76"/>
      <c r="C435" s="76"/>
      <c r="D435" s="76"/>
      <c r="E435" s="76"/>
      <c r="F435" s="76"/>
      <c r="G435" s="76"/>
      <c r="H435" s="76"/>
      <c r="I435" s="76"/>
      <c r="J435" s="74" t="n">
        <v>7</v>
      </c>
      <c r="K435" s="74" t="n">
        <v>6</v>
      </c>
      <c r="L435" s="74" t="n">
        <v>7</v>
      </c>
      <c r="M435" s="74" t="n">
        <v>6</v>
      </c>
      <c r="N435" s="74" t="n">
        <v>4</v>
      </c>
      <c r="O435" s="74" t="n">
        <v>1</v>
      </c>
      <c r="P435" s="74" t="n">
        <v>1</v>
      </c>
      <c r="Q435" s="74" t="n">
        <v>1</v>
      </c>
      <c r="R435" s="74" t="n">
        <v>0</v>
      </c>
      <c r="S435" s="74" t="n">
        <v>0</v>
      </c>
      <c r="T435" s="74" t="n">
        <v>0</v>
      </c>
      <c r="U435" s="74" t="n">
        <v>0</v>
      </c>
    </row>
    <row r="436" customFormat="false" ht="15" hidden="false" customHeight="true" outlineLevel="0" collapsed="false">
      <c r="A436" s="30" t="s">
        <v>123</v>
      </c>
      <c r="B436" s="76"/>
      <c r="C436" s="76"/>
      <c r="D436" s="76"/>
      <c r="E436" s="76"/>
      <c r="F436" s="76"/>
      <c r="G436" s="76"/>
      <c r="H436" s="76"/>
      <c r="I436" s="76"/>
      <c r="J436" s="76"/>
      <c r="K436" s="76"/>
      <c r="L436" s="74" t="n">
        <v>8</v>
      </c>
      <c r="M436" s="74" t="n">
        <v>5</v>
      </c>
      <c r="N436" s="74" t="n">
        <v>0</v>
      </c>
      <c r="O436" s="74" t="n">
        <v>3</v>
      </c>
      <c r="P436" s="74" t="n">
        <v>3</v>
      </c>
      <c r="Q436" s="74" t="n">
        <v>4</v>
      </c>
      <c r="R436" s="74" t="n">
        <v>2</v>
      </c>
      <c r="S436" s="74" t="n">
        <v>1</v>
      </c>
      <c r="T436" s="74" t="n">
        <v>0</v>
      </c>
      <c r="U436" s="74" t="n">
        <v>0</v>
      </c>
    </row>
    <row r="437" customFormat="false" ht="15" hidden="false" customHeight="true" outlineLevel="0" collapsed="false">
      <c r="A437" s="30" t="s">
        <v>124</v>
      </c>
      <c r="B437" s="76"/>
      <c r="C437" s="76"/>
      <c r="D437" s="76"/>
      <c r="E437" s="76"/>
      <c r="F437" s="76"/>
      <c r="G437" s="76"/>
      <c r="H437" s="76"/>
      <c r="I437" s="76"/>
      <c r="J437" s="76"/>
      <c r="K437" s="76"/>
      <c r="L437" s="76"/>
      <c r="M437" s="74" t="n">
        <v>12</v>
      </c>
      <c r="N437" s="74" t="n">
        <v>10</v>
      </c>
      <c r="O437" s="74" t="n">
        <v>9</v>
      </c>
      <c r="P437" s="74" t="n">
        <v>8</v>
      </c>
      <c r="Q437" s="74" t="n">
        <v>8</v>
      </c>
      <c r="R437" s="74" t="n">
        <v>1</v>
      </c>
      <c r="S437" s="74" t="n">
        <v>0</v>
      </c>
      <c r="T437" s="74" t="n">
        <v>0</v>
      </c>
      <c r="U437" s="74" t="n">
        <v>0</v>
      </c>
    </row>
    <row r="438" customFormat="false" ht="15" hidden="false" customHeight="true" outlineLevel="0" collapsed="false">
      <c r="A438" s="30" t="s">
        <v>126</v>
      </c>
      <c r="B438" s="76"/>
      <c r="C438" s="76"/>
      <c r="D438" s="76"/>
      <c r="E438" s="76"/>
      <c r="F438" s="76"/>
      <c r="G438" s="76"/>
      <c r="H438" s="76"/>
      <c r="I438" s="76"/>
      <c r="J438" s="76"/>
      <c r="K438" s="76"/>
      <c r="L438" s="76"/>
      <c r="M438" s="76"/>
      <c r="N438" s="76"/>
      <c r="O438" s="74" t="n">
        <v>11</v>
      </c>
      <c r="P438" s="74" t="n">
        <v>8</v>
      </c>
      <c r="Q438" s="74" t="n">
        <v>6</v>
      </c>
      <c r="R438" s="74" t="n">
        <v>6</v>
      </c>
      <c r="S438" s="74" t="n">
        <v>5</v>
      </c>
      <c r="T438" s="74" t="n">
        <v>1</v>
      </c>
      <c r="U438" s="74" t="n">
        <v>2</v>
      </c>
    </row>
    <row r="439" customFormat="false" ht="15" hidden="false" customHeight="true" outlineLevel="0" collapsed="false">
      <c r="A439" s="30" t="s">
        <v>127</v>
      </c>
      <c r="B439" s="76"/>
      <c r="C439" s="76"/>
      <c r="D439" s="76"/>
      <c r="E439" s="76"/>
      <c r="F439" s="76"/>
      <c r="G439" s="76"/>
      <c r="H439" s="76"/>
      <c r="I439" s="76"/>
      <c r="J439" s="76"/>
      <c r="K439" s="76"/>
      <c r="L439" s="76"/>
      <c r="M439" s="76"/>
      <c r="N439" s="76"/>
      <c r="O439" s="76"/>
      <c r="P439" s="74" t="n">
        <v>1</v>
      </c>
      <c r="Q439" s="74" t="n">
        <v>1</v>
      </c>
      <c r="R439" s="74" t="n">
        <v>1</v>
      </c>
      <c r="S439" s="74" t="n">
        <v>1</v>
      </c>
      <c r="T439" s="74" t="n">
        <v>1</v>
      </c>
      <c r="U439" s="74" t="n">
        <v>0</v>
      </c>
    </row>
    <row r="440" customFormat="false" ht="15" hidden="false" customHeight="true" outlineLevel="0" collapsed="false">
      <c r="A440" s="30" t="s">
        <v>129</v>
      </c>
      <c r="B440" s="76"/>
      <c r="C440" s="76"/>
      <c r="D440" s="76"/>
      <c r="E440" s="76"/>
      <c r="F440" s="76"/>
      <c r="G440" s="76"/>
      <c r="H440" s="76"/>
      <c r="I440" s="76"/>
      <c r="J440" s="76"/>
      <c r="K440" s="76"/>
      <c r="L440" s="76"/>
      <c r="M440" s="76"/>
      <c r="N440" s="76"/>
      <c r="O440" s="76"/>
      <c r="P440" s="76"/>
      <c r="Q440" s="76"/>
      <c r="R440" s="74" t="n">
        <v>8</v>
      </c>
      <c r="S440" s="74" t="n">
        <v>6</v>
      </c>
      <c r="T440" s="74" t="n">
        <v>7</v>
      </c>
      <c r="U440" s="74" t="n">
        <v>7</v>
      </c>
    </row>
    <row r="441" customFormat="false" ht="15" hidden="false" customHeight="true" outlineLevel="0" collapsed="false">
      <c r="A441" s="30" t="s">
        <v>130</v>
      </c>
      <c r="B441" s="76"/>
      <c r="C441" s="76"/>
      <c r="D441" s="76"/>
      <c r="E441" s="76"/>
      <c r="F441" s="76"/>
      <c r="G441" s="76"/>
      <c r="H441" s="76"/>
      <c r="I441" s="76"/>
      <c r="J441" s="76"/>
      <c r="K441" s="76"/>
      <c r="L441" s="76"/>
      <c r="M441" s="76"/>
      <c r="N441" s="76"/>
      <c r="O441" s="76"/>
      <c r="P441" s="76"/>
      <c r="Q441" s="76"/>
      <c r="R441" s="76"/>
      <c r="S441" s="74" t="n">
        <v>5</v>
      </c>
      <c r="T441" s="74" t="n">
        <v>3</v>
      </c>
      <c r="U441" s="74" t="n">
        <v>3</v>
      </c>
    </row>
    <row r="442" customFormat="false" ht="15" hidden="false" customHeight="true" outlineLevel="0" collapsed="false">
      <c r="A442" s="30" t="s">
        <v>132</v>
      </c>
      <c r="B442" s="76"/>
      <c r="C442" s="76"/>
      <c r="D442" s="76"/>
      <c r="E442" s="76"/>
      <c r="F442" s="76"/>
      <c r="G442" s="76"/>
      <c r="H442" s="76"/>
      <c r="I442" s="76"/>
      <c r="J442" s="76"/>
      <c r="K442" s="76"/>
      <c r="L442" s="76"/>
      <c r="M442" s="76"/>
      <c r="N442" s="76"/>
      <c r="O442" s="76"/>
      <c r="P442" s="76"/>
      <c r="Q442" s="76"/>
      <c r="R442" s="76"/>
      <c r="S442" s="76"/>
      <c r="T442" s="76"/>
      <c r="U442" s="74" t="n">
        <v>3</v>
      </c>
    </row>
    <row r="443" customFormat="false" ht="15" hidden="false" customHeight="true" outlineLevel="0" collapsed="false">
      <c r="A443" s="34" t="s">
        <v>514</v>
      </c>
      <c r="B443" s="79"/>
      <c r="C443" s="79" t="n">
        <v>18</v>
      </c>
      <c r="D443" s="79" t="n">
        <v>36</v>
      </c>
      <c r="E443" s="79" t="n">
        <v>30</v>
      </c>
      <c r="F443" s="79" t="n">
        <v>46</v>
      </c>
      <c r="G443" s="79" t="n">
        <v>51</v>
      </c>
      <c r="H443" s="79" t="n">
        <v>39</v>
      </c>
      <c r="I443" s="79" t="n">
        <v>36</v>
      </c>
      <c r="J443" s="79" t="n">
        <v>40</v>
      </c>
      <c r="K443" s="79" t="n">
        <v>24</v>
      </c>
      <c r="L443" s="79" t="n">
        <v>27</v>
      </c>
      <c r="M443" s="79" t="n">
        <v>34</v>
      </c>
      <c r="N443" s="79" t="n">
        <v>16</v>
      </c>
      <c r="O443" s="79" t="n">
        <v>26</v>
      </c>
      <c r="P443" s="79" t="n">
        <v>22</v>
      </c>
      <c r="Q443" s="79" t="n">
        <v>20</v>
      </c>
      <c r="R443" s="79" t="n">
        <v>18</v>
      </c>
      <c r="S443" s="79" t="n">
        <v>19</v>
      </c>
      <c r="T443" s="79" t="n">
        <v>12</v>
      </c>
      <c r="U443" s="79" t="n">
        <v>15</v>
      </c>
    </row>
    <row r="445" customFormat="false" ht="19.5" hidden="false" customHeight="true" outlineLevel="0" collapsed="false">
      <c r="A445" s="65" t="s">
        <v>432</v>
      </c>
      <c r="B445" s="65"/>
      <c r="C445" s="65"/>
      <c r="D445" s="65"/>
      <c r="E445" s="65"/>
      <c r="F445" s="65"/>
      <c r="G445" s="65"/>
      <c r="H445" s="65"/>
      <c r="I445" s="65"/>
      <c r="J445" s="65"/>
      <c r="K445" s="65"/>
      <c r="L445" s="65"/>
      <c r="M445" s="65"/>
      <c r="N445" s="65"/>
      <c r="O445" s="65"/>
      <c r="P445" s="65"/>
      <c r="Q445" s="65"/>
      <c r="R445" s="65"/>
      <c r="S445" s="65"/>
      <c r="T445" s="65"/>
      <c r="U445" s="65"/>
    </row>
    <row r="446" customFormat="false" ht="15" hidden="false" customHeight="true" outlineLevel="0" collapsed="false">
      <c r="A446" s="12" t="s">
        <v>513</v>
      </c>
      <c r="B446" s="12" t="s">
        <v>113</v>
      </c>
      <c r="C446" s="12" t="s">
        <v>114</v>
      </c>
      <c r="D446" s="12" t="s">
        <v>115</v>
      </c>
      <c r="E446" s="12" t="s">
        <v>116</v>
      </c>
      <c r="F446" s="12" t="s">
        <v>117</v>
      </c>
      <c r="G446" s="12" t="s">
        <v>118</v>
      </c>
      <c r="H446" s="12" t="s">
        <v>119</v>
      </c>
      <c r="I446" s="12" t="s">
        <v>120</v>
      </c>
      <c r="J446" s="12" t="s">
        <v>121</v>
      </c>
      <c r="K446" s="12" t="s">
        <v>122</v>
      </c>
      <c r="L446" s="12" t="s">
        <v>123</v>
      </c>
      <c r="M446" s="12" t="s">
        <v>124</v>
      </c>
      <c r="N446" s="12" t="s">
        <v>125</v>
      </c>
      <c r="O446" s="12" t="s">
        <v>126</v>
      </c>
      <c r="P446" s="12" t="s">
        <v>127</v>
      </c>
      <c r="Q446" s="12" t="s">
        <v>128</v>
      </c>
      <c r="R446" s="12" t="s">
        <v>129</v>
      </c>
      <c r="S446" s="12" t="s">
        <v>130</v>
      </c>
      <c r="T446" s="12" t="s">
        <v>131</v>
      </c>
      <c r="U446" s="12" t="s">
        <v>132</v>
      </c>
    </row>
    <row r="447" customFormat="false" ht="15" hidden="false" customHeight="true" outlineLevel="0" collapsed="false">
      <c r="A447" s="30" t="s">
        <v>117</v>
      </c>
      <c r="B447" s="76"/>
      <c r="C447" s="76"/>
      <c r="D447" s="76"/>
      <c r="E447" s="76"/>
      <c r="F447" s="74" t="n">
        <v>8</v>
      </c>
      <c r="G447" s="74" t="n">
        <v>8</v>
      </c>
      <c r="H447" s="74" t="n">
        <v>6</v>
      </c>
      <c r="I447" s="74" t="n">
        <v>6</v>
      </c>
      <c r="J447" s="74" t="n">
        <v>6</v>
      </c>
      <c r="K447" s="74" t="n">
        <v>5</v>
      </c>
      <c r="L447" s="74" t="n">
        <v>1</v>
      </c>
      <c r="M447" s="74" t="n">
        <v>0</v>
      </c>
      <c r="N447" s="74" t="n">
        <v>0</v>
      </c>
      <c r="O447" s="74" t="n">
        <v>0</v>
      </c>
      <c r="P447" s="74" t="n">
        <v>0</v>
      </c>
      <c r="Q447" s="74" t="n">
        <v>0</v>
      </c>
      <c r="R447" s="74" t="n">
        <v>0</v>
      </c>
      <c r="S447" s="74" t="n">
        <v>0</v>
      </c>
      <c r="T447" s="74" t="n">
        <v>0</v>
      </c>
      <c r="U447" s="74" t="n">
        <v>0</v>
      </c>
    </row>
    <row r="448" customFormat="false" ht="15" hidden="false" customHeight="true" outlineLevel="0" collapsed="false">
      <c r="A448" s="30" t="s">
        <v>118</v>
      </c>
      <c r="B448" s="76"/>
      <c r="C448" s="76"/>
      <c r="D448" s="76"/>
      <c r="E448" s="76"/>
      <c r="F448" s="76"/>
      <c r="G448" s="74" t="n">
        <v>13</v>
      </c>
      <c r="H448" s="74" t="n">
        <v>4</v>
      </c>
      <c r="I448" s="74" t="n">
        <v>4</v>
      </c>
      <c r="J448" s="74" t="n">
        <v>3</v>
      </c>
      <c r="K448" s="74" t="n">
        <v>2</v>
      </c>
      <c r="L448" s="74" t="n">
        <v>3</v>
      </c>
      <c r="M448" s="74" t="n">
        <v>0</v>
      </c>
      <c r="N448" s="74" t="n">
        <v>0</v>
      </c>
      <c r="O448" s="74" t="n">
        <v>1</v>
      </c>
      <c r="P448" s="74" t="n">
        <v>1</v>
      </c>
      <c r="Q448" s="74" t="n">
        <v>1</v>
      </c>
      <c r="R448" s="74" t="n">
        <v>0</v>
      </c>
      <c r="S448" s="74" t="n">
        <v>1</v>
      </c>
      <c r="T448" s="74" t="n">
        <v>1</v>
      </c>
      <c r="U448" s="74" t="n">
        <v>0</v>
      </c>
    </row>
    <row r="449" customFormat="false" ht="15" hidden="false" customHeight="true" outlineLevel="0" collapsed="false">
      <c r="A449" s="30" t="s">
        <v>120</v>
      </c>
      <c r="B449" s="76"/>
      <c r="C449" s="76"/>
      <c r="D449" s="76"/>
      <c r="E449" s="76"/>
      <c r="F449" s="76"/>
      <c r="G449" s="76"/>
      <c r="H449" s="76"/>
      <c r="I449" s="74" t="n">
        <v>12</v>
      </c>
      <c r="J449" s="74" t="n">
        <v>6</v>
      </c>
      <c r="K449" s="74" t="n">
        <v>4</v>
      </c>
      <c r="L449" s="74" t="n">
        <v>4</v>
      </c>
      <c r="M449" s="74" t="n">
        <v>4</v>
      </c>
      <c r="N449" s="74" t="n">
        <v>3</v>
      </c>
      <c r="O449" s="74" t="n">
        <v>3</v>
      </c>
      <c r="P449" s="74" t="n">
        <v>2</v>
      </c>
      <c r="Q449" s="74" t="n">
        <v>1</v>
      </c>
      <c r="R449" s="74" t="n">
        <v>1</v>
      </c>
      <c r="S449" s="74" t="n">
        <v>0</v>
      </c>
      <c r="T449" s="74" t="n">
        <v>0</v>
      </c>
      <c r="U449" s="74" t="n">
        <v>0</v>
      </c>
    </row>
    <row r="450" customFormat="false" ht="15" hidden="false" customHeight="true" outlineLevel="0" collapsed="false">
      <c r="A450" s="30" t="s">
        <v>121</v>
      </c>
      <c r="B450" s="76"/>
      <c r="C450" s="76"/>
      <c r="D450" s="76"/>
      <c r="E450" s="76"/>
      <c r="F450" s="76"/>
      <c r="G450" s="76"/>
      <c r="H450" s="76"/>
      <c r="I450" s="76"/>
      <c r="J450" s="74" t="n">
        <v>11</v>
      </c>
      <c r="K450" s="74" t="n">
        <v>9</v>
      </c>
      <c r="L450" s="74" t="n">
        <v>8</v>
      </c>
      <c r="M450" s="74" t="n">
        <v>7</v>
      </c>
      <c r="N450" s="74" t="n">
        <v>7</v>
      </c>
      <c r="O450" s="74" t="n">
        <v>2</v>
      </c>
      <c r="P450" s="74" t="n">
        <v>3</v>
      </c>
      <c r="Q450" s="74" t="n">
        <v>2</v>
      </c>
      <c r="R450" s="74" t="n">
        <v>1</v>
      </c>
      <c r="S450" s="74" t="n">
        <v>2</v>
      </c>
      <c r="T450" s="74" t="n">
        <v>2</v>
      </c>
      <c r="U450" s="74" t="n">
        <v>0</v>
      </c>
    </row>
    <row r="451" customFormat="false" ht="15" hidden="false" customHeight="true" outlineLevel="0" collapsed="false">
      <c r="A451" s="30" t="s">
        <v>123</v>
      </c>
      <c r="B451" s="76"/>
      <c r="C451" s="76"/>
      <c r="D451" s="76"/>
      <c r="E451" s="76"/>
      <c r="F451" s="76"/>
      <c r="G451" s="76"/>
      <c r="H451" s="76"/>
      <c r="I451" s="76"/>
      <c r="J451" s="76"/>
      <c r="K451" s="76"/>
      <c r="L451" s="74" t="n">
        <v>21</v>
      </c>
      <c r="M451" s="74" t="n">
        <v>16</v>
      </c>
      <c r="N451" s="74" t="n">
        <v>14</v>
      </c>
      <c r="O451" s="74" t="n">
        <v>14</v>
      </c>
      <c r="P451" s="74" t="n">
        <v>14</v>
      </c>
      <c r="Q451" s="74" t="n">
        <v>4</v>
      </c>
      <c r="R451" s="74" t="n">
        <v>1</v>
      </c>
      <c r="S451" s="74" t="n">
        <v>2</v>
      </c>
      <c r="T451" s="74" t="n">
        <v>2</v>
      </c>
      <c r="U451" s="74" t="n">
        <v>0</v>
      </c>
    </row>
    <row r="452" customFormat="false" ht="15" hidden="false" customHeight="true" outlineLevel="0" collapsed="false">
      <c r="A452" s="30" t="s">
        <v>124</v>
      </c>
      <c r="B452" s="76"/>
      <c r="C452" s="76"/>
      <c r="D452" s="76"/>
      <c r="E452" s="76"/>
      <c r="F452" s="76"/>
      <c r="G452" s="76"/>
      <c r="H452" s="76"/>
      <c r="I452" s="76"/>
      <c r="J452" s="76"/>
      <c r="K452" s="76"/>
      <c r="L452" s="76"/>
      <c r="M452" s="74" t="n">
        <v>26</v>
      </c>
      <c r="N452" s="74" t="n">
        <v>18</v>
      </c>
      <c r="O452" s="74" t="n">
        <v>18</v>
      </c>
      <c r="P452" s="74" t="n">
        <v>20</v>
      </c>
      <c r="Q452" s="74" t="n">
        <v>18</v>
      </c>
      <c r="R452" s="74" t="n">
        <v>8</v>
      </c>
      <c r="S452" s="74" t="n">
        <v>8</v>
      </c>
      <c r="T452" s="74" t="n">
        <v>4</v>
      </c>
      <c r="U452" s="74" t="n">
        <v>3</v>
      </c>
    </row>
    <row r="453" customFormat="false" ht="15" hidden="false" customHeight="true" outlineLevel="0" collapsed="false">
      <c r="A453" s="30" t="s">
        <v>126</v>
      </c>
      <c r="B453" s="76"/>
      <c r="C453" s="76"/>
      <c r="D453" s="76"/>
      <c r="E453" s="76"/>
      <c r="F453" s="76"/>
      <c r="G453" s="76"/>
      <c r="H453" s="76"/>
      <c r="I453" s="76"/>
      <c r="J453" s="76"/>
      <c r="K453" s="76"/>
      <c r="L453" s="76"/>
      <c r="M453" s="76"/>
      <c r="N453" s="76"/>
      <c r="O453" s="74" t="n">
        <v>25</v>
      </c>
      <c r="P453" s="74" t="n">
        <v>20</v>
      </c>
      <c r="Q453" s="74" t="n">
        <v>16</v>
      </c>
      <c r="R453" s="74" t="n">
        <v>16</v>
      </c>
      <c r="S453" s="74" t="n">
        <v>15</v>
      </c>
      <c r="T453" s="74" t="n">
        <v>5</v>
      </c>
      <c r="U453" s="74" t="n">
        <v>3</v>
      </c>
    </row>
    <row r="454" customFormat="false" ht="15" hidden="false" customHeight="true" outlineLevel="0" collapsed="false">
      <c r="A454" s="30" t="s">
        <v>127</v>
      </c>
      <c r="B454" s="76"/>
      <c r="C454" s="76"/>
      <c r="D454" s="76"/>
      <c r="E454" s="76"/>
      <c r="F454" s="76"/>
      <c r="G454" s="76"/>
      <c r="H454" s="76"/>
      <c r="I454" s="76"/>
      <c r="J454" s="76"/>
      <c r="K454" s="76"/>
      <c r="L454" s="76"/>
      <c r="M454" s="76"/>
      <c r="N454" s="76"/>
      <c r="O454" s="76"/>
      <c r="P454" s="74" t="n">
        <v>29</v>
      </c>
      <c r="Q454" s="74" t="n">
        <v>15</v>
      </c>
      <c r="R454" s="74" t="n">
        <v>16</v>
      </c>
      <c r="S454" s="74" t="n">
        <v>16</v>
      </c>
      <c r="T454" s="74" t="n">
        <v>16</v>
      </c>
      <c r="U454" s="74" t="n">
        <v>5</v>
      </c>
    </row>
    <row r="455" customFormat="false" ht="15" hidden="false" customHeight="true" outlineLevel="0" collapsed="false">
      <c r="A455" s="30" t="s">
        <v>129</v>
      </c>
      <c r="B455" s="76"/>
      <c r="C455" s="76"/>
      <c r="D455" s="76"/>
      <c r="E455" s="76"/>
      <c r="F455" s="76"/>
      <c r="G455" s="76"/>
      <c r="H455" s="76"/>
      <c r="I455" s="76"/>
      <c r="J455" s="76"/>
      <c r="K455" s="76"/>
      <c r="L455" s="76"/>
      <c r="M455" s="76"/>
      <c r="N455" s="76"/>
      <c r="O455" s="76"/>
      <c r="P455" s="76"/>
      <c r="Q455" s="76"/>
      <c r="R455" s="74" t="n">
        <v>28</v>
      </c>
      <c r="S455" s="74" t="n">
        <v>24</v>
      </c>
      <c r="T455" s="74" t="n">
        <v>18</v>
      </c>
      <c r="U455" s="74" t="n">
        <v>22</v>
      </c>
    </row>
    <row r="456" customFormat="false" ht="15" hidden="false" customHeight="true" outlineLevel="0" collapsed="false">
      <c r="A456" s="30" t="s">
        <v>130</v>
      </c>
      <c r="B456" s="76"/>
      <c r="C456" s="76"/>
      <c r="D456" s="76"/>
      <c r="E456" s="76"/>
      <c r="F456" s="76"/>
      <c r="G456" s="76"/>
      <c r="H456" s="76"/>
      <c r="I456" s="76"/>
      <c r="J456" s="76"/>
      <c r="K456" s="76"/>
      <c r="L456" s="76"/>
      <c r="M456" s="76"/>
      <c r="N456" s="76"/>
      <c r="O456" s="76"/>
      <c r="P456" s="76"/>
      <c r="Q456" s="76"/>
      <c r="R456" s="76"/>
      <c r="S456" s="74" t="n">
        <v>30</v>
      </c>
      <c r="T456" s="74" t="n">
        <v>17</v>
      </c>
      <c r="U456" s="74" t="n">
        <v>17</v>
      </c>
    </row>
    <row r="457" customFormat="false" ht="15" hidden="false" customHeight="true" outlineLevel="0" collapsed="false">
      <c r="A457" s="30" t="s">
        <v>132</v>
      </c>
      <c r="B457" s="76"/>
      <c r="C457" s="76"/>
      <c r="D457" s="76"/>
      <c r="E457" s="76"/>
      <c r="F457" s="76"/>
      <c r="G457" s="76"/>
      <c r="H457" s="76"/>
      <c r="I457" s="76"/>
      <c r="J457" s="76"/>
      <c r="K457" s="76"/>
      <c r="L457" s="76"/>
      <c r="M457" s="76"/>
      <c r="N457" s="76"/>
      <c r="O457" s="76"/>
      <c r="P457" s="76"/>
      <c r="Q457" s="76"/>
      <c r="R457" s="76"/>
      <c r="S457" s="76"/>
      <c r="T457" s="76"/>
      <c r="U457" s="74" t="n">
        <v>43</v>
      </c>
    </row>
    <row r="458" customFormat="false" ht="15" hidden="false" customHeight="true" outlineLevel="0" collapsed="false">
      <c r="A458" s="34" t="s">
        <v>514</v>
      </c>
      <c r="B458" s="79"/>
      <c r="C458" s="79"/>
      <c r="D458" s="79"/>
      <c r="E458" s="79"/>
      <c r="F458" s="79" t="n">
        <v>8</v>
      </c>
      <c r="G458" s="79" t="n">
        <v>21</v>
      </c>
      <c r="H458" s="79" t="n">
        <v>10</v>
      </c>
      <c r="I458" s="79" t="n">
        <v>22</v>
      </c>
      <c r="J458" s="79" t="n">
        <v>26</v>
      </c>
      <c r="K458" s="79" t="n">
        <v>20</v>
      </c>
      <c r="L458" s="79" t="n">
        <v>37</v>
      </c>
      <c r="M458" s="79" t="n">
        <v>53</v>
      </c>
      <c r="N458" s="79" t="n">
        <v>42</v>
      </c>
      <c r="O458" s="79" t="n">
        <v>63</v>
      </c>
      <c r="P458" s="79" t="n">
        <v>89</v>
      </c>
      <c r="Q458" s="79" t="n">
        <v>57</v>
      </c>
      <c r="R458" s="79" t="n">
        <v>71</v>
      </c>
      <c r="S458" s="79" t="n">
        <v>98</v>
      </c>
      <c r="T458" s="79" t="n">
        <v>65</v>
      </c>
      <c r="U458" s="79" t="n">
        <v>93</v>
      </c>
    </row>
    <row r="460" customFormat="false" ht="19.5" hidden="false" customHeight="true" outlineLevel="0" collapsed="false">
      <c r="A460" s="65" t="s">
        <v>433</v>
      </c>
      <c r="B460" s="65"/>
      <c r="C460" s="65"/>
      <c r="D460" s="65"/>
      <c r="E460" s="65"/>
      <c r="F460" s="65"/>
      <c r="G460" s="65"/>
      <c r="H460" s="65"/>
      <c r="I460" s="65"/>
      <c r="J460" s="65"/>
      <c r="K460" s="65"/>
      <c r="L460" s="65"/>
      <c r="M460" s="65"/>
      <c r="N460" s="65"/>
      <c r="O460" s="65"/>
      <c r="P460" s="65"/>
      <c r="Q460" s="65"/>
      <c r="R460" s="65"/>
      <c r="S460" s="65"/>
      <c r="T460" s="65"/>
      <c r="U460" s="65"/>
    </row>
    <row r="461" customFormat="false" ht="15" hidden="false" customHeight="true" outlineLevel="0" collapsed="false">
      <c r="A461" s="12" t="s">
        <v>513</v>
      </c>
      <c r="B461" s="12" t="s">
        <v>113</v>
      </c>
      <c r="C461" s="12" t="s">
        <v>114</v>
      </c>
      <c r="D461" s="12" t="s">
        <v>115</v>
      </c>
      <c r="E461" s="12" t="s">
        <v>116</v>
      </c>
      <c r="F461" s="12" t="s">
        <v>117</v>
      </c>
      <c r="G461" s="12" t="s">
        <v>118</v>
      </c>
      <c r="H461" s="12" t="s">
        <v>119</v>
      </c>
      <c r="I461" s="12" t="s">
        <v>120</v>
      </c>
      <c r="J461" s="12" t="s">
        <v>121</v>
      </c>
      <c r="K461" s="12" t="s">
        <v>122</v>
      </c>
      <c r="L461" s="12" t="s">
        <v>123</v>
      </c>
      <c r="M461" s="12" t="s">
        <v>124</v>
      </c>
      <c r="N461" s="12" t="s">
        <v>125</v>
      </c>
      <c r="O461" s="12" t="s">
        <v>126</v>
      </c>
      <c r="P461" s="12" t="s">
        <v>127</v>
      </c>
      <c r="Q461" s="12" t="s">
        <v>128</v>
      </c>
      <c r="R461" s="12" t="s">
        <v>129</v>
      </c>
      <c r="S461" s="12" t="s">
        <v>130</v>
      </c>
      <c r="T461" s="12" t="s">
        <v>131</v>
      </c>
      <c r="U461" s="12" t="s">
        <v>132</v>
      </c>
    </row>
    <row r="462" customFormat="false" ht="15" hidden="false" customHeight="true" outlineLevel="0" collapsed="false">
      <c r="A462" s="30" t="s">
        <v>113</v>
      </c>
      <c r="B462" s="74" t="n">
        <v>3</v>
      </c>
      <c r="C462" s="74" t="n">
        <v>3</v>
      </c>
      <c r="D462" s="74" t="n">
        <v>3</v>
      </c>
      <c r="E462" s="74" t="n">
        <v>3</v>
      </c>
      <c r="F462" s="74" t="n">
        <v>3</v>
      </c>
      <c r="G462" s="74" t="n">
        <v>3</v>
      </c>
      <c r="H462" s="74" t="n">
        <v>0</v>
      </c>
      <c r="I462" s="74" t="n">
        <v>0</v>
      </c>
      <c r="J462" s="74" t="n">
        <v>0</v>
      </c>
      <c r="K462" s="74" t="n">
        <v>0</v>
      </c>
      <c r="L462" s="74" t="n">
        <v>0</v>
      </c>
      <c r="M462" s="74" t="n">
        <v>0</v>
      </c>
      <c r="N462" s="74" t="n">
        <v>0</v>
      </c>
      <c r="O462" s="74" t="n">
        <v>0</v>
      </c>
      <c r="P462" s="74" t="n">
        <v>0</v>
      </c>
      <c r="Q462" s="74" t="n">
        <v>0</v>
      </c>
      <c r="R462" s="74" t="n">
        <v>0</v>
      </c>
      <c r="S462" s="74" t="n">
        <v>0</v>
      </c>
      <c r="T462" s="74" t="n">
        <v>0</v>
      </c>
      <c r="U462" s="74" t="n">
        <v>0</v>
      </c>
    </row>
    <row r="463" customFormat="false" ht="15" hidden="false" customHeight="true" outlineLevel="0" collapsed="false">
      <c r="A463" s="30" t="s">
        <v>114</v>
      </c>
      <c r="B463" s="76"/>
      <c r="C463" s="74" t="n">
        <v>6</v>
      </c>
      <c r="D463" s="74" t="n">
        <v>5</v>
      </c>
      <c r="E463" s="74" t="n">
        <v>3</v>
      </c>
      <c r="F463" s="74" t="n">
        <v>5</v>
      </c>
      <c r="G463" s="74" t="n">
        <v>4</v>
      </c>
      <c r="H463" s="74" t="n">
        <v>3</v>
      </c>
      <c r="I463" s="74" t="n">
        <v>3</v>
      </c>
      <c r="J463" s="74" t="n">
        <v>2</v>
      </c>
      <c r="K463" s="74" t="n">
        <v>1</v>
      </c>
      <c r="L463" s="74" t="n">
        <v>1</v>
      </c>
      <c r="M463" s="74" t="n">
        <v>0</v>
      </c>
      <c r="N463" s="74" t="n">
        <v>0</v>
      </c>
      <c r="O463" s="74" t="n">
        <v>0</v>
      </c>
      <c r="P463" s="74" t="n">
        <v>0</v>
      </c>
      <c r="Q463" s="74" t="n">
        <v>0</v>
      </c>
      <c r="R463" s="74" t="n">
        <v>0</v>
      </c>
      <c r="S463" s="74" t="n">
        <v>0</v>
      </c>
      <c r="T463" s="74" t="n">
        <v>0</v>
      </c>
      <c r="U463" s="74" t="n">
        <v>0</v>
      </c>
    </row>
    <row r="464" customFormat="false" ht="15" hidden="false" customHeight="true" outlineLevel="0" collapsed="false">
      <c r="A464" s="30" t="s">
        <v>115</v>
      </c>
      <c r="B464" s="76"/>
      <c r="C464" s="76"/>
      <c r="D464" s="74" t="n">
        <v>3</v>
      </c>
      <c r="E464" s="74" t="n">
        <v>3</v>
      </c>
      <c r="F464" s="74" t="n">
        <v>3</v>
      </c>
      <c r="G464" s="74" t="n">
        <v>3</v>
      </c>
      <c r="H464" s="74" t="n">
        <v>3</v>
      </c>
      <c r="I464" s="74" t="n">
        <v>3</v>
      </c>
      <c r="J464" s="74" t="n">
        <v>0</v>
      </c>
      <c r="K464" s="74" t="n">
        <v>0</v>
      </c>
      <c r="L464" s="74" t="n">
        <v>0</v>
      </c>
      <c r="M464" s="74" t="n">
        <v>0</v>
      </c>
      <c r="N464" s="74" t="n">
        <v>0</v>
      </c>
      <c r="O464" s="74" t="n">
        <v>0</v>
      </c>
      <c r="P464" s="74" t="n">
        <v>0</v>
      </c>
      <c r="Q464" s="74" t="n">
        <v>0</v>
      </c>
      <c r="R464" s="74" t="n">
        <v>0</v>
      </c>
      <c r="S464" s="74" t="n">
        <v>0</v>
      </c>
      <c r="T464" s="74" t="n">
        <v>0</v>
      </c>
      <c r="U464" s="74" t="n">
        <v>0</v>
      </c>
    </row>
    <row r="465" customFormat="false" ht="15" hidden="false" customHeight="true" outlineLevel="0" collapsed="false">
      <c r="A465" s="30" t="s">
        <v>117</v>
      </c>
      <c r="B465" s="76"/>
      <c r="C465" s="76"/>
      <c r="D465" s="76"/>
      <c r="E465" s="76"/>
      <c r="F465" s="74" t="n">
        <v>9</v>
      </c>
      <c r="G465" s="74" t="n">
        <v>8</v>
      </c>
      <c r="H465" s="74" t="n">
        <v>7</v>
      </c>
      <c r="I465" s="74" t="n">
        <v>8</v>
      </c>
      <c r="J465" s="74" t="n">
        <v>7</v>
      </c>
      <c r="K465" s="74" t="n">
        <v>2</v>
      </c>
      <c r="L465" s="74" t="n">
        <v>0</v>
      </c>
      <c r="M465" s="74" t="n">
        <v>0</v>
      </c>
      <c r="N465" s="74" t="n">
        <v>0</v>
      </c>
      <c r="O465" s="74" t="n">
        <v>0</v>
      </c>
      <c r="P465" s="74" t="n">
        <v>1</v>
      </c>
      <c r="Q465" s="74" t="n">
        <v>0</v>
      </c>
      <c r="R465" s="74" t="n">
        <v>0</v>
      </c>
      <c r="S465" s="74" t="n">
        <v>0</v>
      </c>
      <c r="T465" s="74" t="n">
        <v>0</v>
      </c>
      <c r="U465" s="74" t="n">
        <v>0</v>
      </c>
    </row>
    <row r="466" customFormat="false" ht="15" hidden="false" customHeight="true" outlineLevel="0" collapsed="false">
      <c r="A466" s="30" t="s">
        <v>118</v>
      </c>
      <c r="B466" s="76"/>
      <c r="C466" s="76"/>
      <c r="D466" s="76"/>
      <c r="E466" s="76"/>
      <c r="F466" s="76"/>
      <c r="G466" s="74" t="n">
        <v>7</v>
      </c>
      <c r="H466" s="74" t="n">
        <v>3</v>
      </c>
      <c r="I466" s="74" t="n">
        <v>3</v>
      </c>
      <c r="J466" s="74" t="n">
        <v>4</v>
      </c>
      <c r="K466" s="74" t="n">
        <v>3</v>
      </c>
      <c r="L466" s="74" t="n">
        <v>3</v>
      </c>
      <c r="M466" s="74" t="n">
        <v>4</v>
      </c>
      <c r="N466" s="74" t="n">
        <v>2</v>
      </c>
      <c r="O466" s="74" t="n">
        <v>2</v>
      </c>
      <c r="P466" s="74" t="n">
        <v>2</v>
      </c>
      <c r="Q466" s="74" t="n">
        <v>2</v>
      </c>
      <c r="R466" s="74" t="n">
        <v>1</v>
      </c>
      <c r="S466" s="74" t="n">
        <v>0</v>
      </c>
      <c r="T466" s="74" t="n">
        <v>0</v>
      </c>
      <c r="U466" s="74" t="n">
        <v>0</v>
      </c>
    </row>
    <row r="467" customFormat="false" ht="15" hidden="false" customHeight="true" outlineLevel="0" collapsed="false">
      <c r="A467" s="30" t="s">
        <v>120</v>
      </c>
      <c r="B467" s="76"/>
      <c r="C467" s="76"/>
      <c r="D467" s="76"/>
      <c r="E467" s="76"/>
      <c r="F467" s="76"/>
      <c r="G467" s="76"/>
      <c r="H467" s="76"/>
      <c r="I467" s="74" t="n">
        <v>9</v>
      </c>
      <c r="J467" s="74" t="n">
        <v>6</v>
      </c>
      <c r="K467" s="74" t="n">
        <v>6</v>
      </c>
      <c r="L467" s="74" t="n">
        <v>6</v>
      </c>
      <c r="M467" s="74" t="n">
        <v>7</v>
      </c>
      <c r="N467" s="74" t="n">
        <v>2</v>
      </c>
      <c r="O467" s="74" t="n">
        <v>2</v>
      </c>
      <c r="P467" s="74" t="n">
        <v>1</v>
      </c>
      <c r="Q467" s="74" t="n">
        <v>1</v>
      </c>
      <c r="R467" s="74" t="n">
        <v>1</v>
      </c>
      <c r="S467" s="74" t="n">
        <v>0</v>
      </c>
      <c r="T467" s="74" t="n">
        <v>1</v>
      </c>
      <c r="U467" s="74" t="n">
        <v>1</v>
      </c>
    </row>
    <row r="468" customFormat="false" ht="15" hidden="false" customHeight="true" outlineLevel="0" collapsed="false">
      <c r="A468" s="30" t="s">
        <v>121</v>
      </c>
      <c r="B468" s="76"/>
      <c r="C468" s="76"/>
      <c r="D468" s="76"/>
      <c r="E468" s="76"/>
      <c r="F468" s="76"/>
      <c r="G468" s="76"/>
      <c r="H468" s="76"/>
      <c r="I468" s="76"/>
      <c r="J468" s="74" t="n">
        <v>11</v>
      </c>
      <c r="K468" s="74" t="n">
        <v>7</v>
      </c>
      <c r="L468" s="74" t="n">
        <v>6</v>
      </c>
      <c r="M468" s="74" t="n">
        <v>7</v>
      </c>
      <c r="N468" s="74" t="n">
        <v>5</v>
      </c>
      <c r="O468" s="74" t="n">
        <v>3</v>
      </c>
      <c r="P468" s="74" t="n">
        <v>1</v>
      </c>
      <c r="Q468" s="74" t="n">
        <v>0</v>
      </c>
      <c r="R468" s="74" t="n">
        <v>0</v>
      </c>
      <c r="S468" s="74" t="n">
        <v>0</v>
      </c>
      <c r="T468" s="74" t="n">
        <v>0</v>
      </c>
      <c r="U468" s="74" t="n">
        <v>0</v>
      </c>
    </row>
    <row r="469" customFormat="false" ht="15" hidden="false" customHeight="true" outlineLevel="0" collapsed="false">
      <c r="A469" s="30" t="s">
        <v>123</v>
      </c>
      <c r="B469" s="76"/>
      <c r="C469" s="76"/>
      <c r="D469" s="76"/>
      <c r="E469" s="76"/>
      <c r="F469" s="76"/>
      <c r="G469" s="76"/>
      <c r="H469" s="76"/>
      <c r="I469" s="76"/>
      <c r="J469" s="76"/>
      <c r="K469" s="76"/>
      <c r="L469" s="74" t="n">
        <v>21</v>
      </c>
      <c r="M469" s="74" t="n">
        <v>20</v>
      </c>
      <c r="N469" s="74" t="n">
        <v>15</v>
      </c>
      <c r="O469" s="74" t="n">
        <v>14</v>
      </c>
      <c r="P469" s="74" t="n">
        <v>13</v>
      </c>
      <c r="Q469" s="74" t="n">
        <v>7</v>
      </c>
      <c r="R469" s="74" t="n">
        <v>1</v>
      </c>
      <c r="S469" s="74" t="n">
        <v>2</v>
      </c>
      <c r="T469" s="74" t="n">
        <v>1</v>
      </c>
      <c r="U469" s="74" t="n">
        <v>1</v>
      </c>
    </row>
    <row r="470" customFormat="false" ht="15" hidden="false" customHeight="true" outlineLevel="0" collapsed="false">
      <c r="A470" s="30" t="s">
        <v>124</v>
      </c>
      <c r="B470" s="76"/>
      <c r="C470" s="76"/>
      <c r="D470" s="76"/>
      <c r="E470" s="76"/>
      <c r="F470" s="76"/>
      <c r="G470" s="76"/>
      <c r="H470" s="76"/>
      <c r="I470" s="76"/>
      <c r="J470" s="76"/>
      <c r="K470" s="76"/>
      <c r="L470" s="76"/>
      <c r="M470" s="74" t="n">
        <v>13</v>
      </c>
      <c r="N470" s="74" t="n">
        <v>9</v>
      </c>
      <c r="O470" s="74" t="n">
        <v>8</v>
      </c>
      <c r="P470" s="74" t="n">
        <v>9</v>
      </c>
      <c r="Q470" s="74" t="n">
        <v>7</v>
      </c>
      <c r="R470" s="74" t="n">
        <v>4</v>
      </c>
      <c r="S470" s="74" t="n">
        <v>2</v>
      </c>
      <c r="T470" s="74" t="n">
        <v>1</v>
      </c>
      <c r="U470" s="74" t="n">
        <v>2</v>
      </c>
    </row>
    <row r="471" customFormat="false" ht="15" hidden="false" customHeight="true" outlineLevel="0" collapsed="false">
      <c r="A471" s="30" t="s">
        <v>125</v>
      </c>
      <c r="B471" s="76"/>
      <c r="C471" s="76"/>
      <c r="D471" s="76"/>
      <c r="E471" s="76"/>
      <c r="F471" s="76"/>
      <c r="G471" s="76"/>
      <c r="H471" s="76"/>
      <c r="I471" s="76"/>
      <c r="J471" s="76"/>
      <c r="K471" s="76"/>
      <c r="L471" s="76"/>
      <c r="M471" s="76"/>
      <c r="N471" s="74" t="n">
        <v>1</v>
      </c>
      <c r="O471" s="74" t="n">
        <v>1</v>
      </c>
      <c r="P471" s="74" t="n">
        <v>1</v>
      </c>
      <c r="Q471" s="74" t="n">
        <v>1</v>
      </c>
      <c r="R471" s="74" t="n">
        <v>1</v>
      </c>
      <c r="S471" s="74" t="n">
        <v>1</v>
      </c>
      <c r="T471" s="74" t="n">
        <v>1</v>
      </c>
      <c r="U471" s="74" t="n">
        <v>0</v>
      </c>
    </row>
    <row r="472" customFormat="false" ht="15" hidden="false" customHeight="true" outlineLevel="0" collapsed="false">
      <c r="A472" s="30" t="s">
        <v>126</v>
      </c>
      <c r="B472" s="76"/>
      <c r="C472" s="76"/>
      <c r="D472" s="76"/>
      <c r="E472" s="76"/>
      <c r="F472" s="76"/>
      <c r="G472" s="76"/>
      <c r="H472" s="76"/>
      <c r="I472" s="76"/>
      <c r="J472" s="76"/>
      <c r="K472" s="76"/>
      <c r="L472" s="76"/>
      <c r="M472" s="76"/>
      <c r="N472" s="76"/>
      <c r="O472" s="74" t="n">
        <v>19</v>
      </c>
      <c r="P472" s="74" t="n">
        <v>11</v>
      </c>
      <c r="Q472" s="74" t="n">
        <v>9</v>
      </c>
      <c r="R472" s="74" t="n">
        <v>12</v>
      </c>
      <c r="S472" s="74" t="n">
        <v>12</v>
      </c>
      <c r="T472" s="74" t="n">
        <v>5</v>
      </c>
      <c r="U472" s="74" t="n">
        <v>2</v>
      </c>
    </row>
    <row r="473" customFormat="false" ht="15" hidden="false" customHeight="true" outlineLevel="0" collapsed="false">
      <c r="A473" s="30" t="s">
        <v>127</v>
      </c>
      <c r="B473" s="76"/>
      <c r="C473" s="76"/>
      <c r="D473" s="76"/>
      <c r="E473" s="76"/>
      <c r="F473" s="76"/>
      <c r="G473" s="76"/>
      <c r="H473" s="76"/>
      <c r="I473" s="76"/>
      <c r="J473" s="76"/>
      <c r="K473" s="76"/>
      <c r="L473" s="76"/>
      <c r="M473" s="76"/>
      <c r="N473" s="76"/>
      <c r="O473" s="76"/>
      <c r="P473" s="74" t="n">
        <v>15</v>
      </c>
      <c r="Q473" s="74" t="n">
        <v>9</v>
      </c>
      <c r="R473" s="74" t="n">
        <v>8</v>
      </c>
      <c r="S473" s="74" t="n">
        <v>7</v>
      </c>
      <c r="T473" s="74" t="n">
        <v>6</v>
      </c>
      <c r="U473" s="74" t="n">
        <v>2</v>
      </c>
    </row>
    <row r="474" customFormat="false" ht="15" hidden="false" customHeight="true" outlineLevel="0" collapsed="false">
      <c r="A474" s="30" t="s">
        <v>129</v>
      </c>
      <c r="B474" s="76"/>
      <c r="C474" s="76"/>
      <c r="D474" s="76"/>
      <c r="E474" s="76"/>
      <c r="F474" s="76"/>
      <c r="G474" s="76"/>
      <c r="H474" s="76"/>
      <c r="I474" s="76"/>
      <c r="J474" s="76"/>
      <c r="K474" s="76"/>
      <c r="L474" s="76"/>
      <c r="M474" s="76"/>
      <c r="N474" s="76"/>
      <c r="O474" s="76"/>
      <c r="P474" s="76"/>
      <c r="Q474" s="76"/>
      <c r="R474" s="74" t="n">
        <v>22</v>
      </c>
      <c r="S474" s="74" t="n">
        <v>20</v>
      </c>
      <c r="T474" s="74" t="n">
        <v>15</v>
      </c>
      <c r="U474" s="74" t="n">
        <v>18</v>
      </c>
    </row>
    <row r="475" customFormat="false" ht="15" hidden="false" customHeight="true" outlineLevel="0" collapsed="false">
      <c r="A475" s="30" t="s">
        <v>130</v>
      </c>
      <c r="B475" s="76"/>
      <c r="C475" s="76"/>
      <c r="D475" s="76"/>
      <c r="E475" s="76"/>
      <c r="F475" s="76"/>
      <c r="G475" s="76"/>
      <c r="H475" s="76"/>
      <c r="I475" s="76"/>
      <c r="J475" s="76"/>
      <c r="K475" s="76"/>
      <c r="L475" s="76"/>
      <c r="M475" s="76"/>
      <c r="N475" s="76"/>
      <c r="O475" s="76"/>
      <c r="P475" s="76"/>
      <c r="Q475" s="76"/>
      <c r="R475" s="76"/>
      <c r="S475" s="74" t="n">
        <v>16</v>
      </c>
      <c r="T475" s="74" t="n">
        <v>11</v>
      </c>
      <c r="U475" s="74" t="n">
        <v>13</v>
      </c>
    </row>
    <row r="476" customFormat="false" ht="15" hidden="false" customHeight="true" outlineLevel="0" collapsed="false">
      <c r="A476" s="30" t="s">
        <v>132</v>
      </c>
      <c r="B476" s="76"/>
      <c r="C476" s="76"/>
      <c r="D476" s="76"/>
      <c r="E476" s="76"/>
      <c r="F476" s="76"/>
      <c r="G476" s="76"/>
      <c r="H476" s="76"/>
      <c r="I476" s="76"/>
      <c r="J476" s="76"/>
      <c r="K476" s="76"/>
      <c r="L476" s="76"/>
      <c r="M476" s="76"/>
      <c r="N476" s="76"/>
      <c r="O476" s="76"/>
      <c r="P476" s="76"/>
      <c r="Q476" s="76"/>
      <c r="R476" s="76"/>
      <c r="S476" s="76"/>
      <c r="T476" s="76"/>
      <c r="U476" s="74" t="n">
        <v>20</v>
      </c>
    </row>
    <row r="477" customFormat="false" ht="15" hidden="false" customHeight="true" outlineLevel="0" collapsed="false">
      <c r="A477" s="34" t="s">
        <v>514</v>
      </c>
      <c r="B477" s="79" t="n">
        <v>3</v>
      </c>
      <c r="C477" s="79" t="n">
        <v>9</v>
      </c>
      <c r="D477" s="79" t="n">
        <v>11</v>
      </c>
      <c r="E477" s="79" t="n">
        <v>9</v>
      </c>
      <c r="F477" s="79" t="n">
        <v>20</v>
      </c>
      <c r="G477" s="79" t="n">
        <v>25</v>
      </c>
      <c r="H477" s="79" t="n">
        <v>16</v>
      </c>
      <c r="I477" s="79" t="n">
        <v>26</v>
      </c>
      <c r="J477" s="79" t="n">
        <v>30</v>
      </c>
      <c r="K477" s="79" t="n">
        <v>19</v>
      </c>
      <c r="L477" s="79" t="n">
        <v>37</v>
      </c>
      <c r="M477" s="79" t="n">
        <v>51</v>
      </c>
      <c r="N477" s="79" t="n">
        <v>34</v>
      </c>
      <c r="O477" s="79" t="n">
        <v>49</v>
      </c>
      <c r="P477" s="79" t="n">
        <v>54</v>
      </c>
      <c r="Q477" s="79" t="n">
        <v>36</v>
      </c>
      <c r="R477" s="79" t="n">
        <v>50</v>
      </c>
      <c r="S477" s="79" t="n">
        <v>60</v>
      </c>
      <c r="T477" s="79" t="n">
        <v>41</v>
      </c>
      <c r="U477" s="79" t="n">
        <v>59</v>
      </c>
    </row>
    <row r="479" customFormat="false" ht="19.5" hidden="false" customHeight="true" outlineLevel="0" collapsed="false">
      <c r="A479" s="65" t="s">
        <v>434</v>
      </c>
      <c r="B479" s="65"/>
      <c r="C479" s="65"/>
      <c r="D479" s="65"/>
      <c r="E479" s="65"/>
      <c r="F479" s="65"/>
      <c r="G479" s="65"/>
      <c r="H479" s="65"/>
      <c r="I479" s="65"/>
      <c r="J479" s="65"/>
      <c r="K479" s="65"/>
      <c r="L479" s="65"/>
      <c r="M479" s="65"/>
      <c r="N479" s="65"/>
      <c r="O479" s="65"/>
      <c r="P479" s="65"/>
      <c r="Q479" s="65"/>
      <c r="R479" s="65"/>
      <c r="S479" s="65"/>
      <c r="T479" s="65"/>
      <c r="U479" s="65"/>
    </row>
    <row r="480" customFormat="false" ht="15" hidden="false" customHeight="true" outlineLevel="0" collapsed="false">
      <c r="A480" s="12" t="s">
        <v>513</v>
      </c>
      <c r="B480" s="12" t="s">
        <v>113</v>
      </c>
      <c r="C480" s="12" t="s">
        <v>114</v>
      </c>
      <c r="D480" s="12" t="s">
        <v>115</v>
      </c>
      <c r="E480" s="12" t="s">
        <v>116</v>
      </c>
      <c r="F480" s="12" t="s">
        <v>117</v>
      </c>
      <c r="G480" s="12" t="s">
        <v>118</v>
      </c>
      <c r="H480" s="12" t="s">
        <v>119</v>
      </c>
      <c r="I480" s="12" t="s">
        <v>120</v>
      </c>
      <c r="J480" s="12" t="s">
        <v>121</v>
      </c>
      <c r="K480" s="12" t="s">
        <v>122</v>
      </c>
      <c r="L480" s="12" t="s">
        <v>123</v>
      </c>
      <c r="M480" s="12" t="s">
        <v>124</v>
      </c>
      <c r="N480" s="12" t="s">
        <v>125</v>
      </c>
      <c r="O480" s="12" t="s">
        <v>126</v>
      </c>
      <c r="P480" s="12" t="s">
        <v>127</v>
      </c>
      <c r="Q480" s="12" t="s">
        <v>128</v>
      </c>
      <c r="R480" s="12" t="s">
        <v>129</v>
      </c>
      <c r="S480" s="12" t="s">
        <v>130</v>
      </c>
      <c r="T480" s="12" t="s">
        <v>131</v>
      </c>
      <c r="U480" s="12" t="s">
        <v>132</v>
      </c>
    </row>
    <row r="481" customFormat="false" ht="15" hidden="false" customHeight="true" outlineLevel="0" collapsed="false">
      <c r="A481" s="30" t="s">
        <v>120</v>
      </c>
      <c r="B481" s="76"/>
      <c r="C481" s="76"/>
      <c r="D481" s="76"/>
      <c r="E481" s="76"/>
      <c r="F481" s="76"/>
      <c r="G481" s="76"/>
      <c r="H481" s="76"/>
      <c r="I481" s="74" t="n">
        <v>10</v>
      </c>
      <c r="J481" s="74" t="n">
        <v>9</v>
      </c>
      <c r="K481" s="74" t="n">
        <v>7</v>
      </c>
      <c r="L481" s="74" t="n">
        <v>9</v>
      </c>
      <c r="M481" s="74" t="n">
        <v>3</v>
      </c>
      <c r="N481" s="74" t="n">
        <v>1</v>
      </c>
      <c r="O481" s="74" t="n">
        <v>1</v>
      </c>
      <c r="P481" s="74" t="n">
        <v>0</v>
      </c>
      <c r="Q481" s="74" t="n">
        <v>0</v>
      </c>
      <c r="R481" s="74" t="n">
        <v>1</v>
      </c>
      <c r="S481" s="74" t="n">
        <v>0</v>
      </c>
      <c r="T481" s="74" t="n">
        <v>0</v>
      </c>
      <c r="U481" s="74" t="n">
        <v>0</v>
      </c>
    </row>
    <row r="482" customFormat="false" ht="15" hidden="false" customHeight="true" outlineLevel="0" collapsed="false">
      <c r="A482" s="30" t="s">
        <v>121</v>
      </c>
      <c r="B482" s="76"/>
      <c r="C482" s="76"/>
      <c r="D482" s="76"/>
      <c r="E482" s="76"/>
      <c r="F482" s="76"/>
      <c r="G482" s="76"/>
      <c r="H482" s="76"/>
      <c r="I482" s="76"/>
      <c r="J482" s="74" t="n">
        <v>20</v>
      </c>
      <c r="K482" s="74" t="n">
        <v>17</v>
      </c>
      <c r="L482" s="74" t="n">
        <v>17</v>
      </c>
      <c r="M482" s="74" t="n">
        <v>16</v>
      </c>
      <c r="N482" s="74" t="n">
        <v>4</v>
      </c>
      <c r="O482" s="74" t="n">
        <v>3</v>
      </c>
      <c r="P482" s="74" t="n">
        <v>1</v>
      </c>
      <c r="Q482" s="74" t="n">
        <v>0</v>
      </c>
      <c r="R482" s="74" t="n">
        <v>1</v>
      </c>
      <c r="S482" s="74" t="n">
        <v>0</v>
      </c>
      <c r="T482" s="74" t="n">
        <v>0</v>
      </c>
      <c r="U482" s="74" t="n">
        <v>0</v>
      </c>
    </row>
    <row r="483" customFormat="false" ht="15" hidden="false" customHeight="true" outlineLevel="0" collapsed="false">
      <c r="A483" s="30" t="s">
        <v>122</v>
      </c>
      <c r="B483" s="76"/>
      <c r="C483" s="76"/>
      <c r="D483" s="76"/>
      <c r="E483" s="76"/>
      <c r="F483" s="76"/>
      <c r="G483" s="76"/>
      <c r="H483" s="76"/>
      <c r="I483" s="76"/>
      <c r="J483" s="76"/>
      <c r="K483" s="74" t="n">
        <v>1</v>
      </c>
      <c r="L483" s="74" t="n">
        <v>1</v>
      </c>
      <c r="M483" s="74" t="n">
        <v>1</v>
      </c>
      <c r="N483" s="74" t="n">
        <v>1</v>
      </c>
      <c r="O483" s="74" t="n">
        <v>1</v>
      </c>
      <c r="P483" s="74" t="n">
        <v>0</v>
      </c>
      <c r="Q483" s="74" t="n">
        <v>0</v>
      </c>
      <c r="R483" s="74" t="n">
        <v>0</v>
      </c>
      <c r="S483" s="74" t="n">
        <v>0</v>
      </c>
      <c r="T483" s="74" t="n">
        <v>0</v>
      </c>
      <c r="U483" s="74" t="n">
        <v>0</v>
      </c>
    </row>
    <row r="484" customFormat="false" ht="15" hidden="false" customHeight="true" outlineLevel="0" collapsed="false">
      <c r="A484" s="30" t="s">
        <v>123</v>
      </c>
      <c r="B484" s="76"/>
      <c r="C484" s="76"/>
      <c r="D484" s="76"/>
      <c r="E484" s="76"/>
      <c r="F484" s="76"/>
      <c r="G484" s="76"/>
      <c r="H484" s="76"/>
      <c r="I484" s="76"/>
      <c r="J484" s="76"/>
      <c r="K484" s="76"/>
      <c r="L484" s="74" t="n">
        <v>32</v>
      </c>
      <c r="M484" s="74" t="n">
        <v>27</v>
      </c>
      <c r="N484" s="74" t="n">
        <v>24</v>
      </c>
      <c r="O484" s="74" t="n">
        <v>25</v>
      </c>
      <c r="P484" s="74" t="n">
        <v>1</v>
      </c>
      <c r="Q484" s="74" t="n">
        <v>0</v>
      </c>
      <c r="R484" s="74" t="n">
        <v>0</v>
      </c>
      <c r="S484" s="74" t="n">
        <v>0</v>
      </c>
      <c r="T484" s="74" t="n">
        <v>0</v>
      </c>
      <c r="U484" s="74" t="n">
        <v>0</v>
      </c>
    </row>
    <row r="485" customFormat="false" ht="15" hidden="false" customHeight="true" outlineLevel="0" collapsed="false">
      <c r="A485" s="30" t="s">
        <v>124</v>
      </c>
      <c r="B485" s="76"/>
      <c r="C485" s="76"/>
      <c r="D485" s="76"/>
      <c r="E485" s="76"/>
      <c r="F485" s="76"/>
      <c r="G485" s="76"/>
      <c r="H485" s="76"/>
      <c r="I485" s="76"/>
      <c r="J485" s="76"/>
      <c r="K485" s="76"/>
      <c r="L485" s="76"/>
      <c r="M485" s="74" t="n">
        <v>25</v>
      </c>
      <c r="N485" s="74" t="n">
        <v>24</v>
      </c>
      <c r="O485" s="74" t="n">
        <v>23</v>
      </c>
      <c r="P485" s="74" t="n">
        <v>20</v>
      </c>
      <c r="Q485" s="74" t="n">
        <v>1</v>
      </c>
      <c r="R485" s="74" t="n">
        <v>4</v>
      </c>
      <c r="S485" s="74" t="n">
        <v>2</v>
      </c>
      <c r="T485" s="74" t="n">
        <v>0</v>
      </c>
      <c r="U485" s="74" t="n">
        <v>0</v>
      </c>
    </row>
    <row r="486" customFormat="false" ht="15" hidden="false" customHeight="true" outlineLevel="0" collapsed="false">
      <c r="A486" s="30" t="s">
        <v>125</v>
      </c>
      <c r="B486" s="76"/>
      <c r="C486" s="76"/>
      <c r="D486" s="76"/>
      <c r="E486" s="76"/>
      <c r="F486" s="76"/>
      <c r="G486" s="76"/>
      <c r="H486" s="76"/>
      <c r="I486" s="76"/>
      <c r="J486" s="76"/>
      <c r="K486" s="76"/>
      <c r="L486" s="76"/>
      <c r="M486" s="76"/>
      <c r="N486" s="74" t="n">
        <v>1</v>
      </c>
      <c r="O486" s="74" t="n">
        <v>1</v>
      </c>
      <c r="P486" s="74" t="n">
        <v>0</v>
      </c>
      <c r="Q486" s="74" t="n">
        <v>0</v>
      </c>
      <c r="R486" s="74" t="n">
        <v>0</v>
      </c>
      <c r="S486" s="74" t="n">
        <v>0</v>
      </c>
      <c r="T486" s="74" t="n">
        <v>0</v>
      </c>
      <c r="U486" s="74" t="n">
        <v>0</v>
      </c>
    </row>
    <row r="487" customFormat="false" ht="15" hidden="false" customHeight="true" outlineLevel="0" collapsed="false">
      <c r="A487" s="30" t="s">
        <v>126</v>
      </c>
      <c r="B487" s="76"/>
      <c r="C487" s="76"/>
      <c r="D487" s="76"/>
      <c r="E487" s="76"/>
      <c r="F487" s="76"/>
      <c r="G487" s="76"/>
      <c r="H487" s="76"/>
      <c r="I487" s="76"/>
      <c r="J487" s="76"/>
      <c r="K487" s="76"/>
      <c r="L487" s="76"/>
      <c r="M487" s="76"/>
      <c r="N487" s="76"/>
      <c r="O487" s="74" t="n">
        <v>18</v>
      </c>
      <c r="P487" s="74" t="n">
        <v>17</v>
      </c>
      <c r="Q487" s="74" t="n">
        <v>14</v>
      </c>
      <c r="R487" s="74" t="n">
        <v>17</v>
      </c>
      <c r="S487" s="74" t="n">
        <v>5</v>
      </c>
      <c r="T487" s="74" t="n">
        <v>2</v>
      </c>
      <c r="U487" s="74" t="n">
        <v>3</v>
      </c>
    </row>
    <row r="488" customFormat="false" ht="15" hidden="false" customHeight="true" outlineLevel="0" collapsed="false">
      <c r="A488" s="30" t="s">
        <v>127</v>
      </c>
      <c r="B488" s="76"/>
      <c r="C488" s="76"/>
      <c r="D488" s="76"/>
      <c r="E488" s="76"/>
      <c r="F488" s="76"/>
      <c r="G488" s="76"/>
      <c r="H488" s="76"/>
      <c r="I488" s="76"/>
      <c r="J488" s="76"/>
      <c r="K488" s="76"/>
      <c r="L488" s="76"/>
      <c r="M488" s="76"/>
      <c r="N488" s="76"/>
      <c r="O488" s="76"/>
      <c r="P488" s="74" t="n">
        <v>19</v>
      </c>
      <c r="Q488" s="74" t="n">
        <v>16</v>
      </c>
      <c r="R488" s="74" t="n">
        <v>17</v>
      </c>
      <c r="S488" s="74" t="n">
        <v>16</v>
      </c>
      <c r="T488" s="74" t="n">
        <v>1</v>
      </c>
      <c r="U488" s="74" t="n">
        <v>1</v>
      </c>
    </row>
    <row r="489" customFormat="false" ht="15" hidden="false" customHeight="true" outlineLevel="0" collapsed="false">
      <c r="A489" s="30" t="s">
        <v>128</v>
      </c>
      <c r="B489" s="76"/>
      <c r="C489" s="76"/>
      <c r="D489" s="76"/>
      <c r="E489" s="76"/>
      <c r="F489" s="76"/>
      <c r="G489" s="76"/>
      <c r="H489" s="76"/>
      <c r="I489" s="76"/>
      <c r="J489" s="76"/>
      <c r="K489" s="76"/>
      <c r="L489" s="76"/>
      <c r="M489" s="76"/>
      <c r="N489" s="76"/>
      <c r="O489" s="76"/>
      <c r="P489" s="76"/>
      <c r="Q489" s="74" t="n">
        <v>9</v>
      </c>
      <c r="R489" s="74" t="n">
        <v>9</v>
      </c>
      <c r="S489" s="74" t="n">
        <v>0</v>
      </c>
      <c r="T489" s="74" t="n">
        <v>0</v>
      </c>
      <c r="U489" s="74" t="n">
        <v>0</v>
      </c>
    </row>
    <row r="490" customFormat="false" ht="15" hidden="false" customHeight="true" outlineLevel="0" collapsed="false">
      <c r="A490" s="30" t="s">
        <v>129</v>
      </c>
      <c r="B490" s="76"/>
      <c r="C490" s="76"/>
      <c r="D490" s="76"/>
      <c r="E490" s="76"/>
      <c r="F490" s="76"/>
      <c r="G490" s="76"/>
      <c r="H490" s="76"/>
      <c r="I490" s="76"/>
      <c r="J490" s="76"/>
      <c r="K490" s="76"/>
      <c r="L490" s="76"/>
      <c r="M490" s="76"/>
      <c r="N490" s="76"/>
      <c r="O490" s="76"/>
      <c r="P490" s="76"/>
      <c r="Q490" s="76"/>
      <c r="R490" s="74" t="n">
        <v>31</v>
      </c>
      <c r="S490" s="74" t="n">
        <v>31</v>
      </c>
      <c r="T490" s="74" t="n">
        <v>25</v>
      </c>
      <c r="U490" s="74" t="n">
        <v>28</v>
      </c>
    </row>
    <row r="491" customFormat="false" ht="15" hidden="false" customHeight="true" outlineLevel="0" collapsed="false">
      <c r="A491" s="30" t="s">
        <v>130</v>
      </c>
      <c r="B491" s="76"/>
      <c r="C491" s="76"/>
      <c r="D491" s="76"/>
      <c r="E491" s="76"/>
      <c r="F491" s="76"/>
      <c r="G491" s="76"/>
      <c r="H491" s="76"/>
      <c r="I491" s="76"/>
      <c r="J491" s="76"/>
      <c r="K491" s="76"/>
      <c r="L491" s="76"/>
      <c r="M491" s="76"/>
      <c r="N491" s="76"/>
      <c r="O491" s="76"/>
      <c r="P491" s="76"/>
      <c r="Q491" s="76"/>
      <c r="R491" s="76"/>
      <c r="S491" s="74" t="n">
        <v>18</v>
      </c>
      <c r="T491" s="74" t="n">
        <v>18</v>
      </c>
      <c r="U491" s="74" t="n">
        <v>15</v>
      </c>
    </row>
    <row r="492" customFormat="false" ht="15" hidden="false" customHeight="true" outlineLevel="0" collapsed="false">
      <c r="A492" s="30" t="s">
        <v>131</v>
      </c>
      <c r="B492" s="76"/>
      <c r="C492" s="76"/>
      <c r="D492" s="76"/>
      <c r="E492" s="76"/>
      <c r="F492" s="76"/>
      <c r="G492" s="76"/>
      <c r="H492" s="76"/>
      <c r="I492" s="76"/>
      <c r="J492" s="76"/>
      <c r="K492" s="76"/>
      <c r="L492" s="76"/>
      <c r="M492" s="76"/>
      <c r="N492" s="76"/>
      <c r="O492" s="76"/>
      <c r="P492" s="76"/>
      <c r="Q492" s="76"/>
      <c r="R492" s="76"/>
      <c r="S492" s="76"/>
      <c r="T492" s="74" t="n">
        <v>8</v>
      </c>
      <c r="U492" s="74" t="n">
        <v>8</v>
      </c>
    </row>
    <row r="493" customFormat="false" ht="15" hidden="false" customHeight="true" outlineLevel="0" collapsed="false">
      <c r="A493" s="30" t="s">
        <v>132</v>
      </c>
      <c r="B493" s="76"/>
      <c r="C493" s="76"/>
      <c r="D493" s="76"/>
      <c r="E493" s="76"/>
      <c r="F493" s="76"/>
      <c r="G493" s="76"/>
      <c r="H493" s="76"/>
      <c r="I493" s="76"/>
      <c r="J493" s="76"/>
      <c r="K493" s="76"/>
      <c r="L493" s="76"/>
      <c r="M493" s="76"/>
      <c r="N493" s="76"/>
      <c r="O493" s="76"/>
      <c r="P493" s="76"/>
      <c r="Q493" s="76"/>
      <c r="R493" s="76"/>
      <c r="S493" s="76"/>
      <c r="T493" s="76"/>
      <c r="U493" s="74" t="n">
        <v>25</v>
      </c>
    </row>
    <row r="494" customFormat="false" ht="15" hidden="false" customHeight="true" outlineLevel="0" collapsed="false">
      <c r="A494" s="34" t="s">
        <v>514</v>
      </c>
      <c r="B494" s="79"/>
      <c r="C494" s="79"/>
      <c r="D494" s="79"/>
      <c r="E494" s="79"/>
      <c r="F494" s="79"/>
      <c r="G494" s="79"/>
      <c r="H494" s="79"/>
      <c r="I494" s="79" t="n">
        <v>10</v>
      </c>
      <c r="J494" s="79" t="n">
        <v>29</v>
      </c>
      <c r="K494" s="79" t="n">
        <v>25</v>
      </c>
      <c r="L494" s="79" t="n">
        <v>59</v>
      </c>
      <c r="M494" s="79" t="n">
        <v>72</v>
      </c>
      <c r="N494" s="79" t="n">
        <v>55</v>
      </c>
      <c r="O494" s="79" t="n">
        <v>72</v>
      </c>
      <c r="P494" s="79" t="n">
        <v>58</v>
      </c>
      <c r="Q494" s="79" t="n">
        <v>40</v>
      </c>
      <c r="R494" s="79" t="n">
        <v>80</v>
      </c>
      <c r="S494" s="79" t="n">
        <v>72</v>
      </c>
      <c r="T494" s="79" t="n">
        <v>54</v>
      </c>
      <c r="U494" s="79" t="n">
        <v>80</v>
      </c>
    </row>
    <row r="496" customFormat="false" ht="30" hidden="false" customHeight="true" outlineLevel="0" collapsed="false">
      <c r="A496" s="65" t="s">
        <v>435</v>
      </c>
      <c r="B496" s="65"/>
      <c r="C496" s="65"/>
      <c r="D496" s="65"/>
      <c r="E496" s="65"/>
      <c r="F496" s="65"/>
      <c r="G496" s="65"/>
      <c r="H496" s="65"/>
      <c r="I496" s="65"/>
      <c r="J496" s="65"/>
      <c r="K496" s="65"/>
      <c r="L496" s="65"/>
      <c r="M496" s="65"/>
      <c r="N496" s="65"/>
      <c r="O496" s="65"/>
      <c r="P496" s="65"/>
      <c r="Q496" s="65"/>
      <c r="R496" s="65"/>
      <c r="S496" s="65"/>
      <c r="T496" s="65"/>
      <c r="U496" s="65"/>
    </row>
    <row r="497" customFormat="false" ht="15" hidden="false" customHeight="true" outlineLevel="0" collapsed="false">
      <c r="A497" s="12" t="s">
        <v>513</v>
      </c>
      <c r="B497" s="12" t="s">
        <v>113</v>
      </c>
      <c r="C497" s="12" t="s">
        <v>114</v>
      </c>
      <c r="D497" s="12" t="s">
        <v>115</v>
      </c>
      <c r="E497" s="12" t="s">
        <v>116</v>
      </c>
      <c r="F497" s="12" t="s">
        <v>117</v>
      </c>
      <c r="G497" s="12" t="s">
        <v>118</v>
      </c>
      <c r="H497" s="12" t="s">
        <v>119</v>
      </c>
      <c r="I497" s="12" t="s">
        <v>120</v>
      </c>
      <c r="J497" s="12" t="s">
        <v>121</v>
      </c>
      <c r="K497" s="12" t="s">
        <v>122</v>
      </c>
      <c r="L497" s="12" t="s">
        <v>123</v>
      </c>
      <c r="M497" s="12" t="s">
        <v>124</v>
      </c>
      <c r="N497" s="12" t="s">
        <v>125</v>
      </c>
      <c r="O497" s="12" t="s">
        <v>126</v>
      </c>
      <c r="P497" s="12" t="s">
        <v>127</v>
      </c>
      <c r="Q497" s="12" t="s">
        <v>128</v>
      </c>
      <c r="R497" s="12" t="s">
        <v>129</v>
      </c>
      <c r="S497" s="12" t="s">
        <v>130</v>
      </c>
      <c r="T497" s="12" t="s">
        <v>131</v>
      </c>
      <c r="U497" s="12" t="s">
        <v>132</v>
      </c>
    </row>
    <row r="498" customFormat="false" ht="15" hidden="false" customHeight="true" outlineLevel="0" collapsed="false">
      <c r="A498" s="30" t="s">
        <v>123</v>
      </c>
      <c r="B498" s="76"/>
      <c r="C498" s="76"/>
      <c r="D498" s="76"/>
      <c r="E498" s="76"/>
      <c r="F498" s="76"/>
      <c r="G498" s="76"/>
      <c r="H498" s="76"/>
      <c r="I498" s="76"/>
      <c r="J498" s="76"/>
      <c r="K498" s="76"/>
      <c r="L498" s="74" t="n">
        <v>14</v>
      </c>
      <c r="M498" s="74" t="n">
        <v>12</v>
      </c>
      <c r="N498" s="74" t="n">
        <v>10</v>
      </c>
      <c r="O498" s="74" t="n">
        <v>8</v>
      </c>
      <c r="P498" s="74" t="n">
        <v>8</v>
      </c>
      <c r="Q498" s="74" t="n">
        <v>1</v>
      </c>
      <c r="R498" s="74" t="n">
        <v>2</v>
      </c>
      <c r="S498" s="74" t="n">
        <v>1</v>
      </c>
      <c r="T498" s="74" t="n">
        <v>0</v>
      </c>
      <c r="U498" s="74" t="n">
        <v>0</v>
      </c>
    </row>
    <row r="499" customFormat="false" ht="15" hidden="false" customHeight="true" outlineLevel="0" collapsed="false">
      <c r="A499" s="30" t="s">
        <v>124</v>
      </c>
      <c r="B499" s="76"/>
      <c r="C499" s="76"/>
      <c r="D499" s="76"/>
      <c r="E499" s="76"/>
      <c r="F499" s="76"/>
      <c r="G499" s="76"/>
      <c r="H499" s="76"/>
      <c r="I499" s="76"/>
      <c r="J499" s="76"/>
      <c r="K499" s="76"/>
      <c r="L499" s="76"/>
      <c r="M499" s="74" t="n">
        <v>12</v>
      </c>
      <c r="N499" s="74" t="n">
        <v>6</v>
      </c>
      <c r="O499" s="74" t="n">
        <v>6</v>
      </c>
      <c r="P499" s="74" t="n">
        <v>6</v>
      </c>
      <c r="Q499" s="74" t="n">
        <v>6</v>
      </c>
      <c r="R499" s="74" t="n">
        <v>0</v>
      </c>
      <c r="S499" s="74" t="n">
        <v>0</v>
      </c>
      <c r="T499" s="74" t="n">
        <v>0</v>
      </c>
      <c r="U499" s="74" t="n">
        <v>0</v>
      </c>
    </row>
    <row r="500" customFormat="false" ht="15" hidden="false" customHeight="true" outlineLevel="0" collapsed="false">
      <c r="A500" s="30" t="s">
        <v>126</v>
      </c>
      <c r="B500" s="76"/>
      <c r="C500" s="76"/>
      <c r="D500" s="76"/>
      <c r="E500" s="76"/>
      <c r="F500" s="76"/>
      <c r="G500" s="76"/>
      <c r="H500" s="76"/>
      <c r="I500" s="76"/>
      <c r="J500" s="76"/>
      <c r="K500" s="76"/>
      <c r="L500" s="76"/>
      <c r="M500" s="76"/>
      <c r="N500" s="76"/>
      <c r="O500" s="74" t="n">
        <v>31</v>
      </c>
      <c r="P500" s="74" t="n">
        <v>26</v>
      </c>
      <c r="Q500" s="74" t="n">
        <v>22</v>
      </c>
      <c r="R500" s="74" t="n">
        <v>21</v>
      </c>
      <c r="S500" s="74" t="n">
        <v>21</v>
      </c>
      <c r="T500" s="74" t="n">
        <v>0</v>
      </c>
      <c r="U500" s="74" t="n">
        <v>0</v>
      </c>
    </row>
    <row r="501" customFormat="false" ht="15" hidden="false" customHeight="true" outlineLevel="0" collapsed="false">
      <c r="A501" s="30" t="s">
        <v>127</v>
      </c>
      <c r="B501" s="76"/>
      <c r="C501" s="76"/>
      <c r="D501" s="76"/>
      <c r="E501" s="76"/>
      <c r="F501" s="76"/>
      <c r="G501" s="76"/>
      <c r="H501" s="76"/>
      <c r="I501" s="76"/>
      <c r="J501" s="76"/>
      <c r="K501" s="76"/>
      <c r="L501" s="76"/>
      <c r="M501" s="76"/>
      <c r="N501" s="76"/>
      <c r="O501" s="76"/>
      <c r="P501" s="74" t="n">
        <v>23</v>
      </c>
      <c r="Q501" s="74" t="n">
        <v>18</v>
      </c>
      <c r="R501" s="74" t="n">
        <v>19</v>
      </c>
      <c r="S501" s="74" t="n">
        <v>17</v>
      </c>
      <c r="T501" s="74" t="n">
        <v>16</v>
      </c>
      <c r="U501" s="74" t="n">
        <v>4</v>
      </c>
    </row>
    <row r="502" customFormat="false" ht="15" hidden="false" customHeight="true" outlineLevel="0" collapsed="false">
      <c r="A502" s="30" t="s">
        <v>129</v>
      </c>
      <c r="B502" s="76"/>
      <c r="C502" s="76"/>
      <c r="D502" s="76"/>
      <c r="E502" s="76"/>
      <c r="F502" s="76"/>
      <c r="G502" s="76"/>
      <c r="H502" s="76"/>
      <c r="I502" s="76"/>
      <c r="J502" s="76"/>
      <c r="K502" s="76"/>
      <c r="L502" s="76"/>
      <c r="M502" s="76"/>
      <c r="N502" s="76"/>
      <c r="O502" s="76"/>
      <c r="P502" s="76"/>
      <c r="Q502" s="76"/>
      <c r="R502" s="74" t="n">
        <v>23</v>
      </c>
      <c r="S502" s="74" t="n">
        <v>16</v>
      </c>
      <c r="T502" s="74" t="n">
        <v>11</v>
      </c>
      <c r="U502" s="74" t="n">
        <v>12</v>
      </c>
    </row>
    <row r="503" customFormat="false" ht="15" hidden="false" customHeight="true" outlineLevel="0" collapsed="false">
      <c r="A503" s="30" t="s">
        <v>130</v>
      </c>
      <c r="B503" s="76"/>
      <c r="C503" s="76"/>
      <c r="D503" s="76"/>
      <c r="E503" s="76"/>
      <c r="F503" s="76"/>
      <c r="G503" s="76"/>
      <c r="H503" s="76"/>
      <c r="I503" s="76"/>
      <c r="J503" s="76"/>
      <c r="K503" s="76"/>
      <c r="L503" s="76"/>
      <c r="M503" s="76"/>
      <c r="N503" s="76"/>
      <c r="O503" s="76"/>
      <c r="P503" s="76"/>
      <c r="Q503" s="76"/>
      <c r="R503" s="76"/>
      <c r="S503" s="74" t="n">
        <v>9</v>
      </c>
      <c r="T503" s="74" t="n">
        <v>8</v>
      </c>
      <c r="U503" s="74" t="n">
        <v>7</v>
      </c>
    </row>
    <row r="504" customFormat="false" ht="15" hidden="false" customHeight="true" outlineLevel="0" collapsed="false">
      <c r="A504" s="30" t="s">
        <v>132</v>
      </c>
      <c r="B504" s="76"/>
      <c r="C504" s="76"/>
      <c r="D504" s="76"/>
      <c r="E504" s="76"/>
      <c r="F504" s="76"/>
      <c r="G504" s="76"/>
      <c r="H504" s="76"/>
      <c r="I504" s="76"/>
      <c r="J504" s="76"/>
      <c r="K504" s="76"/>
      <c r="L504" s="76"/>
      <c r="M504" s="76"/>
      <c r="N504" s="76"/>
      <c r="O504" s="76"/>
      <c r="P504" s="76"/>
      <c r="Q504" s="76"/>
      <c r="R504" s="76"/>
      <c r="S504" s="76"/>
      <c r="T504" s="76"/>
      <c r="U504" s="74" t="n">
        <v>17</v>
      </c>
    </row>
    <row r="505" customFormat="false" ht="15" hidden="false" customHeight="true" outlineLevel="0" collapsed="false">
      <c r="A505" s="34" t="s">
        <v>514</v>
      </c>
      <c r="B505" s="79"/>
      <c r="C505" s="79"/>
      <c r="D505" s="79"/>
      <c r="E505" s="79"/>
      <c r="F505" s="79"/>
      <c r="G505" s="79"/>
      <c r="H505" s="79"/>
      <c r="I505" s="79"/>
      <c r="J505" s="79"/>
      <c r="K505" s="79"/>
      <c r="L505" s="79" t="n">
        <v>14</v>
      </c>
      <c r="M505" s="79" t="n">
        <v>24</v>
      </c>
      <c r="N505" s="79" t="n">
        <v>16</v>
      </c>
      <c r="O505" s="79" t="n">
        <v>45</v>
      </c>
      <c r="P505" s="79" t="n">
        <v>63</v>
      </c>
      <c r="Q505" s="79" t="n">
        <v>47</v>
      </c>
      <c r="R505" s="79" t="n">
        <v>65</v>
      </c>
      <c r="S505" s="79" t="n">
        <v>64</v>
      </c>
      <c r="T505" s="79" t="n">
        <v>35</v>
      </c>
      <c r="U505" s="79" t="n">
        <v>40</v>
      </c>
    </row>
    <row r="507" customFormat="false" ht="30" hidden="false" customHeight="true" outlineLevel="0" collapsed="false">
      <c r="A507" s="65" t="s">
        <v>436</v>
      </c>
      <c r="B507" s="65"/>
      <c r="C507" s="65"/>
      <c r="D507" s="65"/>
      <c r="E507" s="65"/>
      <c r="F507" s="65"/>
      <c r="G507" s="65"/>
      <c r="H507" s="65"/>
      <c r="I507" s="65"/>
      <c r="J507" s="65"/>
      <c r="K507" s="65"/>
      <c r="L507" s="65"/>
      <c r="M507" s="65"/>
      <c r="N507" s="65"/>
      <c r="O507" s="65"/>
      <c r="P507" s="65"/>
      <c r="Q507" s="65"/>
      <c r="R507" s="65"/>
      <c r="S507" s="65"/>
      <c r="T507" s="65"/>
      <c r="U507" s="65"/>
    </row>
    <row r="508" customFormat="false" ht="15" hidden="false" customHeight="true" outlineLevel="0" collapsed="false">
      <c r="A508" s="12" t="s">
        <v>513</v>
      </c>
      <c r="B508" s="12" t="s">
        <v>113</v>
      </c>
      <c r="C508" s="12" t="s">
        <v>114</v>
      </c>
      <c r="D508" s="12" t="s">
        <v>115</v>
      </c>
      <c r="E508" s="12" t="s">
        <v>116</v>
      </c>
      <c r="F508" s="12" t="s">
        <v>117</v>
      </c>
      <c r="G508" s="12" t="s">
        <v>118</v>
      </c>
      <c r="H508" s="12" t="s">
        <v>119</v>
      </c>
      <c r="I508" s="12" t="s">
        <v>120</v>
      </c>
      <c r="J508" s="12" t="s">
        <v>121</v>
      </c>
      <c r="K508" s="12" t="s">
        <v>122</v>
      </c>
      <c r="L508" s="12" t="s">
        <v>123</v>
      </c>
      <c r="M508" s="12" t="s">
        <v>124</v>
      </c>
      <c r="N508" s="12" t="s">
        <v>125</v>
      </c>
      <c r="O508" s="12" t="s">
        <v>126</v>
      </c>
      <c r="P508" s="12" t="s">
        <v>127</v>
      </c>
      <c r="Q508" s="12" t="s">
        <v>128</v>
      </c>
      <c r="R508" s="12" t="s">
        <v>129</v>
      </c>
      <c r="S508" s="12" t="s">
        <v>130</v>
      </c>
      <c r="T508" s="12" t="s">
        <v>131</v>
      </c>
      <c r="U508" s="12" t="s">
        <v>132</v>
      </c>
    </row>
    <row r="509" customFormat="false" ht="15" hidden="false" customHeight="true" outlineLevel="0" collapsed="false">
      <c r="A509" s="30" t="s">
        <v>124</v>
      </c>
      <c r="B509" s="76"/>
      <c r="C509" s="76"/>
      <c r="D509" s="76"/>
      <c r="E509" s="76"/>
      <c r="F509" s="76"/>
      <c r="G509" s="76"/>
      <c r="H509" s="76"/>
      <c r="I509" s="76"/>
      <c r="J509" s="76"/>
      <c r="K509" s="76"/>
      <c r="L509" s="76"/>
      <c r="M509" s="74" t="n">
        <v>20</v>
      </c>
      <c r="N509" s="74" t="n">
        <v>13</v>
      </c>
      <c r="O509" s="74" t="n">
        <v>15</v>
      </c>
      <c r="P509" s="74" t="n">
        <v>14</v>
      </c>
      <c r="Q509" s="74" t="n">
        <v>1</v>
      </c>
      <c r="R509" s="74" t="n">
        <v>1</v>
      </c>
      <c r="S509" s="74" t="n">
        <v>0</v>
      </c>
      <c r="T509" s="74" t="n">
        <v>0</v>
      </c>
      <c r="U509" s="74" t="n">
        <v>0</v>
      </c>
    </row>
    <row r="510" customFormat="false" ht="15" hidden="false" customHeight="true" outlineLevel="0" collapsed="false">
      <c r="A510" s="30" t="s">
        <v>126</v>
      </c>
      <c r="B510" s="76"/>
      <c r="C510" s="76"/>
      <c r="D510" s="76"/>
      <c r="E510" s="76"/>
      <c r="F510" s="76"/>
      <c r="G510" s="76"/>
      <c r="H510" s="76"/>
      <c r="I510" s="76"/>
      <c r="J510" s="76"/>
      <c r="K510" s="76"/>
      <c r="L510" s="76"/>
      <c r="M510" s="76"/>
      <c r="N510" s="76"/>
      <c r="O510" s="74" t="n">
        <v>19</v>
      </c>
      <c r="P510" s="74" t="n">
        <v>14</v>
      </c>
      <c r="Q510" s="74" t="n">
        <v>13</v>
      </c>
      <c r="R510" s="74" t="n">
        <v>15</v>
      </c>
      <c r="S510" s="74" t="n">
        <v>6</v>
      </c>
      <c r="T510" s="74" t="n">
        <v>0</v>
      </c>
      <c r="U510" s="74" t="n">
        <v>1</v>
      </c>
    </row>
    <row r="511" customFormat="false" ht="15" hidden="false" customHeight="true" outlineLevel="0" collapsed="false">
      <c r="A511" s="30" t="s">
        <v>127</v>
      </c>
      <c r="B511" s="76"/>
      <c r="C511" s="76"/>
      <c r="D511" s="76"/>
      <c r="E511" s="76"/>
      <c r="F511" s="76"/>
      <c r="G511" s="76"/>
      <c r="H511" s="76"/>
      <c r="I511" s="76"/>
      <c r="J511" s="76"/>
      <c r="K511" s="76"/>
      <c r="L511" s="76"/>
      <c r="M511" s="76"/>
      <c r="N511" s="76"/>
      <c r="O511" s="76"/>
      <c r="P511" s="74" t="n">
        <v>10</v>
      </c>
      <c r="Q511" s="74" t="n">
        <v>7</v>
      </c>
      <c r="R511" s="74" t="n">
        <v>6</v>
      </c>
      <c r="S511" s="74" t="n">
        <v>6</v>
      </c>
      <c r="T511" s="74" t="n">
        <v>0</v>
      </c>
      <c r="U511" s="74" t="n">
        <v>0</v>
      </c>
    </row>
    <row r="512" customFormat="false" ht="15" hidden="false" customHeight="true" outlineLevel="0" collapsed="false">
      <c r="A512" s="30" t="s">
        <v>129</v>
      </c>
      <c r="B512" s="76"/>
      <c r="C512" s="76"/>
      <c r="D512" s="76"/>
      <c r="E512" s="76"/>
      <c r="F512" s="76"/>
      <c r="G512" s="76"/>
      <c r="H512" s="76"/>
      <c r="I512" s="76"/>
      <c r="J512" s="76"/>
      <c r="K512" s="76"/>
      <c r="L512" s="76"/>
      <c r="M512" s="76"/>
      <c r="N512" s="76"/>
      <c r="O512" s="76"/>
      <c r="P512" s="76"/>
      <c r="Q512" s="76"/>
      <c r="R512" s="74" t="n">
        <v>13</v>
      </c>
      <c r="S512" s="74" t="n">
        <v>10</v>
      </c>
      <c r="T512" s="74" t="n">
        <v>9</v>
      </c>
      <c r="U512" s="74" t="n">
        <v>9</v>
      </c>
    </row>
    <row r="513" customFormat="false" ht="15" hidden="false" customHeight="true" outlineLevel="0" collapsed="false">
      <c r="A513" s="30" t="s">
        <v>130</v>
      </c>
      <c r="B513" s="76"/>
      <c r="C513" s="76"/>
      <c r="D513" s="76"/>
      <c r="E513" s="76"/>
      <c r="F513" s="76"/>
      <c r="G513" s="76"/>
      <c r="H513" s="76"/>
      <c r="I513" s="76"/>
      <c r="J513" s="76"/>
      <c r="K513" s="76"/>
      <c r="L513" s="76"/>
      <c r="M513" s="76"/>
      <c r="N513" s="76"/>
      <c r="O513" s="76"/>
      <c r="P513" s="76"/>
      <c r="Q513" s="76"/>
      <c r="R513" s="76"/>
      <c r="S513" s="74" t="n">
        <v>2</v>
      </c>
      <c r="T513" s="74" t="n">
        <v>2</v>
      </c>
      <c r="U513" s="74" t="n">
        <v>2</v>
      </c>
    </row>
    <row r="514" customFormat="false" ht="15" hidden="false" customHeight="true" outlineLevel="0" collapsed="false">
      <c r="A514" s="30" t="s">
        <v>132</v>
      </c>
      <c r="B514" s="76"/>
      <c r="C514" s="76"/>
      <c r="D514" s="76"/>
      <c r="E514" s="76"/>
      <c r="F514" s="76"/>
      <c r="G514" s="76"/>
      <c r="H514" s="76"/>
      <c r="I514" s="76"/>
      <c r="J514" s="76"/>
      <c r="K514" s="76"/>
      <c r="L514" s="76"/>
      <c r="M514" s="76"/>
      <c r="N514" s="76"/>
      <c r="O514" s="76"/>
      <c r="P514" s="76"/>
      <c r="Q514" s="76"/>
      <c r="R514" s="76"/>
      <c r="S514" s="76"/>
      <c r="T514" s="76"/>
      <c r="U514" s="74" t="n">
        <v>7</v>
      </c>
    </row>
    <row r="515" customFormat="false" ht="15" hidden="false" customHeight="true" outlineLevel="0" collapsed="false">
      <c r="A515" s="34" t="s">
        <v>514</v>
      </c>
      <c r="B515" s="79"/>
      <c r="C515" s="79"/>
      <c r="D515" s="79"/>
      <c r="E515" s="79"/>
      <c r="F515" s="79"/>
      <c r="G515" s="79"/>
      <c r="H515" s="79"/>
      <c r="I515" s="79"/>
      <c r="J515" s="79"/>
      <c r="K515" s="79"/>
      <c r="L515" s="79"/>
      <c r="M515" s="79" t="n">
        <v>20</v>
      </c>
      <c r="N515" s="79" t="n">
        <v>13</v>
      </c>
      <c r="O515" s="79" t="n">
        <v>34</v>
      </c>
      <c r="P515" s="79" t="n">
        <v>38</v>
      </c>
      <c r="Q515" s="79" t="n">
        <v>21</v>
      </c>
      <c r="R515" s="79" t="n">
        <v>35</v>
      </c>
      <c r="S515" s="79" t="n">
        <v>24</v>
      </c>
      <c r="T515" s="79" t="n">
        <v>11</v>
      </c>
      <c r="U515" s="79" t="n">
        <v>19</v>
      </c>
    </row>
    <row r="517" customFormat="false" ht="19.5" hidden="false" customHeight="true" outlineLevel="0" collapsed="false">
      <c r="A517" s="65" t="s">
        <v>437</v>
      </c>
      <c r="B517" s="65"/>
      <c r="C517" s="65"/>
      <c r="D517" s="65"/>
      <c r="E517" s="65"/>
      <c r="F517" s="65"/>
      <c r="G517" s="65"/>
      <c r="H517" s="65"/>
      <c r="I517" s="65"/>
      <c r="J517" s="65"/>
      <c r="K517" s="65"/>
      <c r="L517" s="65"/>
      <c r="M517" s="65"/>
      <c r="N517" s="65"/>
      <c r="O517" s="65"/>
      <c r="P517" s="65"/>
      <c r="Q517" s="65"/>
      <c r="R517" s="65"/>
      <c r="S517" s="65"/>
      <c r="T517" s="65"/>
      <c r="U517" s="65"/>
    </row>
    <row r="518" customFormat="false" ht="15" hidden="false" customHeight="true" outlineLevel="0" collapsed="false">
      <c r="A518" s="12" t="s">
        <v>513</v>
      </c>
      <c r="B518" s="12" t="s">
        <v>113</v>
      </c>
      <c r="C518" s="12" t="s">
        <v>114</v>
      </c>
      <c r="D518" s="12" t="s">
        <v>115</v>
      </c>
      <c r="E518" s="12" t="s">
        <v>116</v>
      </c>
      <c r="F518" s="12" t="s">
        <v>117</v>
      </c>
      <c r="G518" s="12" t="s">
        <v>118</v>
      </c>
      <c r="H518" s="12" t="s">
        <v>119</v>
      </c>
      <c r="I518" s="12" t="s">
        <v>120</v>
      </c>
      <c r="J518" s="12" t="s">
        <v>121</v>
      </c>
      <c r="K518" s="12" t="s">
        <v>122</v>
      </c>
      <c r="L518" s="12" t="s">
        <v>123</v>
      </c>
      <c r="M518" s="12" t="s">
        <v>124</v>
      </c>
      <c r="N518" s="12" t="s">
        <v>125</v>
      </c>
      <c r="O518" s="12" t="s">
        <v>126</v>
      </c>
      <c r="P518" s="12" t="s">
        <v>127</v>
      </c>
      <c r="Q518" s="12" t="s">
        <v>128</v>
      </c>
      <c r="R518" s="12" t="s">
        <v>129</v>
      </c>
      <c r="S518" s="12" t="s">
        <v>130</v>
      </c>
      <c r="T518" s="12" t="s">
        <v>131</v>
      </c>
      <c r="U518" s="12" t="s">
        <v>132</v>
      </c>
    </row>
    <row r="519" customFormat="false" ht="15" hidden="false" customHeight="true" outlineLevel="0" collapsed="false">
      <c r="A519" s="30" t="s">
        <v>114</v>
      </c>
      <c r="B519" s="76"/>
      <c r="C519" s="74" t="n">
        <v>85</v>
      </c>
      <c r="D519" s="74" t="n">
        <v>75</v>
      </c>
      <c r="E519" s="74" t="n">
        <v>63</v>
      </c>
      <c r="F519" s="74" t="n">
        <v>71</v>
      </c>
      <c r="G519" s="74" t="n">
        <v>66</v>
      </c>
      <c r="H519" s="74" t="n">
        <v>60</v>
      </c>
      <c r="I519" s="74" t="n">
        <v>62</v>
      </c>
      <c r="J519" s="74" t="n">
        <v>23</v>
      </c>
      <c r="K519" s="74" t="n">
        <v>8</v>
      </c>
      <c r="L519" s="74" t="n">
        <v>7</v>
      </c>
      <c r="M519" s="74" t="n">
        <v>4</v>
      </c>
      <c r="N519" s="74" t="n">
        <v>3</v>
      </c>
      <c r="O519" s="74" t="n">
        <v>2</v>
      </c>
      <c r="P519" s="74" t="n">
        <v>0</v>
      </c>
      <c r="Q519" s="74" t="n">
        <v>0</v>
      </c>
      <c r="R519" s="74" t="n">
        <v>0</v>
      </c>
      <c r="S519" s="74" t="n">
        <v>0</v>
      </c>
      <c r="T519" s="74" t="n">
        <v>0</v>
      </c>
      <c r="U519" s="74" t="n">
        <v>0</v>
      </c>
    </row>
    <row r="520" customFormat="false" ht="15" hidden="false" customHeight="true" outlineLevel="0" collapsed="false">
      <c r="A520" s="30" t="s">
        <v>115</v>
      </c>
      <c r="B520" s="76"/>
      <c r="C520" s="76"/>
      <c r="D520" s="74" t="n">
        <v>80</v>
      </c>
      <c r="E520" s="74" t="n">
        <v>74</v>
      </c>
      <c r="F520" s="74" t="n">
        <v>71</v>
      </c>
      <c r="G520" s="74" t="n">
        <v>65</v>
      </c>
      <c r="H520" s="74" t="n">
        <v>58</v>
      </c>
      <c r="I520" s="74" t="n">
        <v>62</v>
      </c>
      <c r="J520" s="74" t="n">
        <v>58</v>
      </c>
      <c r="K520" s="74" t="n">
        <v>11</v>
      </c>
      <c r="L520" s="74" t="n">
        <v>8</v>
      </c>
      <c r="M520" s="74" t="n">
        <v>6</v>
      </c>
      <c r="N520" s="74" t="n">
        <v>4</v>
      </c>
      <c r="O520" s="74" t="n">
        <v>2</v>
      </c>
      <c r="P520" s="74" t="n">
        <v>0</v>
      </c>
      <c r="Q520" s="74" t="n">
        <v>1</v>
      </c>
      <c r="R520" s="74" t="n">
        <v>2</v>
      </c>
      <c r="S520" s="74" t="n">
        <v>2</v>
      </c>
      <c r="T520" s="74" t="n">
        <v>2</v>
      </c>
      <c r="U520" s="74" t="n">
        <v>2</v>
      </c>
    </row>
    <row r="521" customFormat="false" ht="15" hidden="false" customHeight="true" outlineLevel="0" collapsed="false">
      <c r="A521" s="30" t="s">
        <v>116</v>
      </c>
      <c r="B521" s="76"/>
      <c r="C521" s="76"/>
      <c r="D521" s="76"/>
      <c r="E521" s="74" t="n">
        <v>1</v>
      </c>
      <c r="F521" s="74" t="n">
        <v>1</v>
      </c>
      <c r="G521" s="74" t="n">
        <v>0</v>
      </c>
      <c r="H521" s="74" t="n">
        <v>0</v>
      </c>
      <c r="I521" s="74" t="n">
        <v>0</v>
      </c>
      <c r="J521" s="74" t="n">
        <v>0</v>
      </c>
      <c r="K521" s="74" t="n">
        <v>0</v>
      </c>
      <c r="L521" s="74" t="n">
        <v>0</v>
      </c>
      <c r="M521" s="74" t="n">
        <v>0</v>
      </c>
      <c r="N521" s="74" t="n">
        <v>0</v>
      </c>
      <c r="O521" s="74" t="n">
        <v>0</v>
      </c>
      <c r="P521" s="74" t="n">
        <v>0</v>
      </c>
      <c r="Q521" s="74" t="n">
        <v>0</v>
      </c>
      <c r="R521" s="74" t="n">
        <v>0</v>
      </c>
      <c r="S521" s="74" t="n">
        <v>0</v>
      </c>
      <c r="T521" s="74" t="n">
        <v>0</v>
      </c>
      <c r="U521" s="74" t="n">
        <v>0</v>
      </c>
    </row>
    <row r="522" customFormat="false" ht="15" hidden="false" customHeight="true" outlineLevel="0" collapsed="false">
      <c r="A522" s="30" t="s">
        <v>117</v>
      </c>
      <c r="B522" s="76"/>
      <c r="C522" s="76"/>
      <c r="D522" s="76"/>
      <c r="E522" s="76"/>
      <c r="F522" s="74" t="n">
        <v>115</v>
      </c>
      <c r="G522" s="74" t="n">
        <v>102</v>
      </c>
      <c r="H522" s="74" t="n">
        <v>80</v>
      </c>
      <c r="I522" s="74" t="n">
        <v>84</v>
      </c>
      <c r="J522" s="74" t="n">
        <v>83</v>
      </c>
      <c r="K522" s="74" t="n">
        <v>79</v>
      </c>
      <c r="L522" s="74" t="n">
        <v>74</v>
      </c>
      <c r="M522" s="74" t="n">
        <v>32</v>
      </c>
      <c r="N522" s="74" t="n">
        <v>21</v>
      </c>
      <c r="O522" s="74" t="n">
        <v>12</v>
      </c>
      <c r="P522" s="74" t="n">
        <v>7</v>
      </c>
      <c r="Q522" s="74" t="n">
        <v>5</v>
      </c>
      <c r="R522" s="74" t="n">
        <v>3</v>
      </c>
      <c r="S522" s="74" t="n">
        <v>1</v>
      </c>
      <c r="T522" s="74" t="n">
        <v>1</v>
      </c>
      <c r="U522" s="74" t="n">
        <v>0</v>
      </c>
    </row>
    <row r="523" customFormat="false" ht="15" hidden="false" customHeight="true" outlineLevel="0" collapsed="false">
      <c r="A523" s="30" t="s">
        <v>118</v>
      </c>
      <c r="B523" s="76"/>
      <c r="C523" s="76"/>
      <c r="D523" s="76"/>
      <c r="E523" s="76"/>
      <c r="F523" s="76"/>
      <c r="G523" s="74" t="n">
        <v>115</v>
      </c>
      <c r="H523" s="74" t="n">
        <v>95</v>
      </c>
      <c r="I523" s="74" t="n">
        <v>91</v>
      </c>
      <c r="J523" s="74" t="n">
        <v>82</v>
      </c>
      <c r="K523" s="74" t="n">
        <v>75</v>
      </c>
      <c r="L523" s="74" t="n">
        <v>76</v>
      </c>
      <c r="M523" s="74" t="n">
        <v>75</v>
      </c>
      <c r="N523" s="74" t="n">
        <v>26</v>
      </c>
      <c r="O523" s="74" t="n">
        <v>21</v>
      </c>
      <c r="P523" s="74" t="n">
        <v>12</v>
      </c>
      <c r="Q523" s="74" t="n">
        <v>7</v>
      </c>
      <c r="R523" s="74" t="n">
        <v>6</v>
      </c>
      <c r="S523" s="74" t="n">
        <v>3</v>
      </c>
      <c r="T523" s="74" t="n">
        <v>2</v>
      </c>
      <c r="U523" s="74" t="n">
        <v>2</v>
      </c>
    </row>
    <row r="524" customFormat="false" ht="15" hidden="false" customHeight="true" outlineLevel="0" collapsed="false">
      <c r="A524" s="30" t="s">
        <v>119</v>
      </c>
      <c r="B524" s="76"/>
      <c r="C524" s="76"/>
      <c r="D524" s="76"/>
      <c r="E524" s="76"/>
      <c r="F524" s="76"/>
      <c r="G524" s="76"/>
      <c r="H524" s="74" t="n">
        <v>3</v>
      </c>
      <c r="I524" s="74" t="n">
        <v>3</v>
      </c>
      <c r="J524" s="74" t="n">
        <v>3</v>
      </c>
      <c r="K524" s="74" t="n">
        <v>3</v>
      </c>
      <c r="L524" s="74" t="n">
        <v>3</v>
      </c>
      <c r="M524" s="74" t="n">
        <v>3</v>
      </c>
      <c r="N524" s="74" t="n">
        <v>2</v>
      </c>
      <c r="O524" s="74" t="n">
        <v>1</v>
      </c>
      <c r="P524" s="74" t="n">
        <v>0</v>
      </c>
      <c r="Q524" s="74" t="n">
        <v>0</v>
      </c>
      <c r="R524" s="74" t="n">
        <v>0</v>
      </c>
      <c r="S524" s="74" t="n">
        <v>0</v>
      </c>
      <c r="T524" s="74" t="n">
        <v>0</v>
      </c>
      <c r="U524" s="74" t="n">
        <v>0</v>
      </c>
    </row>
    <row r="525" customFormat="false" ht="15" hidden="false" customHeight="true" outlineLevel="0" collapsed="false">
      <c r="A525" s="30" t="s">
        <v>120</v>
      </c>
      <c r="B525" s="76"/>
      <c r="C525" s="76"/>
      <c r="D525" s="76"/>
      <c r="E525" s="76"/>
      <c r="F525" s="76"/>
      <c r="G525" s="76"/>
      <c r="H525" s="76"/>
      <c r="I525" s="74" t="n">
        <v>120</v>
      </c>
      <c r="J525" s="74" t="n">
        <v>109</v>
      </c>
      <c r="K525" s="74" t="n">
        <v>91</v>
      </c>
      <c r="L525" s="74" t="n">
        <v>97</v>
      </c>
      <c r="M525" s="74" t="n">
        <v>94</v>
      </c>
      <c r="N525" s="74" t="n">
        <v>89</v>
      </c>
      <c r="O525" s="74" t="n">
        <v>93</v>
      </c>
      <c r="P525" s="74" t="n">
        <v>41</v>
      </c>
      <c r="Q525" s="74" t="n">
        <v>20</v>
      </c>
      <c r="R525" s="74" t="n">
        <v>9</v>
      </c>
      <c r="S525" s="74" t="n">
        <v>4</v>
      </c>
      <c r="T525" s="74" t="n">
        <v>2</v>
      </c>
      <c r="U525" s="74" t="n">
        <v>2</v>
      </c>
    </row>
    <row r="526" customFormat="false" ht="15" hidden="false" customHeight="true" outlineLevel="0" collapsed="false">
      <c r="A526" s="30" t="s">
        <v>121</v>
      </c>
      <c r="B526" s="76"/>
      <c r="C526" s="76"/>
      <c r="D526" s="76"/>
      <c r="E526" s="76"/>
      <c r="F526" s="76"/>
      <c r="G526" s="76"/>
      <c r="H526" s="76"/>
      <c r="I526" s="76"/>
      <c r="J526" s="74" t="n">
        <v>54</v>
      </c>
      <c r="K526" s="74" t="n">
        <v>42</v>
      </c>
      <c r="L526" s="74" t="n">
        <v>45</v>
      </c>
      <c r="M526" s="74" t="n">
        <v>37</v>
      </c>
      <c r="N526" s="74" t="n">
        <v>34</v>
      </c>
      <c r="O526" s="74" t="n">
        <v>41</v>
      </c>
      <c r="P526" s="74" t="n">
        <v>38</v>
      </c>
      <c r="Q526" s="74" t="n">
        <v>16</v>
      </c>
      <c r="R526" s="74" t="n">
        <v>13</v>
      </c>
      <c r="S526" s="74" t="n">
        <v>9</v>
      </c>
      <c r="T526" s="74" t="n">
        <v>7</v>
      </c>
      <c r="U526" s="74" t="n">
        <v>4</v>
      </c>
    </row>
    <row r="527" customFormat="false" ht="15" hidden="false" customHeight="true" outlineLevel="0" collapsed="false">
      <c r="A527" s="30" t="s">
        <v>122</v>
      </c>
      <c r="B527" s="76"/>
      <c r="C527" s="76"/>
      <c r="D527" s="76"/>
      <c r="E527" s="76"/>
      <c r="F527" s="76"/>
      <c r="G527" s="76"/>
      <c r="H527" s="76"/>
      <c r="I527" s="76"/>
      <c r="J527" s="76"/>
      <c r="K527" s="74" t="n">
        <v>1</v>
      </c>
      <c r="L527" s="74" t="n">
        <v>1</v>
      </c>
      <c r="M527" s="74" t="n">
        <v>1</v>
      </c>
      <c r="N527" s="74" t="n">
        <v>1</v>
      </c>
      <c r="O527" s="74" t="n">
        <v>0</v>
      </c>
      <c r="P527" s="74" t="n">
        <v>0</v>
      </c>
      <c r="Q527" s="74" t="n">
        <v>0</v>
      </c>
      <c r="R527" s="74" t="n">
        <v>0</v>
      </c>
      <c r="S527" s="74" t="n">
        <v>0</v>
      </c>
      <c r="T527" s="74" t="n">
        <v>0</v>
      </c>
      <c r="U527" s="74" t="n">
        <v>0</v>
      </c>
    </row>
    <row r="528" customFormat="false" ht="15" hidden="false" customHeight="true" outlineLevel="0" collapsed="false">
      <c r="A528" s="30" t="s">
        <v>123</v>
      </c>
      <c r="B528" s="76"/>
      <c r="C528" s="76"/>
      <c r="D528" s="76"/>
      <c r="E528" s="76"/>
      <c r="F528" s="76"/>
      <c r="G528" s="76"/>
      <c r="H528" s="76"/>
      <c r="I528" s="76"/>
      <c r="J528" s="76"/>
      <c r="K528" s="76"/>
      <c r="L528" s="74" t="n">
        <v>125</v>
      </c>
      <c r="M528" s="74" t="n">
        <v>117</v>
      </c>
      <c r="N528" s="74" t="n">
        <v>99</v>
      </c>
      <c r="O528" s="74" t="n">
        <v>106</v>
      </c>
      <c r="P528" s="74" t="n">
        <v>93</v>
      </c>
      <c r="Q528" s="74" t="n">
        <v>93</v>
      </c>
      <c r="R528" s="74" t="n">
        <v>92</v>
      </c>
      <c r="S528" s="74" t="n">
        <v>85</v>
      </c>
      <c r="T528" s="74" t="n">
        <v>76</v>
      </c>
      <c r="U528" s="74" t="n">
        <v>29</v>
      </c>
    </row>
    <row r="529" customFormat="false" ht="15" hidden="false" customHeight="true" outlineLevel="0" collapsed="false">
      <c r="A529" s="30" t="s">
        <v>124</v>
      </c>
      <c r="B529" s="76"/>
      <c r="C529" s="76"/>
      <c r="D529" s="76"/>
      <c r="E529" s="76"/>
      <c r="F529" s="76"/>
      <c r="G529" s="76"/>
      <c r="H529" s="76"/>
      <c r="I529" s="76"/>
      <c r="J529" s="76"/>
      <c r="K529" s="76"/>
      <c r="L529" s="76"/>
      <c r="M529" s="74" t="n">
        <v>72</v>
      </c>
      <c r="N529" s="74" t="n">
        <v>54</v>
      </c>
      <c r="O529" s="74" t="n">
        <v>51</v>
      </c>
      <c r="P529" s="74" t="n">
        <v>54</v>
      </c>
      <c r="Q529" s="74" t="n">
        <v>50</v>
      </c>
      <c r="R529" s="74" t="n">
        <v>48</v>
      </c>
      <c r="S529" s="74" t="n">
        <v>45</v>
      </c>
      <c r="T529" s="74" t="n">
        <v>34</v>
      </c>
      <c r="U529" s="74" t="n">
        <v>30</v>
      </c>
    </row>
    <row r="530" customFormat="false" ht="15" hidden="false" customHeight="true" outlineLevel="0" collapsed="false">
      <c r="A530" s="30" t="s">
        <v>126</v>
      </c>
      <c r="B530" s="76"/>
      <c r="C530" s="76"/>
      <c r="D530" s="76"/>
      <c r="E530" s="76"/>
      <c r="F530" s="76"/>
      <c r="G530" s="76"/>
      <c r="H530" s="76"/>
      <c r="I530" s="76"/>
      <c r="J530" s="76"/>
      <c r="K530" s="76"/>
      <c r="L530" s="76"/>
      <c r="M530" s="76"/>
      <c r="N530" s="76"/>
      <c r="O530" s="74" t="n">
        <v>111</v>
      </c>
      <c r="P530" s="74" t="n">
        <v>101</v>
      </c>
      <c r="Q530" s="74" t="n">
        <v>92</v>
      </c>
      <c r="R530" s="74" t="n">
        <v>87</v>
      </c>
      <c r="S530" s="74" t="n">
        <v>82</v>
      </c>
      <c r="T530" s="74" t="n">
        <v>80</v>
      </c>
      <c r="U530" s="74" t="n">
        <v>77</v>
      </c>
    </row>
    <row r="531" customFormat="false" ht="15" hidden="false" customHeight="true" outlineLevel="0" collapsed="false">
      <c r="A531" s="30" t="s">
        <v>127</v>
      </c>
      <c r="B531" s="76"/>
      <c r="C531" s="76"/>
      <c r="D531" s="76"/>
      <c r="E531" s="76"/>
      <c r="F531" s="76"/>
      <c r="G531" s="76"/>
      <c r="H531" s="76"/>
      <c r="I531" s="76"/>
      <c r="J531" s="76"/>
      <c r="K531" s="76"/>
      <c r="L531" s="76"/>
      <c r="M531" s="76"/>
      <c r="N531" s="76"/>
      <c r="O531" s="76"/>
      <c r="P531" s="74" t="n">
        <v>62</v>
      </c>
      <c r="Q531" s="74" t="n">
        <v>58</v>
      </c>
      <c r="R531" s="74" t="n">
        <v>56</v>
      </c>
      <c r="S531" s="74" t="n">
        <v>55</v>
      </c>
      <c r="T531" s="74" t="n">
        <v>52</v>
      </c>
      <c r="U531" s="74" t="n">
        <v>50</v>
      </c>
    </row>
    <row r="532" customFormat="false" ht="15" hidden="false" customHeight="true" outlineLevel="0" collapsed="false">
      <c r="A532" s="30" t="s">
        <v>129</v>
      </c>
      <c r="B532" s="76"/>
      <c r="C532" s="76"/>
      <c r="D532" s="76"/>
      <c r="E532" s="76"/>
      <c r="F532" s="76"/>
      <c r="G532" s="76"/>
      <c r="H532" s="76"/>
      <c r="I532" s="76"/>
      <c r="J532" s="76"/>
      <c r="K532" s="76"/>
      <c r="L532" s="76"/>
      <c r="M532" s="76"/>
      <c r="N532" s="76"/>
      <c r="O532" s="76"/>
      <c r="P532" s="76"/>
      <c r="Q532" s="76"/>
      <c r="R532" s="74" t="n">
        <v>118</v>
      </c>
      <c r="S532" s="74" t="n">
        <v>111</v>
      </c>
      <c r="T532" s="74" t="n">
        <v>99</v>
      </c>
      <c r="U532" s="74" t="n">
        <v>97</v>
      </c>
    </row>
    <row r="533" customFormat="false" ht="15" hidden="false" customHeight="true" outlineLevel="0" collapsed="false">
      <c r="A533" s="30" t="s">
        <v>130</v>
      </c>
      <c r="B533" s="76"/>
      <c r="C533" s="76"/>
      <c r="D533" s="76"/>
      <c r="E533" s="76"/>
      <c r="F533" s="76"/>
      <c r="G533" s="76"/>
      <c r="H533" s="76"/>
      <c r="I533" s="76"/>
      <c r="J533" s="76"/>
      <c r="K533" s="76"/>
      <c r="L533" s="76"/>
      <c r="M533" s="76"/>
      <c r="N533" s="76"/>
      <c r="O533" s="76"/>
      <c r="P533" s="76"/>
      <c r="Q533" s="76"/>
      <c r="R533" s="76"/>
      <c r="S533" s="74" t="n">
        <v>68</v>
      </c>
      <c r="T533" s="74" t="n">
        <v>60</v>
      </c>
      <c r="U533" s="74" t="n">
        <v>60</v>
      </c>
    </row>
    <row r="534" customFormat="false" ht="15" hidden="false" customHeight="true" outlineLevel="0" collapsed="false">
      <c r="A534" s="30" t="s">
        <v>131</v>
      </c>
      <c r="B534" s="76"/>
      <c r="C534" s="76"/>
      <c r="D534" s="76"/>
      <c r="E534" s="76"/>
      <c r="F534" s="76"/>
      <c r="G534" s="76"/>
      <c r="H534" s="76"/>
      <c r="I534" s="76"/>
      <c r="J534" s="76"/>
      <c r="K534" s="76"/>
      <c r="L534" s="76"/>
      <c r="M534" s="76"/>
      <c r="N534" s="76"/>
      <c r="O534" s="76"/>
      <c r="P534" s="76"/>
      <c r="Q534" s="76"/>
      <c r="R534" s="76"/>
      <c r="S534" s="76"/>
      <c r="T534" s="74" t="n">
        <v>2</v>
      </c>
      <c r="U534" s="74" t="n">
        <v>2</v>
      </c>
    </row>
    <row r="535" customFormat="false" ht="15" hidden="false" customHeight="true" outlineLevel="0" collapsed="false">
      <c r="A535" s="30" t="s">
        <v>132</v>
      </c>
      <c r="B535" s="76"/>
      <c r="C535" s="76"/>
      <c r="D535" s="76"/>
      <c r="E535" s="76"/>
      <c r="F535" s="76"/>
      <c r="G535" s="76"/>
      <c r="H535" s="76"/>
      <c r="I535" s="76"/>
      <c r="J535" s="76"/>
      <c r="K535" s="76"/>
      <c r="L535" s="76"/>
      <c r="M535" s="76"/>
      <c r="N535" s="76"/>
      <c r="O535" s="76"/>
      <c r="P535" s="76"/>
      <c r="Q535" s="76"/>
      <c r="R535" s="76"/>
      <c r="S535" s="76"/>
      <c r="T535" s="76"/>
      <c r="U535" s="74" t="n">
        <v>113</v>
      </c>
    </row>
    <row r="536" customFormat="false" ht="15" hidden="false" customHeight="true" outlineLevel="0" collapsed="false">
      <c r="A536" s="34" t="s">
        <v>514</v>
      </c>
      <c r="B536" s="79"/>
      <c r="C536" s="79" t="n">
        <v>85</v>
      </c>
      <c r="D536" s="79" t="n">
        <v>155</v>
      </c>
      <c r="E536" s="79" t="n">
        <v>138</v>
      </c>
      <c r="F536" s="79" t="n">
        <v>258</v>
      </c>
      <c r="G536" s="79" t="n">
        <v>348</v>
      </c>
      <c r="H536" s="79" t="n">
        <v>296</v>
      </c>
      <c r="I536" s="79" t="n">
        <v>422</v>
      </c>
      <c r="J536" s="79" t="n">
        <v>412</v>
      </c>
      <c r="K536" s="79" t="n">
        <v>310</v>
      </c>
      <c r="L536" s="79" t="n">
        <v>436</v>
      </c>
      <c r="M536" s="79" t="n">
        <v>441</v>
      </c>
      <c r="N536" s="79" t="n">
        <v>333</v>
      </c>
      <c r="O536" s="79" t="n">
        <v>440</v>
      </c>
      <c r="P536" s="79" t="n">
        <v>408</v>
      </c>
      <c r="Q536" s="79" t="n">
        <v>342</v>
      </c>
      <c r="R536" s="79" t="n">
        <v>434</v>
      </c>
      <c r="S536" s="79" t="n">
        <v>465</v>
      </c>
      <c r="T536" s="79" t="n">
        <v>417</v>
      </c>
      <c r="U536" s="79" t="n">
        <v>468</v>
      </c>
    </row>
    <row r="538" customFormat="false" ht="45" hidden="false" customHeight="true" outlineLevel="0" collapsed="false">
      <c r="A538" s="65" t="s">
        <v>438</v>
      </c>
      <c r="B538" s="65"/>
      <c r="C538" s="65"/>
      <c r="D538" s="65"/>
      <c r="E538" s="65"/>
      <c r="F538" s="65"/>
      <c r="G538" s="65"/>
      <c r="H538" s="65"/>
      <c r="I538" s="65"/>
    </row>
    <row r="539" customFormat="false" ht="15" hidden="false" customHeight="true" outlineLevel="0" collapsed="false">
      <c r="A539" s="29" t="s">
        <v>272</v>
      </c>
      <c r="B539" s="29"/>
      <c r="C539" s="29"/>
      <c r="D539" s="29"/>
      <c r="E539" s="29"/>
      <c r="F539" s="29"/>
      <c r="G539" s="29"/>
      <c r="H539" s="29"/>
      <c r="I539" s="29"/>
    </row>
    <row r="541" customFormat="false" ht="30" hidden="false" customHeight="true" outlineLevel="0" collapsed="false">
      <c r="A541" s="65" t="s">
        <v>439</v>
      </c>
      <c r="B541" s="65"/>
      <c r="C541" s="65"/>
      <c r="D541" s="65"/>
      <c r="E541" s="65"/>
      <c r="F541" s="65"/>
      <c r="G541" s="65"/>
      <c r="H541" s="65"/>
      <c r="I541" s="65"/>
      <c r="J541" s="65"/>
      <c r="K541" s="65"/>
      <c r="L541" s="65"/>
      <c r="M541" s="65"/>
      <c r="N541" s="65"/>
      <c r="O541" s="65"/>
      <c r="P541" s="65"/>
      <c r="Q541" s="65"/>
      <c r="R541" s="65"/>
      <c r="S541" s="65"/>
      <c r="T541" s="65"/>
      <c r="U541" s="65"/>
    </row>
    <row r="542" customFormat="false" ht="15" hidden="false" customHeight="true" outlineLevel="0" collapsed="false">
      <c r="A542" s="12" t="s">
        <v>513</v>
      </c>
      <c r="B542" s="12" t="s">
        <v>113</v>
      </c>
      <c r="C542" s="12" t="s">
        <v>114</v>
      </c>
      <c r="D542" s="12" t="s">
        <v>115</v>
      </c>
      <c r="E542" s="12" t="s">
        <v>116</v>
      </c>
      <c r="F542" s="12" t="s">
        <v>117</v>
      </c>
      <c r="G542" s="12" t="s">
        <v>118</v>
      </c>
      <c r="H542" s="12" t="s">
        <v>119</v>
      </c>
      <c r="I542" s="12" t="s">
        <v>120</v>
      </c>
      <c r="J542" s="12" t="s">
        <v>121</v>
      </c>
      <c r="K542" s="12" t="s">
        <v>122</v>
      </c>
      <c r="L542" s="12" t="s">
        <v>123</v>
      </c>
      <c r="M542" s="12" t="s">
        <v>124</v>
      </c>
      <c r="N542" s="12" t="s">
        <v>125</v>
      </c>
      <c r="O542" s="12" t="s">
        <v>126</v>
      </c>
      <c r="P542" s="12" t="s">
        <v>127</v>
      </c>
      <c r="Q542" s="12" t="s">
        <v>128</v>
      </c>
      <c r="R542" s="12" t="s">
        <v>129</v>
      </c>
      <c r="S542" s="12" t="s">
        <v>130</v>
      </c>
      <c r="T542" s="12" t="s">
        <v>131</v>
      </c>
      <c r="U542" s="12" t="s">
        <v>132</v>
      </c>
    </row>
    <row r="543" customFormat="false" ht="15" hidden="false" customHeight="true" outlineLevel="0" collapsed="false">
      <c r="A543" s="30" t="s">
        <v>117</v>
      </c>
      <c r="B543" s="76"/>
      <c r="C543" s="76"/>
      <c r="D543" s="76"/>
      <c r="E543" s="76"/>
      <c r="F543" s="74" t="n">
        <v>1</v>
      </c>
      <c r="G543" s="74" t="n">
        <v>1</v>
      </c>
      <c r="H543" s="74" t="n">
        <v>1</v>
      </c>
      <c r="I543" s="74" t="n">
        <v>1</v>
      </c>
      <c r="J543" s="74" t="n">
        <v>0</v>
      </c>
      <c r="K543" s="74" t="n">
        <v>0</v>
      </c>
      <c r="L543" s="74" t="n">
        <v>0</v>
      </c>
      <c r="M543" s="74" t="n">
        <v>0</v>
      </c>
      <c r="N543" s="74" t="n">
        <v>0</v>
      </c>
      <c r="O543" s="74" t="n">
        <v>0</v>
      </c>
      <c r="P543" s="74" t="n">
        <v>0</v>
      </c>
      <c r="Q543" s="74" t="n">
        <v>0</v>
      </c>
      <c r="R543" s="74" t="n">
        <v>0</v>
      </c>
      <c r="S543" s="74" t="n">
        <v>0</v>
      </c>
      <c r="T543" s="74" t="n">
        <v>0</v>
      </c>
      <c r="U543" s="74" t="n">
        <v>0</v>
      </c>
    </row>
    <row r="544" customFormat="false" ht="15" hidden="false" customHeight="true" outlineLevel="0" collapsed="false">
      <c r="A544" s="30" t="s">
        <v>118</v>
      </c>
      <c r="B544" s="76"/>
      <c r="C544" s="76"/>
      <c r="D544" s="76"/>
      <c r="E544" s="76"/>
      <c r="F544" s="76"/>
      <c r="G544" s="74" t="n">
        <v>2</v>
      </c>
      <c r="H544" s="74" t="n">
        <v>0</v>
      </c>
      <c r="I544" s="74" t="n">
        <v>0</v>
      </c>
      <c r="J544" s="74" t="n">
        <v>0</v>
      </c>
      <c r="K544" s="74" t="n">
        <v>0</v>
      </c>
      <c r="L544" s="74" t="n">
        <v>0</v>
      </c>
      <c r="M544" s="74" t="n">
        <v>0</v>
      </c>
      <c r="N544" s="74" t="n">
        <v>0</v>
      </c>
      <c r="O544" s="74" t="n">
        <v>0</v>
      </c>
      <c r="P544" s="74" t="n">
        <v>0</v>
      </c>
      <c r="Q544" s="74" t="n">
        <v>0</v>
      </c>
      <c r="R544" s="74" t="n">
        <v>0</v>
      </c>
      <c r="S544" s="74" t="n">
        <v>0</v>
      </c>
      <c r="T544" s="74" t="n">
        <v>0</v>
      </c>
      <c r="U544" s="74" t="n">
        <v>0</v>
      </c>
    </row>
    <row r="545" customFormat="false" ht="15" hidden="false" customHeight="true" outlineLevel="0" collapsed="false">
      <c r="A545" s="30" t="s">
        <v>120</v>
      </c>
      <c r="B545" s="76"/>
      <c r="C545" s="76"/>
      <c r="D545" s="76"/>
      <c r="E545" s="76"/>
      <c r="F545" s="76"/>
      <c r="G545" s="76"/>
      <c r="H545" s="76"/>
      <c r="I545" s="74" t="n">
        <v>1</v>
      </c>
      <c r="J545" s="74" t="n">
        <v>0</v>
      </c>
      <c r="K545" s="74" t="n">
        <v>0</v>
      </c>
      <c r="L545" s="74" t="n">
        <v>0</v>
      </c>
      <c r="M545" s="74" t="n">
        <v>0</v>
      </c>
      <c r="N545" s="74" t="n">
        <v>0</v>
      </c>
      <c r="O545" s="74" t="n">
        <v>0</v>
      </c>
      <c r="P545" s="74" t="n">
        <v>0</v>
      </c>
      <c r="Q545" s="74" t="n">
        <v>0</v>
      </c>
      <c r="R545" s="74" t="n">
        <v>0</v>
      </c>
      <c r="S545" s="74" t="n">
        <v>0</v>
      </c>
      <c r="T545" s="74" t="n">
        <v>0</v>
      </c>
      <c r="U545" s="74" t="n">
        <v>0</v>
      </c>
    </row>
    <row r="546" customFormat="false" ht="15" hidden="false" customHeight="true" outlineLevel="0" collapsed="false">
      <c r="A546" s="30" t="s">
        <v>123</v>
      </c>
      <c r="B546" s="76"/>
      <c r="C546" s="76"/>
      <c r="D546" s="76"/>
      <c r="E546" s="76"/>
      <c r="F546" s="76"/>
      <c r="G546" s="76"/>
      <c r="H546" s="76"/>
      <c r="I546" s="76"/>
      <c r="J546" s="76"/>
      <c r="K546" s="76"/>
      <c r="L546" s="74" t="n">
        <v>3</v>
      </c>
      <c r="M546" s="74" t="n">
        <v>2</v>
      </c>
      <c r="N546" s="74" t="n">
        <v>2</v>
      </c>
      <c r="O546" s="74" t="n">
        <v>2</v>
      </c>
      <c r="P546" s="74" t="n">
        <v>0</v>
      </c>
      <c r="Q546" s="74" t="n">
        <v>0</v>
      </c>
      <c r="R546" s="74" t="n">
        <v>0</v>
      </c>
      <c r="S546" s="74" t="n">
        <v>0</v>
      </c>
      <c r="T546" s="74" t="n">
        <v>0</v>
      </c>
      <c r="U546" s="74" t="n">
        <v>0</v>
      </c>
    </row>
    <row r="547" customFormat="false" ht="15" hidden="false" customHeight="true" outlineLevel="0" collapsed="false">
      <c r="A547" s="30" t="s">
        <v>124</v>
      </c>
      <c r="B547" s="76"/>
      <c r="C547" s="76"/>
      <c r="D547" s="76"/>
      <c r="E547" s="76"/>
      <c r="F547" s="76"/>
      <c r="G547" s="76"/>
      <c r="H547" s="76"/>
      <c r="I547" s="76"/>
      <c r="J547" s="76"/>
      <c r="K547" s="76"/>
      <c r="L547" s="76"/>
      <c r="M547" s="74" t="n">
        <v>2</v>
      </c>
      <c r="N547" s="74" t="n">
        <v>1</v>
      </c>
      <c r="O547" s="74" t="n">
        <v>1</v>
      </c>
      <c r="P547" s="74" t="n">
        <v>1</v>
      </c>
      <c r="Q547" s="74" t="n">
        <v>0</v>
      </c>
      <c r="R547" s="74" t="n">
        <v>0</v>
      </c>
      <c r="S547" s="74" t="n">
        <v>0</v>
      </c>
      <c r="T547" s="74" t="n">
        <v>0</v>
      </c>
      <c r="U547" s="74" t="n">
        <v>0</v>
      </c>
    </row>
    <row r="548" customFormat="false" ht="15" hidden="false" customHeight="true" outlineLevel="0" collapsed="false">
      <c r="A548" s="30" t="s">
        <v>126</v>
      </c>
      <c r="B548" s="76"/>
      <c r="C548" s="76"/>
      <c r="D548" s="76"/>
      <c r="E548" s="76"/>
      <c r="F548" s="76"/>
      <c r="G548" s="76"/>
      <c r="H548" s="76"/>
      <c r="I548" s="76"/>
      <c r="J548" s="76"/>
      <c r="K548" s="76"/>
      <c r="L548" s="76"/>
      <c r="M548" s="76"/>
      <c r="N548" s="76"/>
      <c r="O548" s="74" t="n">
        <v>3</v>
      </c>
      <c r="P548" s="74" t="n">
        <v>2</v>
      </c>
      <c r="Q548" s="74" t="n">
        <v>2</v>
      </c>
      <c r="R548" s="74" t="n">
        <v>2</v>
      </c>
      <c r="S548" s="74" t="n">
        <v>0</v>
      </c>
      <c r="T548" s="74" t="n">
        <v>0</v>
      </c>
      <c r="U548" s="74" t="n">
        <v>0</v>
      </c>
    </row>
    <row r="549" customFormat="false" ht="15" hidden="false" customHeight="true" outlineLevel="0" collapsed="false">
      <c r="A549" s="30" t="s">
        <v>127</v>
      </c>
      <c r="B549" s="76"/>
      <c r="C549" s="76"/>
      <c r="D549" s="76"/>
      <c r="E549" s="76"/>
      <c r="F549" s="76"/>
      <c r="G549" s="76"/>
      <c r="H549" s="76"/>
      <c r="I549" s="76"/>
      <c r="J549" s="76"/>
      <c r="K549" s="76"/>
      <c r="L549" s="76"/>
      <c r="M549" s="76"/>
      <c r="N549" s="76"/>
      <c r="O549" s="76"/>
      <c r="P549" s="74" t="n">
        <v>1</v>
      </c>
      <c r="Q549" s="74" t="n">
        <v>1</v>
      </c>
      <c r="R549" s="74" t="n">
        <v>1</v>
      </c>
      <c r="S549" s="74" t="n">
        <v>1</v>
      </c>
      <c r="T549" s="74" t="n">
        <v>0</v>
      </c>
      <c r="U549" s="74" t="n">
        <v>0</v>
      </c>
    </row>
    <row r="550" customFormat="false" ht="15" hidden="false" customHeight="true" outlineLevel="0" collapsed="false">
      <c r="A550" s="30" t="s">
        <v>130</v>
      </c>
      <c r="B550" s="76"/>
      <c r="C550" s="76"/>
      <c r="D550" s="76"/>
      <c r="E550" s="76"/>
      <c r="F550" s="76"/>
      <c r="G550" s="76"/>
      <c r="H550" s="76"/>
      <c r="I550" s="76"/>
      <c r="J550" s="76"/>
      <c r="K550" s="76"/>
      <c r="L550" s="76"/>
      <c r="M550" s="76"/>
      <c r="N550" s="76"/>
      <c r="O550" s="76"/>
      <c r="P550" s="76"/>
      <c r="Q550" s="76"/>
      <c r="R550" s="76"/>
      <c r="S550" s="74" t="n">
        <v>2</v>
      </c>
      <c r="T550" s="74" t="n">
        <v>2</v>
      </c>
      <c r="U550" s="74" t="n">
        <v>1</v>
      </c>
    </row>
    <row r="551" customFormat="false" ht="15" hidden="false" customHeight="true" outlineLevel="0" collapsed="false">
      <c r="A551" s="30" t="s">
        <v>132</v>
      </c>
      <c r="B551" s="76"/>
      <c r="C551" s="76"/>
      <c r="D551" s="76"/>
      <c r="E551" s="76"/>
      <c r="F551" s="76"/>
      <c r="G551" s="76"/>
      <c r="H551" s="76"/>
      <c r="I551" s="76"/>
      <c r="J551" s="76"/>
      <c r="K551" s="76"/>
      <c r="L551" s="76"/>
      <c r="M551" s="76"/>
      <c r="N551" s="76"/>
      <c r="O551" s="76"/>
      <c r="P551" s="76"/>
      <c r="Q551" s="76"/>
      <c r="R551" s="76"/>
      <c r="S551" s="76"/>
      <c r="T551" s="76"/>
      <c r="U551" s="74" t="n">
        <v>1</v>
      </c>
    </row>
    <row r="552" customFormat="false" ht="15" hidden="false" customHeight="true" outlineLevel="0" collapsed="false">
      <c r="A552" s="34" t="s">
        <v>514</v>
      </c>
      <c r="B552" s="79"/>
      <c r="C552" s="79"/>
      <c r="D552" s="79"/>
      <c r="E552" s="79"/>
      <c r="F552" s="79" t="n">
        <v>1</v>
      </c>
      <c r="G552" s="79" t="n">
        <v>3</v>
      </c>
      <c r="H552" s="79" t="n">
        <v>1</v>
      </c>
      <c r="I552" s="79" t="n">
        <v>2</v>
      </c>
      <c r="J552" s="79" t="n">
        <v>0</v>
      </c>
      <c r="K552" s="79" t="n">
        <v>0</v>
      </c>
      <c r="L552" s="79" t="n">
        <v>3</v>
      </c>
      <c r="M552" s="79" t="n">
        <v>4</v>
      </c>
      <c r="N552" s="79" t="n">
        <v>3</v>
      </c>
      <c r="O552" s="79" t="n">
        <v>6</v>
      </c>
      <c r="P552" s="79" t="n">
        <v>4</v>
      </c>
      <c r="Q552" s="79" t="n">
        <v>3</v>
      </c>
      <c r="R552" s="79" t="n">
        <v>3</v>
      </c>
      <c r="S552" s="79" t="n">
        <v>3</v>
      </c>
      <c r="T552" s="79" t="n">
        <v>2</v>
      </c>
      <c r="U552" s="79" t="n">
        <v>2</v>
      </c>
    </row>
    <row r="554" customFormat="false" ht="19.5" hidden="false" customHeight="true" outlineLevel="0" collapsed="false">
      <c r="A554" s="65" t="s">
        <v>440</v>
      </c>
      <c r="B554" s="65"/>
      <c r="C554" s="65"/>
      <c r="D554" s="65"/>
      <c r="E554" s="65"/>
      <c r="F554" s="65"/>
      <c r="G554" s="65"/>
      <c r="H554" s="65"/>
      <c r="I554" s="65"/>
      <c r="J554" s="65"/>
      <c r="K554" s="65"/>
      <c r="L554" s="65"/>
      <c r="M554" s="65"/>
      <c r="N554" s="65"/>
      <c r="O554" s="65"/>
      <c r="P554" s="65"/>
      <c r="Q554" s="65"/>
      <c r="R554" s="65"/>
      <c r="S554" s="65"/>
      <c r="T554" s="65"/>
      <c r="U554" s="65"/>
    </row>
    <row r="555" customFormat="false" ht="15" hidden="false" customHeight="true" outlineLevel="0" collapsed="false">
      <c r="A555" s="12" t="s">
        <v>513</v>
      </c>
      <c r="B555" s="12" t="s">
        <v>113</v>
      </c>
      <c r="C555" s="12" t="s">
        <v>114</v>
      </c>
      <c r="D555" s="12" t="s">
        <v>115</v>
      </c>
      <c r="E555" s="12" t="s">
        <v>116</v>
      </c>
      <c r="F555" s="12" t="s">
        <v>117</v>
      </c>
      <c r="G555" s="12" t="s">
        <v>118</v>
      </c>
      <c r="H555" s="12" t="s">
        <v>119</v>
      </c>
      <c r="I555" s="12" t="s">
        <v>120</v>
      </c>
      <c r="J555" s="12" t="s">
        <v>121</v>
      </c>
      <c r="K555" s="12" t="s">
        <v>122</v>
      </c>
      <c r="L555" s="12" t="s">
        <v>123</v>
      </c>
      <c r="M555" s="12" t="s">
        <v>124</v>
      </c>
      <c r="N555" s="12" t="s">
        <v>125</v>
      </c>
      <c r="O555" s="12" t="s">
        <v>126</v>
      </c>
      <c r="P555" s="12" t="s">
        <v>127</v>
      </c>
      <c r="Q555" s="12" t="s">
        <v>128</v>
      </c>
      <c r="R555" s="12" t="s">
        <v>129</v>
      </c>
      <c r="S555" s="12" t="s">
        <v>130</v>
      </c>
      <c r="T555" s="12" t="s">
        <v>131</v>
      </c>
      <c r="U555" s="12" t="s">
        <v>132</v>
      </c>
    </row>
    <row r="556" customFormat="false" ht="15" hidden="false" customHeight="true" outlineLevel="0" collapsed="false">
      <c r="A556" s="30" t="s">
        <v>116</v>
      </c>
      <c r="B556" s="76"/>
      <c r="C556" s="76"/>
      <c r="D556" s="76"/>
      <c r="E556" s="74" t="n">
        <v>1</v>
      </c>
      <c r="F556" s="74" t="n">
        <v>1</v>
      </c>
      <c r="G556" s="74" t="n">
        <v>1</v>
      </c>
      <c r="H556" s="74" t="n">
        <v>1</v>
      </c>
      <c r="I556" s="74" t="n">
        <v>0</v>
      </c>
      <c r="J556" s="74" t="n">
        <v>0</v>
      </c>
      <c r="K556" s="74" t="n">
        <v>0</v>
      </c>
      <c r="L556" s="74" t="n">
        <v>0</v>
      </c>
      <c r="M556" s="74" t="n">
        <v>0</v>
      </c>
      <c r="N556" s="74" t="n">
        <v>0</v>
      </c>
      <c r="O556" s="74" t="n">
        <v>0</v>
      </c>
      <c r="P556" s="74" t="n">
        <v>0</v>
      </c>
      <c r="Q556" s="74" t="n">
        <v>0</v>
      </c>
      <c r="R556" s="74" t="n">
        <v>0</v>
      </c>
      <c r="S556" s="74" t="n">
        <v>0</v>
      </c>
      <c r="T556" s="74" t="n">
        <v>0</v>
      </c>
      <c r="U556" s="74" t="n">
        <v>0</v>
      </c>
    </row>
    <row r="557" customFormat="false" ht="15" hidden="false" customHeight="true" outlineLevel="0" collapsed="false">
      <c r="A557" s="30" t="s">
        <v>117</v>
      </c>
      <c r="B557" s="76"/>
      <c r="C557" s="76"/>
      <c r="D557" s="76"/>
      <c r="E557" s="76"/>
      <c r="F557" s="74" t="n">
        <v>1</v>
      </c>
      <c r="G557" s="74" t="n">
        <v>0</v>
      </c>
      <c r="H557" s="74" t="n">
        <v>0</v>
      </c>
      <c r="I557" s="74" t="n">
        <v>0</v>
      </c>
      <c r="J557" s="74" t="n">
        <v>0</v>
      </c>
      <c r="K557" s="74" t="n">
        <v>0</v>
      </c>
      <c r="L557" s="74" t="n">
        <v>0</v>
      </c>
      <c r="M557" s="74" t="n">
        <v>0</v>
      </c>
      <c r="N557" s="74" t="n">
        <v>0</v>
      </c>
      <c r="O557" s="74" t="n">
        <v>0</v>
      </c>
      <c r="P557" s="74" t="n">
        <v>0</v>
      </c>
      <c r="Q557" s="74" t="n">
        <v>0</v>
      </c>
      <c r="R557" s="74" t="n">
        <v>0</v>
      </c>
      <c r="S557" s="74" t="n">
        <v>0</v>
      </c>
      <c r="T557" s="74" t="n">
        <v>0</v>
      </c>
      <c r="U557" s="74" t="n">
        <v>0</v>
      </c>
    </row>
    <row r="558" customFormat="false" ht="15" hidden="false" customHeight="true" outlineLevel="0" collapsed="false">
      <c r="A558" s="30" t="s">
        <v>119</v>
      </c>
      <c r="B558" s="76"/>
      <c r="C558" s="76"/>
      <c r="D558" s="76"/>
      <c r="E558" s="76"/>
      <c r="F558" s="76"/>
      <c r="G558" s="76"/>
      <c r="H558" s="74" t="n">
        <v>1</v>
      </c>
      <c r="I558" s="74" t="n">
        <v>0</v>
      </c>
      <c r="J558" s="74" t="n">
        <v>0</v>
      </c>
      <c r="K558" s="74" t="n">
        <v>0</v>
      </c>
      <c r="L558" s="74" t="n">
        <v>0</v>
      </c>
      <c r="M558" s="74" t="n">
        <v>0</v>
      </c>
      <c r="N558" s="74" t="n">
        <v>0</v>
      </c>
      <c r="O558" s="74" t="n">
        <v>0</v>
      </c>
      <c r="P558" s="74" t="n">
        <v>0</v>
      </c>
      <c r="Q558" s="74" t="n">
        <v>0</v>
      </c>
      <c r="R558" s="74" t="n">
        <v>0</v>
      </c>
      <c r="S558" s="74" t="n">
        <v>0</v>
      </c>
      <c r="T558" s="74" t="n">
        <v>0</v>
      </c>
      <c r="U558" s="74" t="n">
        <v>0</v>
      </c>
    </row>
    <row r="559" customFormat="false" ht="15" hidden="false" customHeight="true" outlineLevel="0" collapsed="false">
      <c r="A559" s="30" t="s">
        <v>120</v>
      </c>
      <c r="B559" s="76"/>
      <c r="C559" s="76"/>
      <c r="D559" s="76"/>
      <c r="E559" s="76"/>
      <c r="F559" s="76"/>
      <c r="G559" s="76"/>
      <c r="H559" s="76"/>
      <c r="I559" s="74" t="n">
        <v>1</v>
      </c>
      <c r="J559" s="74" t="n">
        <v>0</v>
      </c>
      <c r="K559" s="74" t="n">
        <v>0</v>
      </c>
      <c r="L559" s="74" t="n">
        <v>0</v>
      </c>
      <c r="M559" s="74" t="n">
        <v>0</v>
      </c>
      <c r="N559" s="74" t="n">
        <v>0</v>
      </c>
      <c r="O559" s="74" t="n">
        <v>0</v>
      </c>
      <c r="P559" s="74" t="n">
        <v>0</v>
      </c>
      <c r="Q559" s="74" t="n">
        <v>0</v>
      </c>
      <c r="R559" s="74" t="n">
        <v>0</v>
      </c>
      <c r="S559" s="74" t="n">
        <v>0</v>
      </c>
      <c r="T559" s="74" t="n">
        <v>0</v>
      </c>
      <c r="U559" s="74" t="n">
        <v>0</v>
      </c>
    </row>
    <row r="560" customFormat="false" ht="15" hidden="false" customHeight="true" outlineLevel="0" collapsed="false">
      <c r="A560" s="30" t="s">
        <v>121</v>
      </c>
      <c r="B560" s="76"/>
      <c r="C560" s="76"/>
      <c r="D560" s="76"/>
      <c r="E560" s="76"/>
      <c r="F560" s="76"/>
      <c r="G560" s="76"/>
      <c r="H560" s="76"/>
      <c r="I560" s="76"/>
      <c r="J560" s="74" t="n">
        <v>2</v>
      </c>
      <c r="K560" s="74" t="n">
        <v>1</v>
      </c>
      <c r="L560" s="74" t="n">
        <v>1</v>
      </c>
      <c r="M560" s="74" t="n">
        <v>1</v>
      </c>
      <c r="N560" s="74" t="n">
        <v>0</v>
      </c>
      <c r="O560" s="74" t="n">
        <v>0</v>
      </c>
      <c r="P560" s="74" t="n">
        <v>0</v>
      </c>
      <c r="Q560" s="74" t="n">
        <v>0</v>
      </c>
      <c r="R560" s="74" t="n">
        <v>0</v>
      </c>
      <c r="S560" s="74" t="n">
        <v>0</v>
      </c>
      <c r="T560" s="74" t="n">
        <v>0</v>
      </c>
      <c r="U560" s="74" t="n">
        <v>0</v>
      </c>
    </row>
    <row r="561" customFormat="false" ht="15" hidden="false" customHeight="true" outlineLevel="0" collapsed="false">
      <c r="A561" s="30" t="s">
        <v>122</v>
      </c>
      <c r="B561" s="76"/>
      <c r="C561" s="76"/>
      <c r="D561" s="76"/>
      <c r="E561" s="76"/>
      <c r="F561" s="76"/>
      <c r="G561" s="76"/>
      <c r="H561" s="76"/>
      <c r="I561" s="76"/>
      <c r="J561" s="76"/>
      <c r="K561" s="74" t="n">
        <v>1</v>
      </c>
      <c r="L561" s="74" t="n">
        <v>1</v>
      </c>
      <c r="M561" s="74" t="n">
        <v>1</v>
      </c>
      <c r="N561" s="74" t="n">
        <v>1</v>
      </c>
      <c r="O561" s="74" t="n">
        <v>0</v>
      </c>
      <c r="P561" s="74" t="n">
        <v>0</v>
      </c>
      <c r="Q561" s="74" t="n">
        <v>0</v>
      </c>
      <c r="R561" s="74" t="n">
        <v>0</v>
      </c>
      <c r="S561" s="74" t="n">
        <v>0</v>
      </c>
      <c r="T561" s="74" t="n">
        <v>0</v>
      </c>
      <c r="U561" s="74" t="n">
        <v>0</v>
      </c>
    </row>
    <row r="562" customFormat="false" ht="15" hidden="false" customHeight="true" outlineLevel="0" collapsed="false">
      <c r="A562" s="30" t="s">
        <v>123</v>
      </c>
      <c r="B562" s="76"/>
      <c r="C562" s="76"/>
      <c r="D562" s="76"/>
      <c r="E562" s="76"/>
      <c r="F562" s="76"/>
      <c r="G562" s="76"/>
      <c r="H562" s="76"/>
      <c r="I562" s="76"/>
      <c r="J562" s="76"/>
      <c r="K562" s="76"/>
      <c r="L562" s="74" t="n">
        <v>2</v>
      </c>
      <c r="M562" s="74" t="n">
        <v>0</v>
      </c>
      <c r="N562" s="74" t="n">
        <v>0</v>
      </c>
      <c r="O562" s="74" t="n">
        <v>0</v>
      </c>
      <c r="P562" s="74" t="n">
        <v>0</v>
      </c>
      <c r="Q562" s="74" t="n">
        <v>0</v>
      </c>
      <c r="R562" s="74" t="n">
        <v>0</v>
      </c>
      <c r="S562" s="74" t="n">
        <v>0</v>
      </c>
      <c r="T562" s="74" t="n">
        <v>0</v>
      </c>
      <c r="U562" s="74" t="n">
        <v>0</v>
      </c>
    </row>
    <row r="563" customFormat="false" ht="15" hidden="false" customHeight="true" outlineLevel="0" collapsed="false">
      <c r="A563" s="30" t="s">
        <v>125</v>
      </c>
      <c r="B563" s="76"/>
      <c r="C563" s="76"/>
      <c r="D563" s="76"/>
      <c r="E563" s="76"/>
      <c r="F563" s="76"/>
      <c r="G563" s="76"/>
      <c r="H563" s="76"/>
      <c r="I563" s="76"/>
      <c r="J563" s="76"/>
      <c r="K563" s="76"/>
      <c r="L563" s="76"/>
      <c r="M563" s="76"/>
      <c r="N563" s="74" t="n">
        <v>2</v>
      </c>
      <c r="O563" s="74" t="n">
        <v>1</v>
      </c>
      <c r="P563" s="74" t="n">
        <v>1</v>
      </c>
      <c r="Q563" s="74" t="n">
        <v>1</v>
      </c>
      <c r="R563" s="74" t="n">
        <v>0</v>
      </c>
      <c r="S563" s="74" t="n">
        <v>0</v>
      </c>
      <c r="T563" s="74" t="n">
        <v>0</v>
      </c>
      <c r="U563" s="74" t="n">
        <v>0</v>
      </c>
    </row>
    <row r="564" customFormat="false" ht="15" hidden="false" customHeight="true" outlineLevel="0" collapsed="false">
      <c r="A564" s="30" t="s">
        <v>127</v>
      </c>
      <c r="B564" s="76"/>
      <c r="C564" s="76"/>
      <c r="D564" s="76"/>
      <c r="E564" s="76"/>
      <c r="F564" s="76"/>
      <c r="G564" s="76"/>
      <c r="H564" s="76"/>
      <c r="I564" s="76"/>
      <c r="J564" s="76"/>
      <c r="K564" s="76"/>
      <c r="L564" s="76"/>
      <c r="M564" s="76"/>
      <c r="N564" s="76"/>
      <c r="O564" s="76"/>
      <c r="P564" s="74" t="n">
        <v>1</v>
      </c>
      <c r="Q564" s="74" t="n">
        <v>1</v>
      </c>
      <c r="R564" s="74" t="n">
        <v>1</v>
      </c>
      <c r="S564" s="74" t="n">
        <v>1</v>
      </c>
      <c r="T564" s="74" t="n">
        <v>0</v>
      </c>
      <c r="U564" s="74" t="n">
        <v>0</v>
      </c>
    </row>
    <row r="565" customFormat="false" ht="15" hidden="false" customHeight="true" outlineLevel="0" collapsed="false">
      <c r="A565" s="30" t="s">
        <v>129</v>
      </c>
      <c r="B565" s="76"/>
      <c r="C565" s="76"/>
      <c r="D565" s="76"/>
      <c r="E565" s="76"/>
      <c r="F565" s="76"/>
      <c r="G565" s="76"/>
      <c r="H565" s="76"/>
      <c r="I565" s="76"/>
      <c r="J565" s="76"/>
      <c r="K565" s="76"/>
      <c r="L565" s="76"/>
      <c r="M565" s="76"/>
      <c r="N565" s="76"/>
      <c r="O565" s="76"/>
      <c r="P565" s="76"/>
      <c r="Q565" s="76"/>
      <c r="R565" s="74" t="n">
        <v>2</v>
      </c>
      <c r="S565" s="74" t="n">
        <v>2</v>
      </c>
      <c r="T565" s="74" t="n">
        <v>0</v>
      </c>
      <c r="U565" s="74" t="n">
        <v>1</v>
      </c>
    </row>
    <row r="566" customFormat="false" ht="15" hidden="false" customHeight="true" outlineLevel="0" collapsed="false">
      <c r="A566" s="30" t="s">
        <v>130</v>
      </c>
      <c r="B566" s="76"/>
      <c r="C566" s="76"/>
      <c r="D566" s="76"/>
      <c r="E566" s="76"/>
      <c r="F566" s="76"/>
      <c r="G566" s="76"/>
      <c r="H566" s="76"/>
      <c r="I566" s="76"/>
      <c r="J566" s="76"/>
      <c r="K566" s="76"/>
      <c r="L566" s="76"/>
      <c r="M566" s="76"/>
      <c r="N566" s="76"/>
      <c r="O566" s="76"/>
      <c r="P566" s="76"/>
      <c r="Q566" s="76"/>
      <c r="R566" s="76"/>
      <c r="S566" s="74" t="n">
        <v>1</v>
      </c>
      <c r="T566" s="74" t="n">
        <v>1</v>
      </c>
      <c r="U566" s="74" t="n">
        <v>1</v>
      </c>
    </row>
    <row r="567" customFormat="false" ht="15" hidden="false" customHeight="true" outlineLevel="0" collapsed="false">
      <c r="A567" s="30" t="s">
        <v>131</v>
      </c>
      <c r="B567" s="76"/>
      <c r="C567" s="76"/>
      <c r="D567" s="76"/>
      <c r="E567" s="76"/>
      <c r="F567" s="76"/>
      <c r="G567" s="76"/>
      <c r="H567" s="76"/>
      <c r="I567" s="76"/>
      <c r="J567" s="76"/>
      <c r="K567" s="76"/>
      <c r="L567" s="76"/>
      <c r="M567" s="76"/>
      <c r="N567" s="76"/>
      <c r="O567" s="76"/>
      <c r="P567" s="76"/>
      <c r="Q567" s="76"/>
      <c r="R567" s="76"/>
      <c r="S567" s="76"/>
      <c r="T567" s="74" t="n">
        <v>1</v>
      </c>
      <c r="U567" s="74" t="n">
        <v>1</v>
      </c>
    </row>
    <row r="568" customFormat="false" ht="15" hidden="false" customHeight="true" outlineLevel="0" collapsed="false">
      <c r="A568" s="34" t="s">
        <v>514</v>
      </c>
      <c r="B568" s="79"/>
      <c r="C568" s="79"/>
      <c r="D568" s="79"/>
      <c r="E568" s="79" t="n">
        <v>1</v>
      </c>
      <c r="F568" s="79" t="n">
        <v>2</v>
      </c>
      <c r="G568" s="79" t="n">
        <v>1</v>
      </c>
      <c r="H568" s="79" t="n">
        <v>2</v>
      </c>
      <c r="I568" s="79" t="n">
        <v>1</v>
      </c>
      <c r="J568" s="79" t="n">
        <v>2</v>
      </c>
      <c r="K568" s="79" t="n">
        <v>2</v>
      </c>
      <c r="L568" s="79" t="n">
        <v>4</v>
      </c>
      <c r="M568" s="79" t="n">
        <v>2</v>
      </c>
      <c r="N568" s="79" t="n">
        <v>3</v>
      </c>
      <c r="O568" s="79" t="n">
        <v>1</v>
      </c>
      <c r="P568" s="79" t="n">
        <v>2</v>
      </c>
      <c r="Q568" s="79" t="n">
        <v>2</v>
      </c>
      <c r="R568" s="79" t="n">
        <v>3</v>
      </c>
      <c r="S568" s="79" t="n">
        <v>4</v>
      </c>
      <c r="T568" s="79" t="n">
        <v>2</v>
      </c>
      <c r="U568" s="79" t="n">
        <v>3</v>
      </c>
    </row>
    <row r="570" customFormat="false" ht="30" hidden="false" customHeight="true" outlineLevel="0" collapsed="false">
      <c r="A570" s="65" t="s">
        <v>441</v>
      </c>
      <c r="B570" s="65"/>
      <c r="C570" s="65"/>
      <c r="D570" s="65"/>
      <c r="E570" s="65"/>
      <c r="F570" s="65"/>
      <c r="G570" s="65"/>
      <c r="H570" s="65"/>
      <c r="I570" s="65"/>
      <c r="J570" s="65"/>
      <c r="K570" s="65"/>
      <c r="L570" s="65"/>
      <c r="M570" s="65"/>
      <c r="N570" s="65"/>
      <c r="O570" s="65"/>
      <c r="P570" s="65"/>
      <c r="Q570" s="65"/>
      <c r="R570" s="65"/>
      <c r="S570" s="65"/>
      <c r="T570" s="65"/>
      <c r="U570" s="65"/>
    </row>
    <row r="571" customFormat="false" ht="15" hidden="false" customHeight="true" outlineLevel="0" collapsed="false">
      <c r="A571" s="12" t="s">
        <v>513</v>
      </c>
      <c r="B571" s="12" t="s">
        <v>113</v>
      </c>
      <c r="C571" s="12" t="s">
        <v>114</v>
      </c>
      <c r="D571" s="12" t="s">
        <v>115</v>
      </c>
      <c r="E571" s="12" t="s">
        <v>116</v>
      </c>
      <c r="F571" s="12" t="s">
        <v>117</v>
      </c>
      <c r="G571" s="12" t="s">
        <v>118</v>
      </c>
      <c r="H571" s="12" t="s">
        <v>119</v>
      </c>
      <c r="I571" s="12" t="s">
        <v>120</v>
      </c>
      <c r="J571" s="12" t="s">
        <v>121</v>
      </c>
      <c r="K571" s="12" t="s">
        <v>122</v>
      </c>
      <c r="L571" s="12" t="s">
        <v>123</v>
      </c>
      <c r="M571" s="12" t="s">
        <v>124</v>
      </c>
      <c r="N571" s="12" t="s">
        <v>125</v>
      </c>
      <c r="O571" s="12" t="s">
        <v>126</v>
      </c>
      <c r="P571" s="12" t="s">
        <v>127</v>
      </c>
      <c r="Q571" s="12" t="s">
        <v>128</v>
      </c>
      <c r="R571" s="12" t="s">
        <v>129</v>
      </c>
      <c r="S571" s="12" t="s">
        <v>130</v>
      </c>
      <c r="T571" s="12" t="s">
        <v>131</v>
      </c>
      <c r="U571" s="12" t="s">
        <v>132</v>
      </c>
    </row>
    <row r="572" customFormat="false" ht="15" hidden="false" customHeight="true" outlineLevel="0" collapsed="false">
      <c r="A572" s="30" t="s">
        <v>115</v>
      </c>
      <c r="B572" s="76"/>
      <c r="C572" s="76"/>
      <c r="D572" s="74" t="n">
        <v>2</v>
      </c>
      <c r="E572" s="74" t="n">
        <v>2</v>
      </c>
      <c r="F572" s="74" t="n">
        <v>1</v>
      </c>
      <c r="G572" s="74" t="n">
        <v>1</v>
      </c>
      <c r="H572" s="74" t="n">
        <v>0</v>
      </c>
      <c r="I572" s="74" t="n">
        <v>0</v>
      </c>
      <c r="J572" s="74" t="n">
        <v>0</v>
      </c>
      <c r="K572" s="74" t="n">
        <v>0</v>
      </c>
      <c r="L572" s="74" t="n">
        <v>0</v>
      </c>
      <c r="M572" s="74" t="n">
        <v>0</v>
      </c>
      <c r="N572" s="74" t="n">
        <v>0</v>
      </c>
      <c r="O572" s="74" t="n">
        <v>0</v>
      </c>
      <c r="P572" s="74" t="n">
        <v>0</v>
      </c>
      <c r="Q572" s="74" t="n">
        <v>0</v>
      </c>
      <c r="R572" s="74" t="n">
        <v>0</v>
      </c>
      <c r="S572" s="74" t="n">
        <v>0</v>
      </c>
      <c r="T572" s="74" t="n">
        <v>0</v>
      </c>
      <c r="U572" s="74" t="n">
        <v>0</v>
      </c>
    </row>
    <row r="573" customFormat="false" ht="15" hidden="false" customHeight="true" outlineLevel="0" collapsed="false">
      <c r="A573" s="30" t="s">
        <v>116</v>
      </c>
      <c r="B573" s="76"/>
      <c r="C573" s="76"/>
      <c r="D573" s="76"/>
      <c r="E573" s="74" t="n">
        <v>4</v>
      </c>
      <c r="F573" s="74" t="n">
        <v>3</v>
      </c>
      <c r="G573" s="74" t="n">
        <v>0</v>
      </c>
      <c r="H573" s="74" t="n">
        <v>0</v>
      </c>
      <c r="I573" s="74" t="n">
        <v>0</v>
      </c>
      <c r="J573" s="74" t="n">
        <v>0</v>
      </c>
      <c r="K573" s="74" t="n">
        <v>0</v>
      </c>
      <c r="L573" s="74" t="n">
        <v>0</v>
      </c>
      <c r="M573" s="74" t="n">
        <v>0</v>
      </c>
      <c r="N573" s="74" t="n">
        <v>0</v>
      </c>
      <c r="O573" s="74" t="n">
        <v>0</v>
      </c>
      <c r="P573" s="74" t="n">
        <v>0</v>
      </c>
      <c r="Q573" s="74" t="n">
        <v>0</v>
      </c>
      <c r="R573" s="74" t="n">
        <v>0</v>
      </c>
      <c r="S573" s="74" t="n">
        <v>0</v>
      </c>
      <c r="T573" s="74" t="n">
        <v>0</v>
      </c>
      <c r="U573" s="74" t="n">
        <v>0</v>
      </c>
    </row>
    <row r="574" customFormat="false" ht="15" hidden="false" customHeight="true" outlineLevel="0" collapsed="false">
      <c r="A574" s="30" t="s">
        <v>117</v>
      </c>
      <c r="B574" s="76"/>
      <c r="C574" s="76"/>
      <c r="D574" s="76"/>
      <c r="E574" s="76"/>
      <c r="F574" s="74" t="n">
        <v>2</v>
      </c>
      <c r="G574" s="74" t="n">
        <v>2</v>
      </c>
      <c r="H574" s="74" t="n">
        <v>2</v>
      </c>
      <c r="I574" s="74" t="n">
        <v>2</v>
      </c>
      <c r="J574" s="74" t="n">
        <v>0</v>
      </c>
      <c r="K574" s="74" t="n">
        <v>0</v>
      </c>
      <c r="L574" s="74" t="n">
        <v>0</v>
      </c>
      <c r="M574" s="74" t="n">
        <v>0</v>
      </c>
      <c r="N574" s="74" t="n">
        <v>0</v>
      </c>
      <c r="O574" s="74" t="n">
        <v>0</v>
      </c>
      <c r="P574" s="74" t="n">
        <v>0</v>
      </c>
      <c r="Q574" s="74" t="n">
        <v>0</v>
      </c>
      <c r="R574" s="74" t="n">
        <v>0</v>
      </c>
      <c r="S574" s="74" t="n">
        <v>0</v>
      </c>
      <c r="T574" s="74" t="n">
        <v>0</v>
      </c>
      <c r="U574" s="74" t="n">
        <v>0</v>
      </c>
    </row>
    <row r="575" customFormat="false" ht="15" hidden="false" customHeight="true" outlineLevel="0" collapsed="false">
      <c r="A575" s="30" t="s">
        <v>120</v>
      </c>
      <c r="B575" s="76"/>
      <c r="C575" s="76"/>
      <c r="D575" s="76"/>
      <c r="E575" s="76"/>
      <c r="F575" s="76"/>
      <c r="G575" s="76"/>
      <c r="H575" s="76"/>
      <c r="I575" s="74" t="n">
        <v>5</v>
      </c>
      <c r="J575" s="74" t="n">
        <v>5</v>
      </c>
      <c r="K575" s="74" t="n">
        <v>1</v>
      </c>
      <c r="L575" s="74" t="n">
        <v>2</v>
      </c>
      <c r="M575" s="74" t="n">
        <v>2</v>
      </c>
      <c r="N575" s="74" t="n">
        <v>1</v>
      </c>
      <c r="O575" s="74" t="n">
        <v>1</v>
      </c>
      <c r="P575" s="74" t="n">
        <v>1</v>
      </c>
      <c r="Q575" s="74" t="n">
        <v>0</v>
      </c>
      <c r="R575" s="74" t="n">
        <v>1</v>
      </c>
      <c r="S575" s="74" t="n">
        <v>0</v>
      </c>
      <c r="T575" s="74" t="n">
        <v>0</v>
      </c>
      <c r="U575" s="74" t="n">
        <v>0</v>
      </c>
    </row>
    <row r="576" customFormat="false" ht="15" hidden="false" customHeight="true" outlineLevel="0" collapsed="false">
      <c r="A576" s="30" t="s">
        <v>121</v>
      </c>
      <c r="B576" s="76"/>
      <c r="C576" s="76"/>
      <c r="D576" s="76"/>
      <c r="E576" s="76"/>
      <c r="F576" s="76"/>
      <c r="G576" s="76"/>
      <c r="H576" s="76"/>
      <c r="I576" s="76"/>
      <c r="J576" s="74" t="n">
        <v>2</v>
      </c>
      <c r="K576" s="74" t="n">
        <v>0</v>
      </c>
      <c r="L576" s="74" t="n">
        <v>0</v>
      </c>
      <c r="M576" s="74" t="n">
        <v>0</v>
      </c>
      <c r="N576" s="74" t="n">
        <v>0</v>
      </c>
      <c r="O576" s="74" t="n">
        <v>0</v>
      </c>
      <c r="P576" s="74" t="n">
        <v>0</v>
      </c>
      <c r="Q576" s="74" t="n">
        <v>0</v>
      </c>
      <c r="R576" s="74" t="n">
        <v>0</v>
      </c>
      <c r="S576" s="74" t="n">
        <v>0</v>
      </c>
      <c r="T576" s="74" t="n">
        <v>0</v>
      </c>
      <c r="U576" s="74" t="n">
        <v>0</v>
      </c>
    </row>
    <row r="577" customFormat="false" ht="15" hidden="false" customHeight="true" outlineLevel="0" collapsed="false">
      <c r="A577" s="30" t="s">
        <v>123</v>
      </c>
      <c r="B577" s="76"/>
      <c r="C577" s="76"/>
      <c r="D577" s="76"/>
      <c r="E577" s="76"/>
      <c r="F577" s="76"/>
      <c r="G577" s="76"/>
      <c r="H577" s="76"/>
      <c r="I577" s="76"/>
      <c r="J577" s="76"/>
      <c r="K577" s="76"/>
      <c r="L577" s="74" t="n">
        <v>2</v>
      </c>
      <c r="M577" s="74" t="n">
        <v>2</v>
      </c>
      <c r="N577" s="74" t="n">
        <v>1</v>
      </c>
      <c r="O577" s="74" t="n">
        <v>1</v>
      </c>
      <c r="P577" s="74" t="n">
        <v>1</v>
      </c>
      <c r="Q577" s="74" t="n">
        <v>0</v>
      </c>
      <c r="R577" s="74" t="n">
        <v>0</v>
      </c>
      <c r="S577" s="74" t="n">
        <v>0</v>
      </c>
      <c r="T577" s="74" t="n">
        <v>0</v>
      </c>
      <c r="U577" s="74" t="n">
        <v>0</v>
      </c>
    </row>
    <row r="578" customFormat="false" ht="15" hidden="false" customHeight="true" outlineLevel="0" collapsed="false">
      <c r="A578" s="30" t="s">
        <v>124</v>
      </c>
      <c r="B578" s="76"/>
      <c r="C578" s="76"/>
      <c r="D578" s="76"/>
      <c r="E578" s="76"/>
      <c r="F578" s="76"/>
      <c r="G578" s="76"/>
      <c r="H578" s="76"/>
      <c r="I578" s="76"/>
      <c r="J578" s="76"/>
      <c r="K578" s="76"/>
      <c r="L578" s="76"/>
      <c r="M578" s="74" t="n">
        <v>2</v>
      </c>
      <c r="N578" s="74" t="n">
        <v>2</v>
      </c>
      <c r="O578" s="74" t="n">
        <v>2</v>
      </c>
      <c r="P578" s="74" t="n">
        <v>2</v>
      </c>
      <c r="Q578" s="74" t="n">
        <v>0</v>
      </c>
      <c r="R578" s="74" t="n">
        <v>0</v>
      </c>
      <c r="S578" s="74" t="n">
        <v>0</v>
      </c>
      <c r="T578" s="74" t="n">
        <v>0</v>
      </c>
      <c r="U578" s="74" t="n">
        <v>0</v>
      </c>
    </row>
    <row r="579" customFormat="false" ht="15" hidden="false" customHeight="true" outlineLevel="0" collapsed="false">
      <c r="A579" s="30" t="s">
        <v>126</v>
      </c>
      <c r="B579" s="76"/>
      <c r="C579" s="76"/>
      <c r="D579" s="76"/>
      <c r="E579" s="76"/>
      <c r="F579" s="76"/>
      <c r="G579" s="76"/>
      <c r="H579" s="76"/>
      <c r="I579" s="76"/>
      <c r="J579" s="76"/>
      <c r="K579" s="76"/>
      <c r="L579" s="76"/>
      <c r="M579" s="76"/>
      <c r="N579" s="76"/>
      <c r="O579" s="74" t="n">
        <v>7</v>
      </c>
      <c r="P579" s="74" t="n">
        <v>6</v>
      </c>
      <c r="Q579" s="74" t="n">
        <v>4</v>
      </c>
      <c r="R579" s="74" t="n">
        <v>4</v>
      </c>
      <c r="S579" s="74" t="n">
        <v>1</v>
      </c>
      <c r="T579" s="74" t="n">
        <v>0</v>
      </c>
      <c r="U579" s="74" t="n">
        <v>0</v>
      </c>
    </row>
    <row r="580" customFormat="false" ht="15" hidden="false" customHeight="true" outlineLevel="0" collapsed="false">
      <c r="A580" s="30" t="s">
        <v>127</v>
      </c>
      <c r="B580" s="76"/>
      <c r="C580" s="76"/>
      <c r="D580" s="76"/>
      <c r="E580" s="76"/>
      <c r="F580" s="76"/>
      <c r="G580" s="76"/>
      <c r="H580" s="76"/>
      <c r="I580" s="76"/>
      <c r="J580" s="76"/>
      <c r="K580" s="76"/>
      <c r="L580" s="76"/>
      <c r="M580" s="76"/>
      <c r="N580" s="76"/>
      <c r="O580" s="76"/>
      <c r="P580" s="74" t="n">
        <v>1</v>
      </c>
      <c r="Q580" s="74" t="n">
        <v>0</v>
      </c>
      <c r="R580" s="74" t="n">
        <v>0</v>
      </c>
      <c r="S580" s="74" t="n">
        <v>0</v>
      </c>
      <c r="T580" s="74" t="n">
        <v>0</v>
      </c>
      <c r="U580" s="74" t="n">
        <v>0</v>
      </c>
    </row>
    <row r="581" customFormat="false" ht="15" hidden="false" customHeight="true" outlineLevel="0" collapsed="false">
      <c r="A581" s="30" t="s">
        <v>128</v>
      </c>
      <c r="B581" s="76"/>
      <c r="C581" s="76"/>
      <c r="D581" s="76"/>
      <c r="E581" s="76"/>
      <c r="F581" s="76"/>
      <c r="G581" s="76"/>
      <c r="H581" s="76"/>
      <c r="I581" s="76"/>
      <c r="J581" s="76"/>
      <c r="K581" s="76"/>
      <c r="L581" s="76"/>
      <c r="M581" s="76"/>
      <c r="N581" s="76"/>
      <c r="O581" s="76"/>
      <c r="P581" s="76"/>
      <c r="Q581" s="74" t="n">
        <v>1</v>
      </c>
      <c r="R581" s="74" t="n">
        <v>1</v>
      </c>
      <c r="S581" s="74" t="n">
        <v>1</v>
      </c>
      <c r="T581" s="74" t="n">
        <v>1</v>
      </c>
      <c r="U581" s="74" t="n">
        <v>0</v>
      </c>
    </row>
    <row r="582" customFormat="false" ht="15" hidden="false" customHeight="true" outlineLevel="0" collapsed="false">
      <c r="A582" s="30" t="s">
        <v>129</v>
      </c>
      <c r="B582" s="76"/>
      <c r="C582" s="76"/>
      <c r="D582" s="76"/>
      <c r="E582" s="76"/>
      <c r="F582" s="76"/>
      <c r="G582" s="76"/>
      <c r="H582" s="76"/>
      <c r="I582" s="76"/>
      <c r="J582" s="76"/>
      <c r="K582" s="76"/>
      <c r="L582" s="76"/>
      <c r="M582" s="76"/>
      <c r="N582" s="76"/>
      <c r="O582" s="76"/>
      <c r="P582" s="76"/>
      <c r="Q582" s="76"/>
      <c r="R582" s="74" t="n">
        <v>1</v>
      </c>
      <c r="S582" s="74" t="n">
        <v>1</v>
      </c>
      <c r="T582" s="74" t="n">
        <v>1</v>
      </c>
      <c r="U582" s="74" t="n">
        <v>0</v>
      </c>
    </row>
    <row r="583" customFormat="false" ht="15" hidden="false" customHeight="true" outlineLevel="0" collapsed="false">
      <c r="A583" s="30" t="s">
        <v>132</v>
      </c>
      <c r="B583" s="76"/>
      <c r="C583" s="76"/>
      <c r="D583" s="76"/>
      <c r="E583" s="76"/>
      <c r="F583" s="76"/>
      <c r="G583" s="76"/>
      <c r="H583" s="76"/>
      <c r="I583" s="76"/>
      <c r="J583" s="76"/>
      <c r="K583" s="76"/>
      <c r="L583" s="76"/>
      <c r="M583" s="76"/>
      <c r="N583" s="76"/>
      <c r="O583" s="76"/>
      <c r="P583" s="76"/>
      <c r="Q583" s="76"/>
      <c r="R583" s="76"/>
      <c r="S583" s="76"/>
      <c r="T583" s="76"/>
      <c r="U583" s="74" t="n">
        <v>1</v>
      </c>
    </row>
    <row r="584" customFormat="false" ht="15" hidden="false" customHeight="true" outlineLevel="0" collapsed="false">
      <c r="A584" s="34" t="s">
        <v>514</v>
      </c>
      <c r="B584" s="79"/>
      <c r="C584" s="79"/>
      <c r="D584" s="79" t="n">
        <v>2</v>
      </c>
      <c r="E584" s="79" t="n">
        <v>6</v>
      </c>
      <c r="F584" s="79" t="n">
        <v>6</v>
      </c>
      <c r="G584" s="79" t="n">
        <v>3</v>
      </c>
      <c r="H584" s="79" t="n">
        <v>2</v>
      </c>
      <c r="I584" s="79" t="n">
        <v>7</v>
      </c>
      <c r="J584" s="79" t="n">
        <v>7</v>
      </c>
      <c r="K584" s="79" t="n">
        <v>1</v>
      </c>
      <c r="L584" s="79" t="n">
        <v>4</v>
      </c>
      <c r="M584" s="79" t="n">
        <v>6</v>
      </c>
      <c r="N584" s="79" t="n">
        <v>4</v>
      </c>
      <c r="O584" s="79" t="n">
        <v>11</v>
      </c>
      <c r="P584" s="79" t="n">
        <v>11</v>
      </c>
      <c r="Q584" s="79" t="n">
        <v>5</v>
      </c>
      <c r="R584" s="79" t="n">
        <v>7</v>
      </c>
      <c r="S584" s="79" t="n">
        <v>3</v>
      </c>
      <c r="T584" s="79" t="n">
        <v>2</v>
      </c>
      <c r="U584" s="79" t="n">
        <v>1</v>
      </c>
    </row>
    <row r="586" customFormat="false" ht="30" hidden="false" customHeight="true" outlineLevel="0" collapsed="false">
      <c r="A586" s="65" t="s">
        <v>442</v>
      </c>
      <c r="B586" s="65"/>
      <c r="C586" s="65"/>
      <c r="D586" s="65"/>
      <c r="E586" s="65"/>
      <c r="F586" s="65"/>
      <c r="G586" s="65"/>
      <c r="H586" s="65"/>
      <c r="I586" s="65"/>
      <c r="J586" s="65"/>
      <c r="K586" s="65"/>
      <c r="L586" s="65"/>
      <c r="M586" s="65"/>
      <c r="N586" s="65"/>
      <c r="O586" s="65"/>
      <c r="P586" s="65"/>
      <c r="Q586" s="65"/>
      <c r="R586" s="65"/>
      <c r="S586" s="65"/>
      <c r="T586" s="65"/>
      <c r="U586" s="65"/>
    </row>
    <row r="587" customFormat="false" ht="15" hidden="false" customHeight="true" outlineLevel="0" collapsed="false">
      <c r="A587" s="12" t="s">
        <v>513</v>
      </c>
      <c r="B587" s="12" t="s">
        <v>113</v>
      </c>
      <c r="C587" s="12" t="s">
        <v>114</v>
      </c>
      <c r="D587" s="12" t="s">
        <v>115</v>
      </c>
      <c r="E587" s="12" t="s">
        <v>116</v>
      </c>
      <c r="F587" s="12" t="s">
        <v>117</v>
      </c>
      <c r="G587" s="12" t="s">
        <v>118</v>
      </c>
      <c r="H587" s="12" t="s">
        <v>119</v>
      </c>
      <c r="I587" s="12" t="s">
        <v>120</v>
      </c>
      <c r="J587" s="12" t="s">
        <v>121</v>
      </c>
      <c r="K587" s="12" t="s">
        <v>122</v>
      </c>
      <c r="L587" s="12" t="s">
        <v>123</v>
      </c>
      <c r="M587" s="12" t="s">
        <v>124</v>
      </c>
      <c r="N587" s="12" t="s">
        <v>125</v>
      </c>
      <c r="O587" s="12" t="s">
        <v>126</v>
      </c>
      <c r="P587" s="12" t="s">
        <v>127</v>
      </c>
      <c r="Q587" s="12" t="s">
        <v>128</v>
      </c>
      <c r="R587" s="12" t="s">
        <v>129</v>
      </c>
      <c r="S587" s="12" t="s">
        <v>130</v>
      </c>
      <c r="T587" s="12" t="s">
        <v>131</v>
      </c>
      <c r="U587" s="12" t="s">
        <v>132</v>
      </c>
    </row>
    <row r="588" customFormat="false" ht="15" hidden="false" customHeight="true" outlineLevel="0" collapsed="false">
      <c r="A588" s="30" t="s">
        <v>120</v>
      </c>
      <c r="B588" s="76"/>
      <c r="C588" s="76"/>
      <c r="D588" s="76"/>
      <c r="E588" s="76"/>
      <c r="F588" s="76"/>
      <c r="G588" s="76"/>
      <c r="H588" s="76"/>
      <c r="I588" s="74" t="n">
        <v>1</v>
      </c>
      <c r="J588" s="74" t="n">
        <v>1</v>
      </c>
      <c r="K588" s="74" t="n">
        <v>0</v>
      </c>
      <c r="L588" s="74" t="n">
        <v>0</v>
      </c>
      <c r="M588" s="74" t="n">
        <v>0</v>
      </c>
      <c r="N588" s="74" t="n">
        <v>0</v>
      </c>
      <c r="O588" s="74" t="n">
        <v>0</v>
      </c>
      <c r="P588" s="74" t="n">
        <v>0</v>
      </c>
      <c r="Q588" s="74" t="n">
        <v>0</v>
      </c>
      <c r="R588" s="74" t="n">
        <v>0</v>
      </c>
      <c r="S588" s="74" t="n">
        <v>0</v>
      </c>
      <c r="T588" s="74" t="n">
        <v>0</v>
      </c>
      <c r="U588" s="74" t="n">
        <v>0</v>
      </c>
    </row>
    <row r="589" customFormat="false" ht="15" hidden="false" customHeight="true" outlineLevel="0" collapsed="false">
      <c r="A589" s="30" t="s">
        <v>123</v>
      </c>
      <c r="B589" s="76"/>
      <c r="C589" s="76"/>
      <c r="D589" s="76"/>
      <c r="E589" s="76"/>
      <c r="F589" s="76"/>
      <c r="G589" s="76"/>
      <c r="H589" s="76"/>
      <c r="I589" s="76"/>
      <c r="J589" s="76"/>
      <c r="K589" s="76"/>
      <c r="L589" s="74" t="n">
        <v>1</v>
      </c>
      <c r="M589" s="74" t="n">
        <v>1</v>
      </c>
      <c r="N589" s="74" t="n">
        <v>1</v>
      </c>
      <c r="O589" s="74" t="n">
        <v>0</v>
      </c>
      <c r="P589" s="74" t="n">
        <v>0</v>
      </c>
      <c r="Q589" s="74" t="n">
        <v>0</v>
      </c>
      <c r="R589" s="74" t="n">
        <v>0</v>
      </c>
      <c r="S589" s="74" t="n">
        <v>0</v>
      </c>
      <c r="T589" s="74" t="n">
        <v>0</v>
      </c>
      <c r="U589" s="74" t="n">
        <v>0</v>
      </c>
    </row>
    <row r="590" customFormat="false" ht="15" hidden="false" customHeight="true" outlineLevel="0" collapsed="false">
      <c r="A590" s="30" t="s">
        <v>129</v>
      </c>
      <c r="B590" s="76"/>
      <c r="C590" s="76"/>
      <c r="D590" s="76"/>
      <c r="E590" s="76"/>
      <c r="F590" s="76"/>
      <c r="G590" s="76"/>
      <c r="H590" s="76"/>
      <c r="I590" s="76"/>
      <c r="J590" s="76"/>
      <c r="K590" s="76"/>
      <c r="L590" s="76"/>
      <c r="M590" s="76"/>
      <c r="N590" s="76"/>
      <c r="O590" s="76"/>
      <c r="P590" s="76"/>
      <c r="Q590" s="76"/>
      <c r="R590" s="74" t="n">
        <v>3</v>
      </c>
      <c r="S590" s="74" t="n">
        <v>3</v>
      </c>
      <c r="T590" s="74" t="n">
        <v>1</v>
      </c>
      <c r="U590" s="74" t="n">
        <v>2</v>
      </c>
    </row>
    <row r="591" customFormat="false" ht="15" hidden="false" customHeight="true" outlineLevel="0" collapsed="false">
      <c r="A591" s="30" t="s">
        <v>130</v>
      </c>
      <c r="B591" s="76"/>
      <c r="C591" s="76"/>
      <c r="D591" s="76"/>
      <c r="E591" s="76"/>
      <c r="F591" s="76"/>
      <c r="G591" s="76"/>
      <c r="H591" s="76"/>
      <c r="I591" s="76"/>
      <c r="J591" s="76"/>
      <c r="K591" s="76"/>
      <c r="L591" s="76"/>
      <c r="M591" s="76"/>
      <c r="N591" s="76"/>
      <c r="O591" s="76"/>
      <c r="P591" s="76"/>
      <c r="Q591" s="76"/>
      <c r="R591" s="76"/>
      <c r="S591" s="74" t="n">
        <v>1</v>
      </c>
      <c r="T591" s="74" t="n">
        <v>1</v>
      </c>
      <c r="U591" s="74" t="n">
        <v>0</v>
      </c>
    </row>
    <row r="592" customFormat="false" ht="15" hidden="false" customHeight="true" outlineLevel="0" collapsed="false">
      <c r="A592" s="34" t="s">
        <v>514</v>
      </c>
      <c r="B592" s="79"/>
      <c r="C592" s="79"/>
      <c r="D592" s="79"/>
      <c r="E592" s="79"/>
      <c r="F592" s="79"/>
      <c r="G592" s="79"/>
      <c r="H592" s="79"/>
      <c r="I592" s="79" t="n">
        <v>1</v>
      </c>
      <c r="J592" s="79" t="n">
        <v>1</v>
      </c>
      <c r="K592" s="79" t="n">
        <v>0</v>
      </c>
      <c r="L592" s="79" t="n">
        <v>1</v>
      </c>
      <c r="M592" s="79" t="n">
        <v>1</v>
      </c>
      <c r="N592" s="79" t="n">
        <v>1</v>
      </c>
      <c r="O592" s="79" t="n">
        <v>0</v>
      </c>
      <c r="P592" s="79" t="n">
        <v>0</v>
      </c>
      <c r="Q592" s="79" t="n">
        <v>0</v>
      </c>
      <c r="R592" s="79" t="n">
        <v>3</v>
      </c>
      <c r="S592" s="79" t="n">
        <v>4</v>
      </c>
      <c r="T592" s="79" t="n">
        <v>2</v>
      </c>
      <c r="U592" s="79" t="n">
        <v>2</v>
      </c>
    </row>
  </sheetData>
  <mergeCells count="52">
    <mergeCell ref="A1:J1"/>
    <mergeCell ref="A2:J2"/>
    <mergeCell ref="A4:I4"/>
    <mergeCell ref="A5:I5"/>
    <mergeCell ref="A7:I7"/>
    <mergeCell ref="A8:I8"/>
    <mergeCell ref="A10:U10"/>
    <mergeCell ref="A28:I28"/>
    <mergeCell ref="A29:I29"/>
    <mergeCell ref="A31:U31"/>
    <mergeCell ref="A55:U55"/>
    <mergeCell ref="A70:U70"/>
    <mergeCell ref="A83:U83"/>
    <mergeCell ref="A107:U107"/>
    <mergeCell ref="A131:U131"/>
    <mergeCell ref="A155:U155"/>
    <mergeCell ref="A177:U177"/>
    <mergeCell ref="A196:U196"/>
    <mergeCell ref="A211:I211"/>
    <mergeCell ref="A212:I212"/>
    <mergeCell ref="A214:I214"/>
    <mergeCell ref="A215:I215"/>
    <mergeCell ref="A217:U217"/>
    <mergeCell ref="A237:U237"/>
    <mergeCell ref="A253:I253"/>
    <mergeCell ref="A254:I254"/>
    <mergeCell ref="A256:U256"/>
    <mergeCell ref="A280:U280"/>
    <mergeCell ref="A304:U304"/>
    <mergeCell ref="A319:I319"/>
    <mergeCell ref="A320:I320"/>
    <mergeCell ref="A322:U322"/>
    <mergeCell ref="A335:U335"/>
    <mergeCell ref="A349:U349"/>
    <mergeCell ref="A367:U367"/>
    <mergeCell ref="A391:I391"/>
    <mergeCell ref="A392:I392"/>
    <mergeCell ref="A394:U394"/>
    <mergeCell ref="A404:U404"/>
    <mergeCell ref="A428:U428"/>
    <mergeCell ref="A445:U445"/>
    <mergeCell ref="A460:U460"/>
    <mergeCell ref="A479:U479"/>
    <mergeCell ref="A496:U496"/>
    <mergeCell ref="A507:U507"/>
    <mergeCell ref="A517:U517"/>
    <mergeCell ref="A538:I538"/>
    <mergeCell ref="A539:I539"/>
    <mergeCell ref="A541:U541"/>
    <mergeCell ref="A554:U554"/>
    <mergeCell ref="A570:U570"/>
    <mergeCell ref="A586:U58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8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6"/>
    <col collapsed="false" customWidth="true" hidden="false" outlineLevel="0" max="27" min="2" style="0" width="8"/>
  </cols>
  <sheetData>
    <row r="1" customFormat="false" ht="19.5" hidden="false" customHeight="true" outlineLevel="0" collapsed="false">
      <c r="A1" s="62" t="s">
        <v>515</v>
      </c>
      <c r="B1" s="62"/>
      <c r="C1" s="62"/>
      <c r="D1" s="62"/>
      <c r="E1" s="62"/>
      <c r="F1" s="62"/>
      <c r="G1" s="62"/>
      <c r="H1" s="62"/>
      <c r="I1" s="62"/>
      <c r="J1" s="62"/>
    </row>
    <row r="2" customFormat="false" ht="45.75" hidden="false" customHeight="true" outlineLevel="0" collapsed="false">
      <c r="A2" s="47" t="s">
        <v>516</v>
      </c>
      <c r="B2" s="47"/>
      <c r="C2" s="47"/>
      <c r="D2" s="47"/>
      <c r="E2" s="47"/>
      <c r="F2" s="47"/>
      <c r="G2" s="47"/>
      <c r="H2" s="47"/>
      <c r="I2" s="47"/>
      <c r="J2" s="47"/>
    </row>
    <row r="4" customFormat="false" ht="45" hidden="false" customHeight="true" outlineLevel="0" collapsed="false">
      <c r="A4" s="65" t="s">
        <v>395</v>
      </c>
      <c r="B4" s="65"/>
      <c r="C4" s="65"/>
      <c r="D4" s="65"/>
      <c r="E4" s="65"/>
      <c r="F4" s="65"/>
      <c r="G4" s="65"/>
      <c r="H4" s="65"/>
      <c r="I4" s="65"/>
    </row>
    <row r="5" customFormat="false" ht="15" hidden="false" customHeight="true" outlineLevel="0" collapsed="false">
      <c r="A5" s="29" t="s">
        <v>272</v>
      </c>
      <c r="B5" s="29"/>
      <c r="C5" s="29"/>
      <c r="D5" s="29"/>
      <c r="E5" s="29"/>
      <c r="F5" s="29"/>
      <c r="G5" s="29"/>
      <c r="H5" s="29"/>
      <c r="I5" s="29"/>
    </row>
    <row r="7" customFormat="false" ht="45" hidden="false" customHeight="true" outlineLevel="0" collapsed="false">
      <c r="A7" s="65" t="s">
        <v>397</v>
      </c>
      <c r="B7" s="65"/>
      <c r="C7" s="65"/>
      <c r="D7" s="65"/>
      <c r="E7" s="65"/>
      <c r="F7" s="65"/>
      <c r="G7" s="65"/>
      <c r="H7" s="65"/>
      <c r="I7" s="65"/>
    </row>
    <row r="8" customFormat="false" ht="15" hidden="false" customHeight="true" outlineLevel="0" collapsed="false">
      <c r="A8" s="29" t="s">
        <v>272</v>
      </c>
      <c r="B8" s="29"/>
      <c r="C8" s="29"/>
      <c r="D8" s="29"/>
      <c r="E8" s="29"/>
      <c r="F8" s="29"/>
      <c r="G8" s="29"/>
      <c r="H8" s="29"/>
      <c r="I8" s="29"/>
    </row>
    <row r="10" customFormat="false" ht="19.5" hidden="false" customHeight="true" outlineLevel="0" collapsed="false">
      <c r="A10" s="65" t="s">
        <v>403</v>
      </c>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row>
    <row r="11" customFormat="false" ht="15" hidden="false" customHeight="true" outlineLevel="0" collapsed="false">
      <c r="A11" s="80" t="s">
        <v>517</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row>
    <row r="12" customFormat="false" ht="15" hidden="false" customHeight="true" outlineLevel="0" collapsed="false">
      <c r="A12" s="12" t="s">
        <v>513</v>
      </c>
      <c r="B12" s="12" t="s">
        <v>113</v>
      </c>
      <c r="C12" s="12" t="s">
        <v>114</v>
      </c>
      <c r="D12" s="12" t="s">
        <v>115</v>
      </c>
      <c r="E12" s="12" t="s">
        <v>116</v>
      </c>
      <c r="F12" s="12" t="s">
        <v>117</v>
      </c>
      <c r="G12" s="12" t="s">
        <v>118</v>
      </c>
      <c r="H12" s="12" t="s">
        <v>119</v>
      </c>
      <c r="I12" s="12" t="s">
        <v>120</v>
      </c>
      <c r="J12" s="12" t="s">
        <v>121</v>
      </c>
      <c r="K12" s="12" t="s">
        <v>122</v>
      </c>
      <c r="L12" s="12" t="s">
        <v>123</v>
      </c>
      <c r="M12" s="12" t="s">
        <v>124</v>
      </c>
      <c r="N12" s="12" t="s">
        <v>125</v>
      </c>
      <c r="O12" s="12" t="s">
        <v>126</v>
      </c>
      <c r="P12" s="12" t="s">
        <v>127</v>
      </c>
      <c r="Q12" s="12" t="s">
        <v>128</v>
      </c>
      <c r="R12" s="12" t="s">
        <v>129</v>
      </c>
      <c r="S12" s="12" t="s">
        <v>130</v>
      </c>
      <c r="T12" s="12" t="s">
        <v>131</v>
      </c>
      <c r="U12" s="12" t="s">
        <v>132</v>
      </c>
      <c r="V12" s="12" t="s">
        <v>518</v>
      </c>
      <c r="W12" s="12" t="s">
        <v>519</v>
      </c>
      <c r="X12" s="12" t="s">
        <v>520</v>
      </c>
      <c r="Y12" s="12" t="s">
        <v>521</v>
      </c>
      <c r="Z12" s="12" t="s">
        <v>522</v>
      </c>
      <c r="AA12" s="12" t="s">
        <v>523</v>
      </c>
    </row>
    <row r="13" customFormat="false" ht="15" hidden="false" customHeight="true" outlineLevel="0" collapsed="false">
      <c r="A13" s="30" t="s">
        <v>114</v>
      </c>
      <c r="B13" s="76"/>
      <c r="C13" s="74" t="n">
        <v>17</v>
      </c>
      <c r="D13" s="74" t="n">
        <v>17</v>
      </c>
      <c r="E13" s="74" t="n">
        <v>17</v>
      </c>
      <c r="F13" s="74" t="n">
        <v>17</v>
      </c>
      <c r="G13" s="74" t="n">
        <v>0</v>
      </c>
      <c r="H13" s="74" t="n">
        <v>1</v>
      </c>
      <c r="I13" s="74" t="n">
        <v>0</v>
      </c>
      <c r="J13" s="74" t="n">
        <v>0</v>
      </c>
      <c r="K13" s="74" t="n">
        <v>0</v>
      </c>
      <c r="L13" s="74" t="n">
        <v>0</v>
      </c>
      <c r="M13" s="74" t="n">
        <v>0</v>
      </c>
      <c r="N13" s="74" t="n">
        <v>0</v>
      </c>
      <c r="O13" s="74" t="n">
        <v>0</v>
      </c>
      <c r="P13" s="74" t="n">
        <v>0</v>
      </c>
      <c r="Q13" s="74" t="n">
        <v>0</v>
      </c>
      <c r="R13" s="74" t="n">
        <v>0</v>
      </c>
      <c r="S13" s="74" t="n">
        <v>0</v>
      </c>
      <c r="T13" s="74" t="n">
        <v>0</v>
      </c>
      <c r="U13" s="74" t="n">
        <v>0</v>
      </c>
      <c r="V13" s="81" t="n">
        <v>0</v>
      </c>
      <c r="W13" s="81" t="n">
        <v>0</v>
      </c>
      <c r="X13" s="81" t="n">
        <v>0</v>
      </c>
      <c r="Y13" s="81" t="n">
        <v>0</v>
      </c>
      <c r="Z13" s="81" t="n">
        <v>0</v>
      </c>
      <c r="AA13" s="81" t="n">
        <v>0</v>
      </c>
    </row>
    <row r="14" customFormat="false" ht="15" hidden="false" customHeight="true" outlineLevel="0" collapsed="false">
      <c r="A14" s="30" t="s">
        <v>115</v>
      </c>
      <c r="B14" s="76"/>
      <c r="C14" s="76"/>
      <c r="D14" s="74" t="n">
        <v>10</v>
      </c>
      <c r="E14" s="74" t="n">
        <v>10</v>
      </c>
      <c r="F14" s="74" t="n">
        <v>10</v>
      </c>
      <c r="G14" s="74" t="n">
        <v>10</v>
      </c>
      <c r="H14" s="74" t="n">
        <v>0</v>
      </c>
      <c r="I14" s="74" t="n">
        <v>0</v>
      </c>
      <c r="J14" s="74" t="n">
        <v>0</v>
      </c>
      <c r="K14" s="74" t="n">
        <v>0</v>
      </c>
      <c r="L14" s="74" t="n">
        <v>0</v>
      </c>
      <c r="M14" s="74" t="n">
        <v>0</v>
      </c>
      <c r="N14" s="74" t="n">
        <v>0</v>
      </c>
      <c r="O14" s="74" t="n">
        <v>0</v>
      </c>
      <c r="P14" s="74" t="n">
        <v>0</v>
      </c>
      <c r="Q14" s="74" t="n">
        <v>0</v>
      </c>
      <c r="R14" s="74" t="n">
        <v>0</v>
      </c>
      <c r="S14" s="74" t="n">
        <v>0</v>
      </c>
      <c r="T14" s="74" t="n">
        <v>0</v>
      </c>
      <c r="U14" s="74" t="n">
        <v>0</v>
      </c>
      <c r="V14" s="81" t="n">
        <v>0</v>
      </c>
      <c r="W14" s="81" t="n">
        <v>0</v>
      </c>
      <c r="X14" s="81" t="n">
        <v>0</v>
      </c>
      <c r="Y14" s="81" t="n">
        <v>0</v>
      </c>
      <c r="Z14" s="81" t="n">
        <v>0</v>
      </c>
      <c r="AA14" s="81" t="n">
        <v>0</v>
      </c>
    </row>
    <row r="15" customFormat="false" ht="15" hidden="false" customHeight="true" outlineLevel="0" collapsed="false">
      <c r="A15" s="30" t="s">
        <v>116</v>
      </c>
      <c r="B15" s="76"/>
      <c r="C15" s="76"/>
      <c r="D15" s="76"/>
      <c r="E15" s="74" t="n">
        <v>11</v>
      </c>
      <c r="F15" s="74" t="n">
        <v>11</v>
      </c>
      <c r="G15" s="74" t="n">
        <v>10</v>
      </c>
      <c r="H15" s="74" t="n">
        <v>10</v>
      </c>
      <c r="I15" s="74" t="n">
        <v>9</v>
      </c>
      <c r="J15" s="74" t="n">
        <v>0</v>
      </c>
      <c r="K15" s="74" t="n">
        <v>1</v>
      </c>
      <c r="L15" s="74" t="n">
        <v>0</v>
      </c>
      <c r="M15" s="74" t="n">
        <v>0</v>
      </c>
      <c r="N15" s="74" t="n">
        <v>0</v>
      </c>
      <c r="O15" s="74" t="n">
        <v>0</v>
      </c>
      <c r="P15" s="74" t="n">
        <v>0</v>
      </c>
      <c r="Q15" s="74" t="n">
        <v>0</v>
      </c>
      <c r="R15" s="74" t="n">
        <v>0</v>
      </c>
      <c r="S15" s="74" t="n">
        <v>0</v>
      </c>
      <c r="T15" s="74" t="n">
        <v>0</v>
      </c>
      <c r="U15" s="74" t="n">
        <v>0</v>
      </c>
      <c r="V15" s="81" t="n">
        <v>0</v>
      </c>
      <c r="W15" s="81" t="n">
        <v>0</v>
      </c>
      <c r="X15" s="81" t="n">
        <v>0</v>
      </c>
      <c r="Y15" s="81" t="n">
        <v>0</v>
      </c>
      <c r="Z15" s="81" t="n">
        <v>0</v>
      </c>
      <c r="AA15" s="81" t="n">
        <v>0</v>
      </c>
    </row>
    <row r="16" customFormat="false" ht="15" hidden="false" customHeight="true" outlineLevel="0" collapsed="false">
      <c r="A16" s="30" t="s">
        <v>117</v>
      </c>
      <c r="B16" s="76"/>
      <c r="C16" s="76"/>
      <c r="D16" s="76"/>
      <c r="E16" s="76"/>
      <c r="F16" s="74" t="n">
        <v>9</v>
      </c>
      <c r="G16" s="74" t="n">
        <v>9</v>
      </c>
      <c r="H16" s="74" t="n">
        <v>8</v>
      </c>
      <c r="I16" s="74" t="n">
        <v>8</v>
      </c>
      <c r="J16" s="74" t="n">
        <v>8</v>
      </c>
      <c r="K16" s="74" t="n">
        <v>0</v>
      </c>
      <c r="L16" s="74" t="n">
        <v>0</v>
      </c>
      <c r="M16" s="74" t="n">
        <v>0</v>
      </c>
      <c r="N16" s="74" t="n">
        <v>0</v>
      </c>
      <c r="O16" s="74" t="n">
        <v>0</v>
      </c>
      <c r="P16" s="74" t="n">
        <v>0</v>
      </c>
      <c r="Q16" s="74" t="n">
        <v>0</v>
      </c>
      <c r="R16" s="74" t="n">
        <v>0</v>
      </c>
      <c r="S16" s="74" t="n">
        <v>0</v>
      </c>
      <c r="T16" s="74" t="n">
        <v>0</v>
      </c>
      <c r="U16" s="74" t="n">
        <v>0</v>
      </c>
      <c r="V16" s="81" t="n">
        <v>0</v>
      </c>
      <c r="W16" s="81" t="n">
        <v>0</v>
      </c>
      <c r="X16" s="81" t="n">
        <v>0</v>
      </c>
      <c r="Y16" s="81" t="n">
        <v>0</v>
      </c>
      <c r="Z16" s="81" t="n">
        <v>0</v>
      </c>
      <c r="AA16" s="81" t="n">
        <v>0</v>
      </c>
    </row>
    <row r="17" customFormat="false" ht="15" hidden="false" customHeight="true" outlineLevel="0" collapsed="false">
      <c r="A17" s="30" t="s">
        <v>119</v>
      </c>
      <c r="B17" s="76"/>
      <c r="C17" s="76"/>
      <c r="D17" s="76"/>
      <c r="E17" s="76"/>
      <c r="F17" s="76"/>
      <c r="G17" s="76"/>
      <c r="H17" s="74" t="n">
        <v>20</v>
      </c>
      <c r="I17" s="74" t="n">
        <v>20</v>
      </c>
      <c r="J17" s="74" t="n">
        <v>20</v>
      </c>
      <c r="K17" s="74" t="n">
        <v>19</v>
      </c>
      <c r="L17" s="74" t="n">
        <v>19</v>
      </c>
      <c r="M17" s="74" t="n">
        <v>0</v>
      </c>
      <c r="N17" s="74" t="n">
        <v>0</v>
      </c>
      <c r="O17" s="74" t="n">
        <v>0</v>
      </c>
      <c r="P17" s="74" t="n">
        <v>0</v>
      </c>
      <c r="Q17" s="74" t="n">
        <v>0</v>
      </c>
      <c r="R17" s="74" t="n">
        <v>0</v>
      </c>
      <c r="S17" s="74" t="n">
        <v>0</v>
      </c>
      <c r="T17" s="74" t="n">
        <v>0</v>
      </c>
      <c r="U17" s="74" t="n">
        <v>0</v>
      </c>
      <c r="V17" s="81" t="n">
        <v>0</v>
      </c>
      <c r="W17" s="81" t="n">
        <v>0</v>
      </c>
      <c r="X17" s="81" t="n">
        <v>0</v>
      </c>
      <c r="Y17" s="81" t="n">
        <v>0</v>
      </c>
      <c r="Z17" s="81" t="n">
        <v>0</v>
      </c>
      <c r="AA17" s="81" t="n">
        <v>0</v>
      </c>
    </row>
    <row r="18" customFormat="false" ht="15" hidden="false" customHeight="true" outlineLevel="0" collapsed="false">
      <c r="A18" s="30" t="s">
        <v>120</v>
      </c>
      <c r="B18" s="76"/>
      <c r="C18" s="76"/>
      <c r="D18" s="76"/>
      <c r="E18" s="76"/>
      <c r="F18" s="76"/>
      <c r="G18" s="76"/>
      <c r="H18" s="76"/>
      <c r="I18" s="74" t="n">
        <v>18</v>
      </c>
      <c r="J18" s="74" t="n">
        <v>18</v>
      </c>
      <c r="K18" s="74" t="n">
        <v>17</v>
      </c>
      <c r="L18" s="74" t="n">
        <v>17</v>
      </c>
      <c r="M18" s="74" t="n">
        <v>17</v>
      </c>
      <c r="N18" s="74" t="n">
        <v>1</v>
      </c>
      <c r="O18" s="74" t="n">
        <v>1</v>
      </c>
      <c r="P18" s="74" t="n">
        <v>0</v>
      </c>
      <c r="Q18" s="74" t="n">
        <v>1</v>
      </c>
      <c r="R18" s="74" t="n">
        <v>1</v>
      </c>
      <c r="S18" s="74" t="n">
        <v>1</v>
      </c>
      <c r="T18" s="74" t="n">
        <v>0</v>
      </c>
      <c r="U18" s="74" t="n">
        <v>0</v>
      </c>
      <c r="V18" s="81" t="n">
        <v>0</v>
      </c>
      <c r="W18" s="81" t="n">
        <v>0</v>
      </c>
      <c r="X18" s="81" t="n">
        <v>0</v>
      </c>
      <c r="Y18" s="81" t="n">
        <v>0</v>
      </c>
      <c r="Z18" s="81" t="n">
        <v>0</v>
      </c>
      <c r="AA18" s="81" t="n">
        <v>0</v>
      </c>
    </row>
    <row r="19" customFormat="false" ht="15" hidden="false" customHeight="true" outlineLevel="0" collapsed="false">
      <c r="A19" s="30" t="s">
        <v>122</v>
      </c>
      <c r="B19" s="76"/>
      <c r="C19" s="76"/>
      <c r="D19" s="76"/>
      <c r="E19" s="76"/>
      <c r="F19" s="76"/>
      <c r="G19" s="76"/>
      <c r="H19" s="76"/>
      <c r="I19" s="76"/>
      <c r="J19" s="76"/>
      <c r="K19" s="74" t="n">
        <v>12</v>
      </c>
      <c r="L19" s="74" t="n">
        <v>12</v>
      </c>
      <c r="M19" s="74" t="n">
        <v>12</v>
      </c>
      <c r="N19" s="74" t="n">
        <v>12</v>
      </c>
      <c r="O19" s="74" t="n">
        <v>12</v>
      </c>
      <c r="P19" s="74" t="n">
        <v>1</v>
      </c>
      <c r="Q19" s="74" t="n">
        <v>0</v>
      </c>
      <c r="R19" s="74" t="n">
        <v>0</v>
      </c>
      <c r="S19" s="74" t="n">
        <v>0</v>
      </c>
      <c r="T19" s="74" t="n">
        <v>0</v>
      </c>
      <c r="U19" s="74" t="n">
        <v>0</v>
      </c>
      <c r="V19" s="81" t="n">
        <v>0</v>
      </c>
      <c r="W19" s="81" t="n">
        <v>0</v>
      </c>
      <c r="X19" s="81" t="n">
        <v>0</v>
      </c>
      <c r="Y19" s="81" t="n">
        <v>0</v>
      </c>
      <c r="Z19" s="81" t="n">
        <v>0</v>
      </c>
      <c r="AA19" s="81" t="n">
        <v>0</v>
      </c>
    </row>
    <row r="20" customFormat="false" ht="15" hidden="false" customHeight="true" outlineLevel="0" collapsed="false">
      <c r="A20" s="30" t="s">
        <v>123</v>
      </c>
      <c r="B20" s="76"/>
      <c r="C20" s="76"/>
      <c r="D20" s="76"/>
      <c r="E20" s="76"/>
      <c r="F20" s="76"/>
      <c r="G20" s="76"/>
      <c r="H20" s="76"/>
      <c r="I20" s="76"/>
      <c r="J20" s="76"/>
      <c r="K20" s="76"/>
      <c r="L20" s="74" t="n">
        <v>15</v>
      </c>
      <c r="M20" s="74" t="n">
        <v>15</v>
      </c>
      <c r="N20" s="74" t="n">
        <v>15</v>
      </c>
      <c r="O20" s="74" t="n">
        <v>15</v>
      </c>
      <c r="P20" s="74" t="n">
        <v>15</v>
      </c>
      <c r="Q20" s="74" t="n">
        <v>2</v>
      </c>
      <c r="R20" s="74" t="n">
        <v>0</v>
      </c>
      <c r="S20" s="74" t="n">
        <v>0</v>
      </c>
      <c r="T20" s="74" t="n">
        <v>0</v>
      </c>
      <c r="U20" s="74" t="n">
        <v>0</v>
      </c>
      <c r="V20" s="81" t="n">
        <v>0</v>
      </c>
      <c r="W20" s="81" t="n">
        <v>0</v>
      </c>
      <c r="X20" s="81" t="n">
        <v>0</v>
      </c>
      <c r="Y20" s="81" t="n">
        <v>0</v>
      </c>
      <c r="Z20" s="81" t="n">
        <v>0</v>
      </c>
      <c r="AA20" s="81" t="n">
        <v>0</v>
      </c>
    </row>
    <row r="21" customFormat="false" ht="15" hidden="false" customHeight="true" outlineLevel="0" collapsed="false">
      <c r="A21" s="30" t="s">
        <v>125</v>
      </c>
      <c r="B21" s="76"/>
      <c r="C21" s="76"/>
      <c r="D21" s="76"/>
      <c r="E21" s="76"/>
      <c r="F21" s="76"/>
      <c r="G21" s="76"/>
      <c r="H21" s="76"/>
      <c r="I21" s="76"/>
      <c r="J21" s="76"/>
      <c r="K21" s="76"/>
      <c r="L21" s="76"/>
      <c r="M21" s="76"/>
      <c r="N21" s="74" t="n">
        <v>12</v>
      </c>
      <c r="O21" s="74" t="n">
        <v>12</v>
      </c>
      <c r="P21" s="74" t="n">
        <v>12</v>
      </c>
      <c r="Q21" s="74" t="n">
        <v>12</v>
      </c>
      <c r="R21" s="74" t="n">
        <v>12</v>
      </c>
      <c r="S21" s="74" t="n">
        <v>1</v>
      </c>
      <c r="T21" s="74" t="n">
        <v>0</v>
      </c>
      <c r="U21" s="74" t="n">
        <v>0</v>
      </c>
      <c r="V21" s="81" t="n">
        <v>0</v>
      </c>
      <c r="W21" s="81" t="n">
        <v>0</v>
      </c>
      <c r="X21" s="81" t="n">
        <v>0</v>
      </c>
      <c r="Y21" s="81" t="n">
        <v>0</v>
      </c>
      <c r="Z21" s="81" t="n">
        <v>0</v>
      </c>
      <c r="AA21" s="81" t="n">
        <v>0</v>
      </c>
    </row>
    <row r="22" customFormat="false" ht="15" hidden="false" customHeight="true" outlineLevel="0" collapsed="false">
      <c r="A22" s="30" t="s">
        <v>126</v>
      </c>
      <c r="B22" s="76"/>
      <c r="C22" s="76"/>
      <c r="D22" s="76"/>
      <c r="E22" s="76"/>
      <c r="F22" s="76"/>
      <c r="G22" s="76"/>
      <c r="H22" s="76"/>
      <c r="I22" s="76"/>
      <c r="J22" s="76"/>
      <c r="K22" s="76"/>
      <c r="L22" s="76"/>
      <c r="M22" s="76"/>
      <c r="N22" s="76"/>
      <c r="O22" s="74" t="n">
        <v>12</v>
      </c>
      <c r="P22" s="74" t="n">
        <v>11</v>
      </c>
      <c r="Q22" s="74" t="n">
        <v>11</v>
      </c>
      <c r="R22" s="74" t="n">
        <v>11</v>
      </c>
      <c r="S22" s="74" t="n">
        <v>11</v>
      </c>
      <c r="T22" s="74" t="n">
        <v>0</v>
      </c>
      <c r="U22" s="74" t="n">
        <v>0</v>
      </c>
      <c r="V22" s="81" t="n">
        <v>0</v>
      </c>
      <c r="W22" s="81" t="n">
        <v>0</v>
      </c>
      <c r="X22" s="81" t="n">
        <v>0</v>
      </c>
      <c r="Y22" s="81" t="n">
        <v>0</v>
      </c>
      <c r="Z22" s="81" t="n">
        <v>0</v>
      </c>
      <c r="AA22" s="81" t="n">
        <v>0</v>
      </c>
    </row>
    <row r="23" customFormat="false" ht="15" hidden="false" customHeight="true" outlineLevel="0" collapsed="false">
      <c r="A23" s="30" t="s">
        <v>128</v>
      </c>
      <c r="B23" s="76"/>
      <c r="C23" s="76"/>
      <c r="D23" s="76"/>
      <c r="E23" s="76"/>
      <c r="F23" s="76"/>
      <c r="G23" s="76"/>
      <c r="H23" s="76"/>
      <c r="I23" s="76"/>
      <c r="J23" s="76"/>
      <c r="K23" s="76"/>
      <c r="L23" s="76"/>
      <c r="M23" s="76"/>
      <c r="N23" s="76"/>
      <c r="O23" s="76"/>
      <c r="P23" s="76"/>
      <c r="Q23" s="74" t="n">
        <v>6</v>
      </c>
      <c r="R23" s="74" t="n">
        <v>6</v>
      </c>
      <c r="S23" s="74" t="n">
        <v>6</v>
      </c>
      <c r="T23" s="74" t="n">
        <v>6</v>
      </c>
      <c r="U23" s="74" t="n">
        <v>6</v>
      </c>
      <c r="V23" s="81" t="n">
        <v>0</v>
      </c>
      <c r="W23" s="81" t="n">
        <v>0</v>
      </c>
      <c r="X23" s="81" t="n">
        <v>0</v>
      </c>
      <c r="Y23" s="81" t="n">
        <v>0</v>
      </c>
      <c r="Z23" s="81" t="n">
        <v>0</v>
      </c>
      <c r="AA23" s="81" t="n">
        <v>0</v>
      </c>
    </row>
    <row r="24" customFormat="false" ht="15" hidden="false" customHeight="true" outlineLevel="0" collapsed="false">
      <c r="A24" s="30" t="s">
        <v>129</v>
      </c>
      <c r="B24" s="76"/>
      <c r="C24" s="76"/>
      <c r="D24" s="76"/>
      <c r="E24" s="76"/>
      <c r="F24" s="76"/>
      <c r="G24" s="76"/>
      <c r="H24" s="76"/>
      <c r="I24" s="76"/>
      <c r="J24" s="76"/>
      <c r="K24" s="76"/>
      <c r="L24" s="76"/>
      <c r="M24" s="76"/>
      <c r="N24" s="76"/>
      <c r="O24" s="76"/>
      <c r="P24" s="76"/>
      <c r="Q24" s="76"/>
      <c r="R24" s="74" t="n">
        <v>9</v>
      </c>
      <c r="S24" s="74" t="n">
        <v>9</v>
      </c>
      <c r="T24" s="74" t="n">
        <v>8</v>
      </c>
      <c r="U24" s="74" t="n">
        <v>9</v>
      </c>
      <c r="V24" s="81" t="n">
        <v>7</v>
      </c>
      <c r="W24" s="81" t="n">
        <v>0</v>
      </c>
      <c r="X24" s="81" t="n">
        <v>0</v>
      </c>
      <c r="Y24" s="81" t="n">
        <v>0</v>
      </c>
      <c r="Z24" s="81" t="n">
        <v>0</v>
      </c>
      <c r="AA24" s="81" t="n">
        <v>0</v>
      </c>
    </row>
    <row r="25" customFormat="false" ht="15" hidden="false" customHeight="true" outlineLevel="0" collapsed="false">
      <c r="A25" s="30" t="s">
        <v>130</v>
      </c>
      <c r="B25" s="76"/>
      <c r="C25" s="76"/>
      <c r="D25" s="76"/>
      <c r="E25" s="76"/>
      <c r="F25" s="76"/>
      <c r="G25" s="76"/>
      <c r="H25" s="76"/>
      <c r="I25" s="76"/>
      <c r="J25" s="76"/>
      <c r="K25" s="76"/>
      <c r="L25" s="76"/>
      <c r="M25" s="76"/>
      <c r="N25" s="76"/>
      <c r="O25" s="76"/>
      <c r="P25" s="76"/>
      <c r="Q25" s="76"/>
      <c r="R25" s="76"/>
      <c r="S25" s="74" t="n">
        <v>1</v>
      </c>
      <c r="T25" s="74" t="n">
        <v>1</v>
      </c>
      <c r="U25" s="74" t="n">
        <v>1</v>
      </c>
      <c r="V25" s="81" t="n">
        <v>1</v>
      </c>
      <c r="W25" s="81" t="n">
        <v>1</v>
      </c>
      <c r="X25" s="81" t="n">
        <v>0</v>
      </c>
      <c r="Y25" s="81" t="n">
        <v>0</v>
      </c>
      <c r="Z25" s="81" t="n">
        <v>0</v>
      </c>
      <c r="AA25" s="81" t="n">
        <v>0</v>
      </c>
    </row>
    <row r="26" customFormat="false" ht="15" hidden="false" customHeight="true" outlineLevel="0" collapsed="false">
      <c r="A26" s="30" t="s">
        <v>131</v>
      </c>
      <c r="B26" s="76"/>
      <c r="C26" s="76"/>
      <c r="D26" s="76"/>
      <c r="E26" s="76"/>
      <c r="F26" s="76"/>
      <c r="G26" s="76"/>
      <c r="H26" s="76"/>
      <c r="I26" s="76"/>
      <c r="J26" s="76"/>
      <c r="K26" s="76"/>
      <c r="L26" s="76"/>
      <c r="M26" s="76"/>
      <c r="N26" s="76"/>
      <c r="O26" s="76"/>
      <c r="P26" s="76"/>
      <c r="Q26" s="76"/>
      <c r="R26" s="76"/>
      <c r="S26" s="76"/>
      <c r="T26" s="74" t="n">
        <v>5</v>
      </c>
      <c r="U26" s="74" t="n">
        <v>5</v>
      </c>
      <c r="V26" s="81" t="n">
        <v>5</v>
      </c>
      <c r="W26" s="81" t="n">
        <v>5</v>
      </c>
      <c r="X26" s="81" t="n">
        <v>4</v>
      </c>
      <c r="Y26" s="81" t="n">
        <v>0</v>
      </c>
      <c r="Z26" s="81" t="n">
        <v>0</v>
      </c>
      <c r="AA26" s="81" t="n">
        <v>0</v>
      </c>
    </row>
    <row r="27" customFormat="false" ht="15" hidden="false" customHeight="true" outlineLevel="0" collapsed="false">
      <c r="A27" s="82" t="s">
        <v>524</v>
      </c>
      <c r="B27" s="76"/>
      <c r="C27" s="76"/>
      <c r="D27" s="76"/>
      <c r="E27" s="76"/>
      <c r="F27" s="76"/>
      <c r="G27" s="76"/>
      <c r="H27" s="76"/>
      <c r="I27" s="76"/>
      <c r="J27" s="76"/>
      <c r="K27" s="76"/>
      <c r="L27" s="76"/>
      <c r="M27" s="76"/>
      <c r="N27" s="76"/>
      <c r="O27" s="76"/>
      <c r="P27" s="76"/>
      <c r="Q27" s="76"/>
      <c r="R27" s="76"/>
      <c r="S27" s="76"/>
      <c r="T27" s="76"/>
      <c r="U27" s="76"/>
      <c r="V27" s="81" t="n">
        <v>5</v>
      </c>
      <c r="W27" s="81" t="n">
        <v>5</v>
      </c>
      <c r="X27" s="81" t="n">
        <v>5</v>
      </c>
      <c r="Y27" s="81" t="n">
        <v>5</v>
      </c>
      <c r="Z27" s="81" t="n">
        <v>4</v>
      </c>
      <c r="AA27" s="81" t="n">
        <v>0</v>
      </c>
    </row>
    <row r="28" customFormat="false" ht="15" hidden="false" customHeight="true" outlineLevel="0" collapsed="false">
      <c r="A28" s="82" t="s">
        <v>525</v>
      </c>
      <c r="B28" s="76"/>
      <c r="C28" s="76"/>
      <c r="D28" s="76"/>
      <c r="E28" s="76"/>
      <c r="F28" s="76"/>
      <c r="G28" s="76"/>
      <c r="H28" s="76"/>
      <c r="I28" s="76"/>
      <c r="J28" s="76"/>
      <c r="K28" s="76"/>
      <c r="L28" s="76"/>
      <c r="M28" s="76"/>
      <c r="N28" s="76"/>
      <c r="O28" s="76"/>
      <c r="P28" s="76"/>
      <c r="Q28" s="76"/>
      <c r="R28" s="76"/>
      <c r="S28" s="76"/>
      <c r="T28" s="76"/>
      <c r="U28" s="76"/>
      <c r="V28" s="76"/>
      <c r="W28" s="81" t="n">
        <v>5</v>
      </c>
      <c r="X28" s="81" t="n">
        <v>5</v>
      </c>
      <c r="Y28" s="81" t="n">
        <v>5</v>
      </c>
      <c r="Z28" s="81" t="n">
        <v>5</v>
      </c>
      <c r="AA28" s="81" t="n">
        <v>4</v>
      </c>
    </row>
    <row r="29" customFormat="false" ht="15" hidden="false" customHeight="true" outlineLevel="0" collapsed="false">
      <c r="A29" s="82" t="s">
        <v>526</v>
      </c>
      <c r="B29" s="76"/>
      <c r="C29" s="76"/>
      <c r="D29" s="76"/>
      <c r="E29" s="76"/>
      <c r="F29" s="76"/>
      <c r="G29" s="76"/>
      <c r="H29" s="76"/>
      <c r="I29" s="76"/>
      <c r="J29" s="76"/>
      <c r="K29" s="76"/>
      <c r="L29" s="76"/>
      <c r="M29" s="76"/>
      <c r="N29" s="76"/>
      <c r="O29" s="76"/>
      <c r="P29" s="76"/>
      <c r="Q29" s="76"/>
      <c r="R29" s="76"/>
      <c r="S29" s="76"/>
      <c r="T29" s="76"/>
      <c r="U29" s="76"/>
      <c r="V29" s="76"/>
      <c r="W29" s="76"/>
      <c r="X29" s="81" t="n">
        <v>5</v>
      </c>
      <c r="Y29" s="81" t="n">
        <v>5</v>
      </c>
      <c r="Z29" s="81" t="n">
        <v>5</v>
      </c>
      <c r="AA29" s="81" t="n">
        <v>5</v>
      </c>
    </row>
    <row r="30" customFormat="false" ht="15" hidden="false" customHeight="true" outlineLevel="0" collapsed="false">
      <c r="A30" s="82" t="s">
        <v>527</v>
      </c>
      <c r="B30" s="76"/>
      <c r="C30" s="76"/>
      <c r="D30" s="76"/>
      <c r="E30" s="76"/>
      <c r="F30" s="76"/>
      <c r="G30" s="76"/>
      <c r="H30" s="76"/>
      <c r="I30" s="76"/>
      <c r="J30" s="76"/>
      <c r="K30" s="76"/>
      <c r="L30" s="76"/>
      <c r="M30" s="76"/>
      <c r="N30" s="76"/>
      <c r="O30" s="76"/>
      <c r="P30" s="76"/>
      <c r="Q30" s="76"/>
      <c r="R30" s="76"/>
      <c r="S30" s="76"/>
      <c r="T30" s="76"/>
      <c r="U30" s="76"/>
      <c r="V30" s="76"/>
      <c r="W30" s="76"/>
      <c r="X30" s="76"/>
      <c r="Y30" s="81" t="n">
        <v>5</v>
      </c>
      <c r="Z30" s="81" t="n">
        <v>5</v>
      </c>
      <c r="AA30" s="81" t="n">
        <v>5</v>
      </c>
    </row>
    <row r="31" customFormat="false" ht="15" hidden="false" customHeight="true" outlineLevel="0" collapsed="false">
      <c r="A31" s="82" t="s">
        <v>528</v>
      </c>
      <c r="B31" s="76"/>
      <c r="C31" s="76"/>
      <c r="D31" s="76"/>
      <c r="E31" s="76"/>
      <c r="F31" s="76"/>
      <c r="G31" s="76"/>
      <c r="H31" s="76"/>
      <c r="I31" s="76"/>
      <c r="J31" s="76"/>
      <c r="K31" s="76"/>
      <c r="L31" s="76"/>
      <c r="M31" s="76"/>
      <c r="N31" s="76"/>
      <c r="O31" s="76"/>
      <c r="P31" s="76"/>
      <c r="Q31" s="76"/>
      <c r="R31" s="76"/>
      <c r="S31" s="76"/>
      <c r="T31" s="76"/>
      <c r="U31" s="76"/>
      <c r="V31" s="76"/>
      <c r="W31" s="76"/>
      <c r="X31" s="76"/>
      <c r="Y31" s="76"/>
      <c r="Z31" s="81" t="n">
        <v>5</v>
      </c>
      <c r="AA31" s="81" t="n">
        <v>5</v>
      </c>
    </row>
    <row r="32" customFormat="false" ht="15" hidden="false" customHeight="true" outlineLevel="0" collapsed="false">
      <c r="A32" s="82" t="s">
        <v>529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81" t="n">
        <v>5</v>
      </c>
    </row>
    <row r="33" customFormat="false" ht="15" hidden="false" customHeight="true" outlineLevel="0" collapsed="false">
      <c r="A33" s="34" t="s">
        <v>514</v>
      </c>
      <c r="B33" s="79"/>
      <c r="C33" s="79" t="n">
        <v>17</v>
      </c>
      <c r="D33" s="79" t="n">
        <v>27</v>
      </c>
      <c r="E33" s="79" t="n">
        <v>38</v>
      </c>
      <c r="F33" s="79" t="n">
        <v>47</v>
      </c>
      <c r="G33" s="79" t="n">
        <v>29</v>
      </c>
      <c r="H33" s="79" t="n">
        <v>39</v>
      </c>
      <c r="I33" s="79" t="n">
        <v>55</v>
      </c>
      <c r="J33" s="79" t="n">
        <v>46</v>
      </c>
      <c r="K33" s="79" t="n">
        <v>49</v>
      </c>
      <c r="L33" s="79" t="n">
        <v>63</v>
      </c>
      <c r="M33" s="79" t="n">
        <v>44</v>
      </c>
      <c r="N33" s="79" t="n">
        <v>40</v>
      </c>
      <c r="O33" s="79" t="n">
        <v>52</v>
      </c>
      <c r="P33" s="79" t="n">
        <v>39</v>
      </c>
      <c r="Q33" s="79" t="n">
        <v>32</v>
      </c>
      <c r="R33" s="79" t="n">
        <v>39</v>
      </c>
      <c r="S33" s="79" t="n">
        <v>29</v>
      </c>
      <c r="T33" s="79" t="n">
        <v>20</v>
      </c>
      <c r="U33" s="79" t="n">
        <v>21</v>
      </c>
      <c r="V33" s="79" t="n">
        <v>18</v>
      </c>
      <c r="W33" s="79" t="n">
        <v>16</v>
      </c>
      <c r="X33" s="79" t="n">
        <v>19</v>
      </c>
      <c r="Y33" s="79" t="n">
        <v>20</v>
      </c>
      <c r="Z33" s="79" t="n">
        <v>23</v>
      </c>
      <c r="AA33" s="79" t="n">
        <v>23</v>
      </c>
    </row>
    <row r="35" customFormat="false" ht="45" hidden="false" customHeight="true" outlineLevel="0" collapsed="false">
      <c r="A35" s="65" t="s">
        <v>405</v>
      </c>
      <c r="B35" s="65"/>
      <c r="C35" s="65"/>
      <c r="D35" s="65"/>
      <c r="E35" s="65"/>
      <c r="F35" s="65"/>
      <c r="G35" s="65"/>
      <c r="H35" s="65"/>
      <c r="I35" s="65"/>
    </row>
    <row r="36" customFormat="false" ht="15" hidden="false" customHeight="true" outlineLevel="0" collapsed="false">
      <c r="A36" s="29" t="s">
        <v>272</v>
      </c>
      <c r="B36" s="29"/>
      <c r="C36" s="29"/>
      <c r="D36" s="29"/>
      <c r="E36" s="29"/>
      <c r="F36" s="29"/>
      <c r="G36" s="29"/>
      <c r="H36" s="29"/>
      <c r="I36" s="29"/>
    </row>
    <row r="38" customFormat="false" ht="19.5" hidden="false" customHeight="true" outlineLevel="0" collapsed="false">
      <c r="A38" s="65" t="s">
        <v>406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row>
    <row r="39" customFormat="false" ht="15" hidden="false" customHeight="true" outlineLevel="0" collapsed="false">
      <c r="A39" s="80" t="s">
        <v>530</v>
      </c>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row>
    <row r="40" customFormat="false" ht="15" hidden="false" customHeight="true" outlineLevel="0" collapsed="false">
      <c r="A40" s="12" t="s">
        <v>513</v>
      </c>
      <c r="B40" s="12" t="s">
        <v>113</v>
      </c>
      <c r="C40" s="12" t="s">
        <v>114</v>
      </c>
      <c r="D40" s="12" t="s">
        <v>115</v>
      </c>
      <c r="E40" s="12" t="s">
        <v>116</v>
      </c>
      <c r="F40" s="12" t="s">
        <v>117</v>
      </c>
      <c r="G40" s="12" t="s">
        <v>118</v>
      </c>
      <c r="H40" s="12" t="s">
        <v>119</v>
      </c>
      <c r="I40" s="12" t="s">
        <v>120</v>
      </c>
      <c r="J40" s="12" t="s">
        <v>121</v>
      </c>
      <c r="K40" s="12" t="s">
        <v>122</v>
      </c>
      <c r="L40" s="12" t="s">
        <v>123</v>
      </c>
      <c r="M40" s="12" t="s">
        <v>124</v>
      </c>
      <c r="N40" s="12" t="s">
        <v>125</v>
      </c>
      <c r="O40" s="12" t="s">
        <v>126</v>
      </c>
      <c r="P40" s="12" t="s">
        <v>127</v>
      </c>
      <c r="Q40" s="12" t="s">
        <v>128</v>
      </c>
      <c r="R40" s="12" t="s">
        <v>129</v>
      </c>
      <c r="S40" s="12" t="s">
        <v>130</v>
      </c>
      <c r="T40" s="12" t="s">
        <v>131</v>
      </c>
      <c r="U40" s="12" t="s">
        <v>132</v>
      </c>
      <c r="V40" s="12" t="s">
        <v>518</v>
      </c>
      <c r="W40" s="12" t="s">
        <v>519</v>
      </c>
      <c r="X40" s="12" t="s">
        <v>520</v>
      </c>
      <c r="Y40" s="12" t="s">
        <v>521</v>
      </c>
      <c r="Z40" s="12" t="s">
        <v>522</v>
      </c>
      <c r="AA40" s="12" t="s">
        <v>523</v>
      </c>
    </row>
    <row r="41" customFormat="false" ht="15" hidden="false" customHeight="true" outlineLevel="0" collapsed="false">
      <c r="A41" s="30" t="s">
        <v>113</v>
      </c>
      <c r="B41" s="74" t="n">
        <v>8</v>
      </c>
      <c r="C41" s="74" t="n">
        <v>7</v>
      </c>
      <c r="D41" s="74" t="n">
        <v>6</v>
      </c>
      <c r="E41" s="74" t="n">
        <v>1</v>
      </c>
      <c r="F41" s="74" t="n">
        <v>3</v>
      </c>
      <c r="G41" s="74" t="n">
        <v>2</v>
      </c>
      <c r="H41" s="74" t="n">
        <v>0</v>
      </c>
      <c r="I41" s="74" t="n">
        <v>1</v>
      </c>
      <c r="J41" s="74" t="n">
        <v>0</v>
      </c>
      <c r="K41" s="74" t="n">
        <v>0</v>
      </c>
      <c r="L41" s="74" t="n">
        <v>0</v>
      </c>
      <c r="M41" s="74" t="n">
        <v>0</v>
      </c>
      <c r="N41" s="74" t="n">
        <v>0</v>
      </c>
      <c r="O41" s="74" t="n">
        <v>0</v>
      </c>
      <c r="P41" s="74" t="n">
        <v>0</v>
      </c>
      <c r="Q41" s="74" t="n">
        <v>0</v>
      </c>
      <c r="R41" s="74" t="n">
        <v>0</v>
      </c>
      <c r="S41" s="74" t="n">
        <v>0</v>
      </c>
      <c r="T41" s="74" t="n">
        <v>0</v>
      </c>
      <c r="U41" s="74" t="n">
        <v>0</v>
      </c>
      <c r="V41" s="81" t="n">
        <v>0</v>
      </c>
      <c r="W41" s="81" t="n">
        <v>0</v>
      </c>
      <c r="X41" s="81" t="n">
        <v>0</v>
      </c>
      <c r="Y41" s="81" t="n">
        <v>0</v>
      </c>
      <c r="Z41" s="81" t="n">
        <v>0</v>
      </c>
      <c r="AA41" s="81" t="n">
        <v>0</v>
      </c>
    </row>
    <row r="42" customFormat="false" ht="15" hidden="false" customHeight="true" outlineLevel="0" collapsed="false">
      <c r="A42" s="30" t="s">
        <v>114</v>
      </c>
      <c r="B42" s="76"/>
      <c r="C42" s="74" t="n">
        <v>31</v>
      </c>
      <c r="D42" s="74" t="n">
        <v>27</v>
      </c>
      <c r="E42" s="74" t="n">
        <v>22</v>
      </c>
      <c r="F42" s="74" t="n">
        <v>20</v>
      </c>
      <c r="G42" s="74" t="n">
        <v>18</v>
      </c>
      <c r="H42" s="74" t="n">
        <v>10</v>
      </c>
      <c r="I42" s="74" t="n">
        <v>9</v>
      </c>
      <c r="J42" s="74" t="n">
        <v>8</v>
      </c>
      <c r="K42" s="74" t="n">
        <v>3</v>
      </c>
      <c r="L42" s="74" t="n">
        <v>4</v>
      </c>
      <c r="M42" s="74" t="n">
        <v>2</v>
      </c>
      <c r="N42" s="74" t="n">
        <v>1</v>
      </c>
      <c r="O42" s="74" t="n">
        <v>2</v>
      </c>
      <c r="P42" s="74" t="n">
        <v>1</v>
      </c>
      <c r="Q42" s="74" t="n">
        <v>0</v>
      </c>
      <c r="R42" s="74" t="n">
        <v>0</v>
      </c>
      <c r="S42" s="74" t="n">
        <v>0</v>
      </c>
      <c r="T42" s="74" t="n">
        <v>0</v>
      </c>
      <c r="U42" s="74" t="n">
        <v>0</v>
      </c>
      <c r="V42" s="81" t="n">
        <v>0</v>
      </c>
      <c r="W42" s="81" t="n">
        <v>0</v>
      </c>
      <c r="X42" s="81" t="n">
        <v>0</v>
      </c>
      <c r="Y42" s="81" t="n">
        <v>0</v>
      </c>
      <c r="Z42" s="81" t="n">
        <v>0</v>
      </c>
      <c r="AA42" s="81" t="n">
        <v>0</v>
      </c>
    </row>
    <row r="43" customFormat="false" ht="15" hidden="false" customHeight="true" outlineLevel="0" collapsed="false">
      <c r="A43" s="30" t="s">
        <v>115</v>
      </c>
      <c r="B43" s="76"/>
      <c r="C43" s="76"/>
      <c r="D43" s="74" t="n">
        <v>41</v>
      </c>
      <c r="E43" s="74" t="n">
        <v>31</v>
      </c>
      <c r="F43" s="74" t="n">
        <v>30</v>
      </c>
      <c r="G43" s="74" t="n">
        <v>29</v>
      </c>
      <c r="H43" s="74" t="n">
        <v>12</v>
      </c>
      <c r="I43" s="74" t="n">
        <v>17</v>
      </c>
      <c r="J43" s="74" t="n">
        <v>11</v>
      </c>
      <c r="K43" s="74" t="n">
        <v>5</v>
      </c>
      <c r="L43" s="74" t="n">
        <v>6</v>
      </c>
      <c r="M43" s="74" t="n">
        <v>5</v>
      </c>
      <c r="N43" s="74" t="n">
        <v>1</v>
      </c>
      <c r="O43" s="74" t="n">
        <v>1</v>
      </c>
      <c r="P43" s="74" t="n">
        <v>1</v>
      </c>
      <c r="Q43" s="74" t="n">
        <v>0</v>
      </c>
      <c r="R43" s="74" t="n">
        <v>0</v>
      </c>
      <c r="S43" s="74" t="n">
        <v>0</v>
      </c>
      <c r="T43" s="74" t="n">
        <v>0</v>
      </c>
      <c r="U43" s="74" t="n">
        <v>0</v>
      </c>
      <c r="V43" s="81" t="n">
        <v>0</v>
      </c>
      <c r="W43" s="81" t="n">
        <v>0</v>
      </c>
      <c r="X43" s="81" t="n">
        <v>0</v>
      </c>
      <c r="Y43" s="81" t="n">
        <v>0</v>
      </c>
      <c r="Z43" s="81" t="n">
        <v>0</v>
      </c>
      <c r="AA43" s="81" t="n">
        <v>0</v>
      </c>
    </row>
    <row r="44" customFormat="false" ht="15" hidden="false" customHeight="true" outlineLevel="0" collapsed="false">
      <c r="A44" s="30" t="s">
        <v>116</v>
      </c>
      <c r="B44" s="76"/>
      <c r="C44" s="76"/>
      <c r="D44" s="76"/>
      <c r="E44" s="74" t="n">
        <v>12</v>
      </c>
      <c r="F44" s="74" t="n">
        <v>9</v>
      </c>
      <c r="G44" s="74" t="n">
        <v>9</v>
      </c>
      <c r="H44" s="74" t="n">
        <v>6</v>
      </c>
      <c r="I44" s="74" t="n">
        <v>6</v>
      </c>
      <c r="J44" s="74" t="n">
        <v>3</v>
      </c>
      <c r="K44" s="74" t="n">
        <v>1</v>
      </c>
      <c r="L44" s="74" t="n">
        <v>1</v>
      </c>
      <c r="M44" s="74" t="n">
        <v>1</v>
      </c>
      <c r="N44" s="74" t="n">
        <v>1</v>
      </c>
      <c r="O44" s="74" t="n">
        <v>1</v>
      </c>
      <c r="P44" s="74" t="n">
        <v>0</v>
      </c>
      <c r="Q44" s="74" t="n">
        <v>0</v>
      </c>
      <c r="R44" s="74" t="n">
        <v>0</v>
      </c>
      <c r="S44" s="74" t="n">
        <v>0</v>
      </c>
      <c r="T44" s="74" t="n">
        <v>0</v>
      </c>
      <c r="U44" s="74" t="n">
        <v>0</v>
      </c>
      <c r="V44" s="81" t="n">
        <v>0</v>
      </c>
      <c r="W44" s="81" t="n">
        <v>0</v>
      </c>
      <c r="X44" s="81" t="n">
        <v>0</v>
      </c>
      <c r="Y44" s="81" t="n">
        <v>0</v>
      </c>
      <c r="Z44" s="81" t="n">
        <v>0</v>
      </c>
      <c r="AA44" s="81" t="n">
        <v>0</v>
      </c>
    </row>
    <row r="45" customFormat="false" ht="15" hidden="false" customHeight="true" outlineLevel="0" collapsed="false">
      <c r="A45" s="30" t="s">
        <v>117</v>
      </c>
      <c r="B45" s="76"/>
      <c r="C45" s="76"/>
      <c r="D45" s="76"/>
      <c r="E45" s="76"/>
      <c r="F45" s="74" t="n">
        <v>28</v>
      </c>
      <c r="G45" s="74" t="n">
        <v>26</v>
      </c>
      <c r="H45" s="74" t="n">
        <v>19</v>
      </c>
      <c r="I45" s="74" t="n">
        <v>21</v>
      </c>
      <c r="J45" s="74" t="n">
        <v>17</v>
      </c>
      <c r="K45" s="74" t="n">
        <v>9</v>
      </c>
      <c r="L45" s="74" t="n">
        <v>9</v>
      </c>
      <c r="M45" s="74" t="n">
        <v>6</v>
      </c>
      <c r="N45" s="74" t="n">
        <v>3</v>
      </c>
      <c r="O45" s="74" t="n">
        <v>3</v>
      </c>
      <c r="P45" s="74" t="n">
        <v>2</v>
      </c>
      <c r="Q45" s="74" t="n">
        <v>0</v>
      </c>
      <c r="R45" s="74" t="n">
        <v>1</v>
      </c>
      <c r="S45" s="74" t="n">
        <v>1</v>
      </c>
      <c r="T45" s="74" t="n">
        <v>0</v>
      </c>
      <c r="U45" s="74" t="n">
        <v>1</v>
      </c>
      <c r="V45" s="81" t="n">
        <v>0</v>
      </c>
      <c r="W45" s="81" t="n">
        <v>0</v>
      </c>
      <c r="X45" s="81" t="n">
        <v>0</v>
      </c>
      <c r="Y45" s="81" t="n">
        <v>0</v>
      </c>
      <c r="Z45" s="81" t="n">
        <v>0</v>
      </c>
      <c r="AA45" s="81" t="n">
        <v>0</v>
      </c>
    </row>
    <row r="46" customFormat="false" ht="15" hidden="false" customHeight="true" outlineLevel="0" collapsed="false">
      <c r="A46" s="30" t="s">
        <v>118</v>
      </c>
      <c r="B46" s="76"/>
      <c r="C46" s="76"/>
      <c r="D46" s="76"/>
      <c r="E46" s="76"/>
      <c r="F46" s="76"/>
      <c r="G46" s="74" t="n">
        <v>29</v>
      </c>
      <c r="H46" s="74" t="n">
        <v>22</v>
      </c>
      <c r="I46" s="74" t="n">
        <v>22</v>
      </c>
      <c r="J46" s="74" t="n">
        <v>20</v>
      </c>
      <c r="K46" s="74" t="n">
        <v>12</v>
      </c>
      <c r="L46" s="74" t="n">
        <v>15</v>
      </c>
      <c r="M46" s="74" t="n">
        <v>10</v>
      </c>
      <c r="N46" s="74" t="n">
        <v>6</v>
      </c>
      <c r="O46" s="74" t="n">
        <v>6</v>
      </c>
      <c r="P46" s="74" t="n">
        <v>3</v>
      </c>
      <c r="Q46" s="74" t="n">
        <v>1</v>
      </c>
      <c r="R46" s="74" t="n">
        <v>3</v>
      </c>
      <c r="S46" s="74" t="n">
        <v>1</v>
      </c>
      <c r="T46" s="74" t="n">
        <v>0</v>
      </c>
      <c r="U46" s="74" t="n">
        <v>0</v>
      </c>
      <c r="V46" s="81" t="n">
        <v>0</v>
      </c>
      <c r="W46" s="81" t="n">
        <v>0</v>
      </c>
      <c r="X46" s="81" t="n">
        <v>0</v>
      </c>
      <c r="Y46" s="81" t="n">
        <v>0</v>
      </c>
      <c r="Z46" s="81" t="n">
        <v>0</v>
      </c>
      <c r="AA46" s="81" t="n">
        <v>0</v>
      </c>
    </row>
    <row r="47" customFormat="false" ht="15" hidden="false" customHeight="true" outlineLevel="0" collapsed="false">
      <c r="A47" s="30" t="s">
        <v>119</v>
      </c>
      <c r="B47" s="76"/>
      <c r="C47" s="76"/>
      <c r="D47" s="76"/>
      <c r="E47" s="76"/>
      <c r="F47" s="76"/>
      <c r="G47" s="76"/>
      <c r="H47" s="74" t="n">
        <v>7</v>
      </c>
      <c r="I47" s="74" t="n">
        <v>7</v>
      </c>
      <c r="J47" s="74" t="n">
        <v>6</v>
      </c>
      <c r="K47" s="74" t="n">
        <v>3</v>
      </c>
      <c r="L47" s="74" t="n">
        <v>5</v>
      </c>
      <c r="M47" s="74" t="n">
        <v>3</v>
      </c>
      <c r="N47" s="74" t="n">
        <v>2</v>
      </c>
      <c r="O47" s="74" t="n">
        <v>2</v>
      </c>
      <c r="P47" s="74" t="n">
        <v>1</v>
      </c>
      <c r="Q47" s="74" t="n">
        <v>0</v>
      </c>
      <c r="R47" s="74" t="n">
        <v>0</v>
      </c>
      <c r="S47" s="74" t="n">
        <v>0</v>
      </c>
      <c r="T47" s="74" t="n">
        <v>0</v>
      </c>
      <c r="U47" s="74" t="n">
        <v>0</v>
      </c>
      <c r="V47" s="81" t="n">
        <v>0</v>
      </c>
      <c r="W47" s="81" t="n">
        <v>0</v>
      </c>
      <c r="X47" s="81" t="n">
        <v>0</v>
      </c>
      <c r="Y47" s="81" t="n">
        <v>0</v>
      </c>
      <c r="Z47" s="81" t="n">
        <v>0</v>
      </c>
      <c r="AA47" s="81" t="n">
        <v>0</v>
      </c>
    </row>
    <row r="48" customFormat="false" ht="15" hidden="false" customHeight="true" outlineLevel="0" collapsed="false">
      <c r="A48" s="30" t="s">
        <v>120</v>
      </c>
      <c r="B48" s="76"/>
      <c r="C48" s="76"/>
      <c r="D48" s="76"/>
      <c r="E48" s="76"/>
      <c r="F48" s="76"/>
      <c r="G48" s="76"/>
      <c r="H48" s="76"/>
      <c r="I48" s="74" t="n">
        <v>29</v>
      </c>
      <c r="J48" s="74" t="n">
        <v>26</v>
      </c>
      <c r="K48" s="74" t="n">
        <v>19</v>
      </c>
      <c r="L48" s="74" t="n">
        <v>17</v>
      </c>
      <c r="M48" s="74" t="n">
        <v>14</v>
      </c>
      <c r="N48" s="74" t="n">
        <v>8</v>
      </c>
      <c r="O48" s="74" t="n">
        <v>4</v>
      </c>
      <c r="P48" s="74" t="n">
        <v>4</v>
      </c>
      <c r="Q48" s="74" t="n">
        <v>1</v>
      </c>
      <c r="R48" s="74" t="n">
        <v>2</v>
      </c>
      <c r="S48" s="74" t="n">
        <v>1</v>
      </c>
      <c r="T48" s="74" t="n">
        <v>1</v>
      </c>
      <c r="U48" s="74" t="n">
        <v>1</v>
      </c>
      <c r="V48" s="81" t="n">
        <v>0</v>
      </c>
      <c r="W48" s="81" t="n">
        <v>0</v>
      </c>
      <c r="X48" s="81" t="n">
        <v>0</v>
      </c>
      <c r="Y48" s="81" t="n">
        <v>0</v>
      </c>
      <c r="Z48" s="81" t="n">
        <v>0</v>
      </c>
      <c r="AA48" s="81" t="n">
        <v>0</v>
      </c>
    </row>
    <row r="49" customFormat="false" ht="15" hidden="false" customHeight="true" outlineLevel="0" collapsed="false">
      <c r="A49" s="30" t="s">
        <v>121</v>
      </c>
      <c r="B49" s="76"/>
      <c r="C49" s="76"/>
      <c r="D49" s="76"/>
      <c r="E49" s="76"/>
      <c r="F49" s="76"/>
      <c r="G49" s="76"/>
      <c r="H49" s="76"/>
      <c r="I49" s="76"/>
      <c r="J49" s="74" t="n">
        <v>16</v>
      </c>
      <c r="K49" s="74" t="n">
        <v>10</v>
      </c>
      <c r="L49" s="74" t="n">
        <v>9</v>
      </c>
      <c r="M49" s="74" t="n">
        <v>7</v>
      </c>
      <c r="N49" s="74" t="n">
        <v>5</v>
      </c>
      <c r="O49" s="74" t="n">
        <v>6</v>
      </c>
      <c r="P49" s="74" t="n">
        <v>4</v>
      </c>
      <c r="Q49" s="74" t="n">
        <v>2</v>
      </c>
      <c r="R49" s="74" t="n">
        <v>3</v>
      </c>
      <c r="S49" s="74" t="n">
        <v>1</v>
      </c>
      <c r="T49" s="74" t="n">
        <v>2</v>
      </c>
      <c r="U49" s="74" t="n">
        <v>0</v>
      </c>
      <c r="V49" s="81" t="n">
        <v>0</v>
      </c>
      <c r="W49" s="81" t="n">
        <v>0</v>
      </c>
      <c r="X49" s="81" t="n">
        <v>0</v>
      </c>
      <c r="Y49" s="81" t="n">
        <v>0</v>
      </c>
      <c r="Z49" s="81" t="n">
        <v>0</v>
      </c>
      <c r="AA49" s="81" t="n">
        <v>0</v>
      </c>
    </row>
    <row r="50" customFormat="false" ht="15" hidden="false" customHeight="true" outlineLevel="0" collapsed="false">
      <c r="A50" s="30" t="s">
        <v>122</v>
      </c>
      <c r="B50" s="76"/>
      <c r="C50" s="76"/>
      <c r="D50" s="76"/>
      <c r="E50" s="76"/>
      <c r="F50" s="76"/>
      <c r="G50" s="76"/>
      <c r="H50" s="76"/>
      <c r="I50" s="76"/>
      <c r="J50" s="76"/>
      <c r="K50" s="74" t="n">
        <v>17</v>
      </c>
      <c r="L50" s="74" t="n">
        <v>10</v>
      </c>
      <c r="M50" s="74" t="n">
        <v>8</v>
      </c>
      <c r="N50" s="74" t="n">
        <v>6</v>
      </c>
      <c r="O50" s="74" t="n">
        <v>7</v>
      </c>
      <c r="P50" s="74" t="n">
        <v>6</v>
      </c>
      <c r="Q50" s="74" t="n">
        <v>1</v>
      </c>
      <c r="R50" s="74" t="n">
        <v>2</v>
      </c>
      <c r="S50" s="74" t="n">
        <v>1</v>
      </c>
      <c r="T50" s="74" t="n">
        <v>1</v>
      </c>
      <c r="U50" s="74" t="n">
        <v>1</v>
      </c>
      <c r="V50" s="81" t="n">
        <v>1</v>
      </c>
      <c r="W50" s="81" t="n">
        <v>1</v>
      </c>
      <c r="X50" s="81" t="n">
        <v>0</v>
      </c>
      <c r="Y50" s="81" t="n">
        <v>0</v>
      </c>
      <c r="Z50" s="81" t="n">
        <v>0</v>
      </c>
      <c r="AA50" s="81" t="n">
        <v>0</v>
      </c>
    </row>
    <row r="51" customFormat="false" ht="15" hidden="false" customHeight="true" outlineLevel="0" collapsed="false">
      <c r="A51" s="30" t="s">
        <v>123</v>
      </c>
      <c r="B51" s="76"/>
      <c r="C51" s="76"/>
      <c r="D51" s="76"/>
      <c r="E51" s="76"/>
      <c r="F51" s="76"/>
      <c r="G51" s="76"/>
      <c r="H51" s="76"/>
      <c r="I51" s="76"/>
      <c r="J51" s="76"/>
      <c r="K51" s="76"/>
      <c r="L51" s="74" t="n">
        <v>30</v>
      </c>
      <c r="M51" s="74" t="n">
        <v>24</v>
      </c>
      <c r="N51" s="74" t="n">
        <v>18</v>
      </c>
      <c r="O51" s="74" t="n">
        <v>17</v>
      </c>
      <c r="P51" s="74" t="n">
        <v>15</v>
      </c>
      <c r="Q51" s="74" t="n">
        <v>8</v>
      </c>
      <c r="R51" s="74" t="n">
        <v>10</v>
      </c>
      <c r="S51" s="74" t="n">
        <v>5</v>
      </c>
      <c r="T51" s="74" t="n">
        <v>2</v>
      </c>
      <c r="U51" s="74" t="n">
        <v>4</v>
      </c>
      <c r="V51" s="81" t="n">
        <v>2</v>
      </c>
      <c r="W51" s="81" t="n">
        <v>1</v>
      </c>
      <c r="X51" s="81" t="n">
        <v>1</v>
      </c>
      <c r="Y51" s="81" t="n">
        <v>0</v>
      </c>
      <c r="Z51" s="81" t="n">
        <v>0</v>
      </c>
      <c r="AA51" s="81" t="n">
        <v>0</v>
      </c>
    </row>
    <row r="52" customFormat="false" ht="15" hidden="false" customHeight="true" outlineLevel="0" collapsed="false">
      <c r="A52" s="30" t="s">
        <v>124</v>
      </c>
      <c r="B52" s="76"/>
      <c r="C52" s="76"/>
      <c r="D52" s="76"/>
      <c r="E52" s="76"/>
      <c r="F52" s="76"/>
      <c r="G52" s="76"/>
      <c r="H52" s="76"/>
      <c r="I52" s="76"/>
      <c r="J52" s="76"/>
      <c r="K52" s="76"/>
      <c r="L52" s="76"/>
      <c r="M52" s="74" t="n">
        <v>24</v>
      </c>
      <c r="N52" s="74" t="n">
        <v>16</v>
      </c>
      <c r="O52" s="74" t="n">
        <v>20</v>
      </c>
      <c r="P52" s="74" t="n">
        <v>13</v>
      </c>
      <c r="Q52" s="74" t="n">
        <v>6</v>
      </c>
      <c r="R52" s="74" t="n">
        <v>8</v>
      </c>
      <c r="S52" s="74" t="n">
        <v>4</v>
      </c>
      <c r="T52" s="74" t="n">
        <v>4</v>
      </c>
      <c r="U52" s="74" t="n">
        <v>0</v>
      </c>
      <c r="V52" s="81" t="n">
        <v>0</v>
      </c>
      <c r="W52" s="81" t="n">
        <v>0</v>
      </c>
      <c r="X52" s="81" t="n">
        <v>0</v>
      </c>
      <c r="Y52" s="81" t="n">
        <v>0</v>
      </c>
      <c r="Z52" s="81" t="n">
        <v>0</v>
      </c>
      <c r="AA52" s="81" t="n">
        <v>0</v>
      </c>
    </row>
    <row r="53" customFormat="false" ht="15" hidden="false" customHeight="true" outlineLevel="0" collapsed="false">
      <c r="A53" s="30" t="s">
        <v>125</v>
      </c>
      <c r="B53" s="76"/>
      <c r="C53" s="76"/>
      <c r="D53" s="76"/>
      <c r="E53" s="76"/>
      <c r="F53" s="76"/>
      <c r="G53" s="76"/>
      <c r="H53" s="76"/>
      <c r="I53" s="76"/>
      <c r="J53" s="76"/>
      <c r="K53" s="76"/>
      <c r="L53" s="76"/>
      <c r="M53" s="76"/>
      <c r="N53" s="74" t="n">
        <v>9</v>
      </c>
      <c r="O53" s="74" t="n">
        <v>9</v>
      </c>
      <c r="P53" s="74" t="n">
        <v>6</v>
      </c>
      <c r="Q53" s="74" t="n">
        <v>5</v>
      </c>
      <c r="R53" s="74" t="n">
        <v>6</v>
      </c>
      <c r="S53" s="74" t="n">
        <v>3</v>
      </c>
      <c r="T53" s="74" t="n">
        <v>0</v>
      </c>
      <c r="U53" s="74" t="n">
        <v>1</v>
      </c>
      <c r="V53" s="81" t="n">
        <v>1</v>
      </c>
      <c r="W53" s="81" t="n">
        <v>1</v>
      </c>
      <c r="X53" s="81" t="n">
        <v>0</v>
      </c>
      <c r="Y53" s="81" t="n">
        <v>0</v>
      </c>
      <c r="Z53" s="81" t="n">
        <v>0</v>
      </c>
      <c r="AA53" s="81" t="n">
        <v>0</v>
      </c>
    </row>
    <row r="54" customFormat="false" ht="15" hidden="false" customHeight="true" outlineLevel="0" collapsed="false">
      <c r="A54" s="30" t="s">
        <v>126</v>
      </c>
      <c r="B54" s="76"/>
      <c r="C54" s="76"/>
      <c r="D54" s="76"/>
      <c r="E54" s="76"/>
      <c r="F54" s="76"/>
      <c r="G54" s="76"/>
      <c r="H54" s="76"/>
      <c r="I54" s="76"/>
      <c r="J54" s="76"/>
      <c r="K54" s="76"/>
      <c r="L54" s="76"/>
      <c r="M54" s="76"/>
      <c r="N54" s="76"/>
      <c r="O54" s="74" t="n">
        <v>30</v>
      </c>
      <c r="P54" s="74" t="n">
        <v>25</v>
      </c>
      <c r="Q54" s="74" t="n">
        <v>23</v>
      </c>
      <c r="R54" s="74" t="n">
        <v>24</v>
      </c>
      <c r="S54" s="74" t="n">
        <v>20</v>
      </c>
      <c r="T54" s="74" t="n">
        <v>10</v>
      </c>
      <c r="U54" s="74" t="n">
        <v>5</v>
      </c>
      <c r="V54" s="81" t="n">
        <v>4</v>
      </c>
      <c r="W54" s="81" t="n">
        <v>2</v>
      </c>
      <c r="X54" s="81" t="n">
        <v>2</v>
      </c>
      <c r="Y54" s="81" t="n">
        <v>1</v>
      </c>
      <c r="Z54" s="81" t="n">
        <v>0</v>
      </c>
      <c r="AA54" s="81" t="n">
        <v>0</v>
      </c>
    </row>
    <row r="55" customFormat="false" ht="15" hidden="false" customHeight="true" outlineLevel="0" collapsed="false">
      <c r="A55" s="30" t="s">
        <v>127</v>
      </c>
      <c r="B55" s="76"/>
      <c r="C55" s="76"/>
      <c r="D55" s="76"/>
      <c r="E55" s="76"/>
      <c r="F55" s="76"/>
      <c r="G55" s="76"/>
      <c r="H55" s="76"/>
      <c r="I55" s="76"/>
      <c r="J55" s="76"/>
      <c r="K55" s="76"/>
      <c r="L55" s="76"/>
      <c r="M55" s="76"/>
      <c r="N55" s="76"/>
      <c r="O55" s="76"/>
      <c r="P55" s="74" t="n">
        <v>15</v>
      </c>
      <c r="Q55" s="74" t="n">
        <v>9</v>
      </c>
      <c r="R55" s="74" t="n">
        <v>13</v>
      </c>
      <c r="S55" s="74" t="n">
        <v>9</v>
      </c>
      <c r="T55" s="74" t="n">
        <v>7</v>
      </c>
      <c r="U55" s="74" t="n">
        <v>6</v>
      </c>
      <c r="V55" s="81" t="n">
        <v>4</v>
      </c>
      <c r="W55" s="81" t="n">
        <v>3</v>
      </c>
      <c r="X55" s="81" t="n">
        <v>2</v>
      </c>
      <c r="Y55" s="81" t="n">
        <v>2</v>
      </c>
      <c r="Z55" s="81" t="n">
        <v>1</v>
      </c>
      <c r="AA55" s="81" t="n">
        <v>0</v>
      </c>
    </row>
    <row r="56" customFormat="false" ht="15" hidden="false" customHeight="true" outlineLevel="0" collapsed="false">
      <c r="A56" s="30" t="s">
        <v>128</v>
      </c>
      <c r="B56" s="76"/>
      <c r="C56" s="76"/>
      <c r="D56" s="76"/>
      <c r="E56" s="76"/>
      <c r="F56" s="76"/>
      <c r="G56" s="76"/>
      <c r="H56" s="76"/>
      <c r="I56" s="76"/>
      <c r="J56" s="76"/>
      <c r="K56" s="76"/>
      <c r="L56" s="76"/>
      <c r="M56" s="76"/>
      <c r="N56" s="76"/>
      <c r="O56" s="76"/>
      <c r="P56" s="76"/>
      <c r="Q56" s="74" t="n">
        <v>14</v>
      </c>
      <c r="R56" s="74" t="n">
        <v>14</v>
      </c>
      <c r="S56" s="74" t="n">
        <v>12</v>
      </c>
      <c r="T56" s="74" t="n">
        <v>10</v>
      </c>
      <c r="U56" s="74" t="n">
        <v>10</v>
      </c>
      <c r="V56" s="81" t="n">
        <v>8</v>
      </c>
      <c r="W56" s="81" t="n">
        <v>5</v>
      </c>
      <c r="X56" s="81" t="n">
        <v>4</v>
      </c>
      <c r="Y56" s="81" t="n">
        <v>2</v>
      </c>
      <c r="Z56" s="81" t="n">
        <v>2</v>
      </c>
      <c r="AA56" s="81" t="n">
        <v>1</v>
      </c>
    </row>
    <row r="57" customFormat="false" ht="15" hidden="false" customHeight="true" outlineLevel="0" collapsed="false">
      <c r="A57" s="30" t="s">
        <v>129</v>
      </c>
      <c r="B57" s="76"/>
      <c r="C57" s="76"/>
      <c r="D57" s="76"/>
      <c r="E57" s="76"/>
      <c r="F57" s="76"/>
      <c r="G57" s="76"/>
      <c r="H57" s="76"/>
      <c r="I57" s="76"/>
      <c r="J57" s="76"/>
      <c r="K57" s="76"/>
      <c r="L57" s="76"/>
      <c r="M57" s="76"/>
      <c r="N57" s="76"/>
      <c r="O57" s="76"/>
      <c r="P57" s="76"/>
      <c r="Q57" s="76"/>
      <c r="R57" s="74" t="n">
        <v>29</v>
      </c>
      <c r="S57" s="74" t="n">
        <v>25</v>
      </c>
      <c r="T57" s="74" t="n">
        <v>15</v>
      </c>
      <c r="U57" s="74" t="n">
        <v>18</v>
      </c>
      <c r="V57" s="81" t="n">
        <v>14</v>
      </c>
      <c r="W57" s="81" t="n">
        <v>11</v>
      </c>
      <c r="X57" s="81" t="n">
        <v>7</v>
      </c>
      <c r="Y57" s="81" t="n">
        <v>5</v>
      </c>
      <c r="Z57" s="81" t="n">
        <v>3</v>
      </c>
      <c r="AA57" s="81" t="n">
        <v>3</v>
      </c>
    </row>
    <row r="58" customFormat="false" ht="15" hidden="false" customHeight="true" outlineLevel="0" collapsed="false">
      <c r="A58" s="30" t="s">
        <v>130</v>
      </c>
      <c r="B58" s="76"/>
      <c r="C58" s="76"/>
      <c r="D58" s="76"/>
      <c r="E58" s="76"/>
      <c r="F58" s="76"/>
      <c r="G58" s="76"/>
      <c r="H58" s="76"/>
      <c r="I58" s="76"/>
      <c r="J58" s="76"/>
      <c r="K58" s="76"/>
      <c r="L58" s="76"/>
      <c r="M58" s="76"/>
      <c r="N58" s="76"/>
      <c r="O58" s="76"/>
      <c r="P58" s="76"/>
      <c r="Q58" s="76"/>
      <c r="R58" s="76"/>
      <c r="S58" s="74" t="n">
        <v>23</v>
      </c>
      <c r="T58" s="74" t="n">
        <v>18</v>
      </c>
      <c r="U58" s="74" t="n">
        <v>16</v>
      </c>
      <c r="V58" s="81" t="n">
        <v>14</v>
      </c>
      <c r="W58" s="81" t="n">
        <v>10</v>
      </c>
      <c r="X58" s="81" t="n">
        <v>8</v>
      </c>
      <c r="Y58" s="81" t="n">
        <v>6</v>
      </c>
      <c r="Z58" s="81" t="n">
        <v>4</v>
      </c>
      <c r="AA58" s="81" t="n">
        <v>2</v>
      </c>
    </row>
    <row r="59" customFormat="false" ht="15" hidden="false" customHeight="true" outlineLevel="0" collapsed="false">
      <c r="A59" s="30" t="s">
        <v>131</v>
      </c>
      <c r="B59" s="76"/>
      <c r="C59" s="76"/>
      <c r="D59" s="76"/>
      <c r="E59" s="76"/>
      <c r="F59" s="76"/>
      <c r="G59" s="76"/>
      <c r="H59" s="76"/>
      <c r="I59" s="76"/>
      <c r="J59" s="76"/>
      <c r="K59" s="76"/>
      <c r="L59" s="76"/>
      <c r="M59" s="76"/>
      <c r="N59" s="76"/>
      <c r="O59" s="76"/>
      <c r="P59" s="76"/>
      <c r="Q59" s="76"/>
      <c r="R59" s="76"/>
      <c r="S59" s="76"/>
      <c r="T59" s="74" t="n">
        <v>10</v>
      </c>
      <c r="U59" s="74" t="n">
        <v>9</v>
      </c>
      <c r="V59" s="81" t="n">
        <v>8</v>
      </c>
      <c r="W59" s="81" t="n">
        <v>7</v>
      </c>
      <c r="X59" s="81" t="n">
        <v>5</v>
      </c>
      <c r="Y59" s="81" t="n">
        <v>4</v>
      </c>
      <c r="Z59" s="81" t="n">
        <v>3</v>
      </c>
      <c r="AA59" s="81" t="n">
        <v>2</v>
      </c>
    </row>
    <row r="60" customFormat="false" ht="15" hidden="false" customHeight="true" outlineLevel="0" collapsed="false">
      <c r="A60" s="30" t="s">
        <v>132</v>
      </c>
      <c r="B60" s="76"/>
      <c r="C60" s="76"/>
      <c r="D60" s="76"/>
      <c r="E60" s="76"/>
      <c r="F60" s="76"/>
      <c r="G60" s="76"/>
      <c r="H60" s="76"/>
      <c r="I60" s="76"/>
      <c r="J60" s="76"/>
      <c r="K60" s="76"/>
      <c r="L60" s="76"/>
      <c r="M60" s="76"/>
      <c r="N60" s="76"/>
      <c r="O60" s="76"/>
      <c r="P60" s="76"/>
      <c r="Q60" s="76"/>
      <c r="R60" s="76"/>
      <c r="S60" s="76"/>
      <c r="T60" s="76"/>
      <c r="U60" s="74" t="n">
        <v>24</v>
      </c>
      <c r="V60" s="81" t="n">
        <v>19</v>
      </c>
      <c r="W60" s="81" t="n">
        <v>17</v>
      </c>
      <c r="X60" s="81" t="n">
        <v>14</v>
      </c>
      <c r="Y60" s="81" t="n">
        <v>11</v>
      </c>
      <c r="Z60" s="81" t="n">
        <v>8</v>
      </c>
      <c r="AA60" s="81" t="n">
        <v>6</v>
      </c>
    </row>
    <row r="61" customFormat="false" ht="15" hidden="false" customHeight="true" outlineLevel="0" collapsed="false">
      <c r="A61" s="82" t="s">
        <v>524</v>
      </c>
      <c r="B61" s="76"/>
      <c r="C61" s="76"/>
      <c r="D61" s="76"/>
      <c r="E61" s="76"/>
      <c r="F61" s="76"/>
      <c r="G61" s="76"/>
      <c r="H61" s="76"/>
      <c r="I61" s="76"/>
      <c r="J61" s="76"/>
      <c r="K61" s="76"/>
      <c r="L61" s="76"/>
      <c r="M61" s="76"/>
      <c r="N61" s="76"/>
      <c r="O61" s="76"/>
      <c r="P61" s="76"/>
      <c r="Q61" s="76"/>
      <c r="R61" s="76"/>
      <c r="S61" s="76"/>
      <c r="T61" s="76"/>
      <c r="U61" s="76"/>
      <c r="V61" s="81" t="n">
        <v>19</v>
      </c>
      <c r="W61" s="81" t="n">
        <v>15</v>
      </c>
      <c r="X61" s="81" t="n">
        <v>13</v>
      </c>
      <c r="Y61" s="81" t="n">
        <v>11</v>
      </c>
      <c r="Z61" s="81" t="n">
        <v>8</v>
      </c>
      <c r="AA61" s="81" t="n">
        <v>7</v>
      </c>
    </row>
    <row r="62" customFormat="false" ht="15" hidden="false" customHeight="true" outlineLevel="0" collapsed="false">
      <c r="A62" s="82" t="s">
        <v>525</v>
      </c>
      <c r="B62" s="76"/>
      <c r="C62" s="76"/>
      <c r="D62" s="76"/>
      <c r="E62" s="76"/>
      <c r="F62" s="76"/>
      <c r="G62" s="76"/>
      <c r="H62" s="76"/>
      <c r="I62" s="76"/>
      <c r="J62" s="76"/>
      <c r="K62" s="76"/>
      <c r="L62" s="76"/>
      <c r="M62" s="76"/>
      <c r="N62" s="76"/>
      <c r="O62" s="76"/>
      <c r="P62" s="76"/>
      <c r="Q62" s="76"/>
      <c r="R62" s="76"/>
      <c r="S62" s="76"/>
      <c r="T62" s="76"/>
      <c r="U62" s="76"/>
      <c r="V62" s="76"/>
      <c r="W62" s="81" t="n">
        <v>19</v>
      </c>
      <c r="X62" s="81" t="n">
        <v>15</v>
      </c>
      <c r="Y62" s="81" t="n">
        <v>13</v>
      </c>
      <c r="Z62" s="81" t="n">
        <v>11</v>
      </c>
      <c r="AA62" s="81" t="n">
        <v>8</v>
      </c>
    </row>
    <row r="63" customFormat="false" ht="15" hidden="false" customHeight="true" outlineLevel="0" collapsed="false">
      <c r="A63" s="82" t="s">
        <v>526</v>
      </c>
      <c r="B63" s="76"/>
      <c r="C63" s="76"/>
      <c r="D63" s="76"/>
      <c r="E63" s="76"/>
      <c r="F63" s="76"/>
      <c r="G63" s="76"/>
      <c r="H63" s="76"/>
      <c r="I63" s="76"/>
      <c r="J63" s="76"/>
      <c r="K63" s="76"/>
      <c r="L63" s="76"/>
      <c r="M63" s="76"/>
      <c r="N63" s="76"/>
      <c r="O63" s="76"/>
      <c r="P63" s="76"/>
      <c r="Q63" s="76"/>
      <c r="R63" s="76"/>
      <c r="S63" s="76"/>
      <c r="T63" s="76"/>
      <c r="U63" s="76"/>
      <c r="V63" s="76"/>
      <c r="W63" s="76"/>
      <c r="X63" s="81" t="n">
        <v>19</v>
      </c>
      <c r="Y63" s="81" t="n">
        <v>15</v>
      </c>
      <c r="Z63" s="81" t="n">
        <v>13</v>
      </c>
      <c r="AA63" s="81" t="n">
        <v>11</v>
      </c>
    </row>
    <row r="64" customFormat="false" ht="15" hidden="false" customHeight="true" outlineLevel="0" collapsed="false">
      <c r="A64" s="82" t="s">
        <v>527</v>
      </c>
      <c r="B64" s="76"/>
      <c r="C64" s="76"/>
      <c r="D64" s="76"/>
      <c r="E64" s="76"/>
      <c r="F64" s="76"/>
      <c r="G64" s="76"/>
      <c r="H64" s="76"/>
      <c r="I64" s="76"/>
      <c r="J64" s="76"/>
      <c r="K64" s="76"/>
      <c r="L64" s="76"/>
      <c r="M64" s="76"/>
      <c r="N64" s="76"/>
      <c r="O64" s="76"/>
      <c r="P64" s="76"/>
      <c r="Q64" s="76"/>
      <c r="R64" s="76"/>
      <c r="S64" s="76"/>
      <c r="T64" s="76"/>
      <c r="U64" s="76"/>
      <c r="V64" s="76"/>
      <c r="W64" s="76"/>
      <c r="X64" s="76"/>
      <c r="Y64" s="81" t="n">
        <v>19</v>
      </c>
      <c r="Z64" s="81" t="n">
        <v>15</v>
      </c>
      <c r="AA64" s="81" t="n">
        <v>13</v>
      </c>
    </row>
    <row r="65" customFormat="false" ht="15" hidden="false" customHeight="true" outlineLevel="0" collapsed="false">
      <c r="A65" s="82" t="s">
        <v>528</v>
      </c>
      <c r="B65" s="76"/>
      <c r="C65" s="76"/>
      <c r="D65" s="76"/>
      <c r="E65" s="76"/>
      <c r="F65" s="76"/>
      <c r="G65" s="76"/>
      <c r="H65" s="76"/>
      <c r="I65" s="76"/>
      <c r="J65" s="76"/>
      <c r="K65" s="76"/>
      <c r="L65" s="76"/>
      <c r="M65" s="76"/>
      <c r="N65" s="76"/>
      <c r="O65" s="76"/>
      <c r="P65" s="76"/>
      <c r="Q65" s="76"/>
      <c r="R65" s="76"/>
      <c r="S65" s="76"/>
      <c r="T65" s="76"/>
      <c r="U65" s="76"/>
      <c r="V65" s="76"/>
      <c r="W65" s="76"/>
      <c r="X65" s="76"/>
      <c r="Y65" s="76"/>
      <c r="Z65" s="81" t="n">
        <v>19</v>
      </c>
      <c r="AA65" s="81" t="n">
        <v>15</v>
      </c>
    </row>
    <row r="66" customFormat="false" ht="15" hidden="false" customHeight="true" outlineLevel="0" collapsed="false">
      <c r="A66" s="82" t="s">
        <v>529</v>
      </c>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81" t="n">
        <v>19</v>
      </c>
    </row>
    <row r="67" customFormat="false" ht="15" hidden="false" customHeight="true" outlineLevel="0" collapsed="false">
      <c r="A67" s="34" t="s">
        <v>514</v>
      </c>
      <c r="B67" s="79" t="n">
        <v>8</v>
      </c>
      <c r="C67" s="79" t="n">
        <v>38</v>
      </c>
      <c r="D67" s="79" t="n">
        <v>74</v>
      </c>
      <c r="E67" s="79" t="n">
        <v>66</v>
      </c>
      <c r="F67" s="79" t="n">
        <v>90</v>
      </c>
      <c r="G67" s="79" t="n">
        <v>113</v>
      </c>
      <c r="H67" s="79" t="n">
        <v>76</v>
      </c>
      <c r="I67" s="79" t="n">
        <v>112</v>
      </c>
      <c r="J67" s="79" t="n">
        <v>107</v>
      </c>
      <c r="K67" s="79" t="n">
        <v>79</v>
      </c>
      <c r="L67" s="79" t="n">
        <v>106</v>
      </c>
      <c r="M67" s="79" t="n">
        <v>104</v>
      </c>
      <c r="N67" s="79" t="n">
        <v>76</v>
      </c>
      <c r="O67" s="79" t="n">
        <v>108</v>
      </c>
      <c r="P67" s="79" t="n">
        <v>96</v>
      </c>
      <c r="Q67" s="79" t="n">
        <v>70</v>
      </c>
      <c r="R67" s="79" t="n">
        <v>115</v>
      </c>
      <c r="S67" s="79" t="n">
        <v>106</v>
      </c>
      <c r="T67" s="79" t="n">
        <v>80</v>
      </c>
      <c r="U67" s="79" t="n">
        <v>96</v>
      </c>
      <c r="V67" s="79" t="n">
        <v>92</v>
      </c>
      <c r="W67" s="79" t="n">
        <v>91</v>
      </c>
      <c r="X67" s="79" t="n">
        <v>90</v>
      </c>
      <c r="Y67" s="79" t="n">
        <v>89</v>
      </c>
      <c r="Z67" s="79" t="n">
        <v>88</v>
      </c>
      <c r="AA67" s="79" t="n">
        <v>88</v>
      </c>
    </row>
    <row r="69" customFormat="false" ht="19.5" hidden="false" customHeight="true" outlineLevel="0" collapsed="false">
      <c r="A69" s="65" t="s">
        <v>407</v>
      </c>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row>
    <row r="70" customFormat="false" ht="15" hidden="false" customHeight="true" outlineLevel="0" collapsed="false">
      <c r="A70" s="80" t="s">
        <v>531</v>
      </c>
      <c r="B70" s="80"/>
      <c r="C70" s="80"/>
      <c r="D70" s="80"/>
      <c r="E70" s="80"/>
      <c r="F70" s="80"/>
      <c r="G70" s="80"/>
      <c r="H70" s="80"/>
      <c r="I70" s="80"/>
      <c r="J70" s="80"/>
      <c r="K70" s="80"/>
      <c r="L70" s="80"/>
      <c r="M70" s="80"/>
      <c r="N70" s="80"/>
      <c r="O70" s="80"/>
      <c r="P70" s="80"/>
      <c r="Q70" s="80"/>
      <c r="R70" s="80"/>
      <c r="S70" s="80"/>
      <c r="T70" s="80"/>
      <c r="U70" s="80"/>
      <c r="V70" s="80"/>
      <c r="W70" s="80"/>
      <c r="X70" s="80"/>
      <c r="Y70" s="80"/>
      <c r="Z70" s="80"/>
      <c r="AA70" s="80"/>
    </row>
    <row r="71" customFormat="false" ht="15" hidden="false" customHeight="true" outlineLevel="0" collapsed="false">
      <c r="A71" s="12" t="s">
        <v>513</v>
      </c>
      <c r="B71" s="12" t="s">
        <v>113</v>
      </c>
      <c r="C71" s="12" t="s">
        <v>114</v>
      </c>
      <c r="D71" s="12" t="s">
        <v>115</v>
      </c>
      <c r="E71" s="12" t="s">
        <v>116</v>
      </c>
      <c r="F71" s="12" t="s">
        <v>117</v>
      </c>
      <c r="G71" s="12" t="s">
        <v>118</v>
      </c>
      <c r="H71" s="12" t="s">
        <v>119</v>
      </c>
      <c r="I71" s="12" t="s">
        <v>120</v>
      </c>
      <c r="J71" s="12" t="s">
        <v>121</v>
      </c>
      <c r="K71" s="12" t="s">
        <v>122</v>
      </c>
      <c r="L71" s="12" t="s">
        <v>123</v>
      </c>
      <c r="M71" s="12" t="s">
        <v>124</v>
      </c>
      <c r="N71" s="12" t="s">
        <v>125</v>
      </c>
      <c r="O71" s="12" t="s">
        <v>126</v>
      </c>
      <c r="P71" s="12" t="s">
        <v>127</v>
      </c>
      <c r="Q71" s="12" t="s">
        <v>128</v>
      </c>
      <c r="R71" s="12" t="s">
        <v>129</v>
      </c>
      <c r="S71" s="12" t="s">
        <v>130</v>
      </c>
      <c r="T71" s="12" t="s">
        <v>131</v>
      </c>
      <c r="U71" s="12" t="s">
        <v>132</v>
      </c>
      <c r="V71" s="12" t="s">
        <v>518</v>
      </c>
      <c r="W71" s="12" t="s">
        <v>519</v>
      </c>
      <c r="X71" s="12" t="s">
        <v>520</v>
      </c>
      <c r="Y71" s="12" t="s">
        <v>521</v>
      </c>
      <c r="Z71" s="12" t="s">
        <v>522</v>
      </c>
      <c r="AA71" s="12" t="s">
        <v>523</v>
      </c>
    </row>
    <row r="72" customFormat="false" ht="15" hidden="false" customHeight="true" outlineLevel="0" collapsed="false">
      <c r="A72" s="30" t="s">
        <v>117</v>
      </c>
      <c r="B72" s="76"/>
      <c r="C72" s="76"/>
      <c r="D72" s="76"/>
      <c r="E72" s="76"/>
      <c r="F72" s="74" t="n">
        <v>23</v>
      </c>
      <c r="G72" s="74" t="n">
        <v>20</v>
      </c>
      <c r="H72" s="74" t="n">
        <v>17</v>
      </c>
      <c r="I72" s="74" t="n">
        <v>19</v>
      </c>
      <c r="J72" s="74" t="n">
        <v>16</v>
      </c>
      <c r="K72" s="74" t="n">
        <v>2</v>
      </c>
      <c r="L72" s="74" t="n">
        <v>0</v>
      </c>
      <c r="M72" s="74" t="n">
        <v>0</v>
      </c>
      <c r="N72" s="74" t="n">
        <v>0</v>
      </c>
      <c r="O72" s="74" t="n">
        <v>0</v>
      </c>
      <c r="P72" s="74" t="n">
        <v>0</v>
      </c>
      <c r="Q72" s="74" t="n">
        <v>0</v>
      </c>
      <c r="R72" s="74" t="n">
        <v>0</v>
      </c>
      <c r="S72" s="74" t="n">
        <v>0</v>
      </c>
      <c r="T72" s="74" t="n">
        <v>0</v>
      </c>
      <c r="U72" s="74" t="n">
        <v>0</v>
      </c>
      <c r="V72" s="81" t="n">
        <v>0</v>
      </c>
      <c r="W72" s="81" t="n">
        <v>0</v>
      </c>
      <c r="X72" s="81" t="n">
        <v>0</v>
      </c>
      <c r="Y72" s="81" t="n">
        <v>0</v>
      </c>
      <c r="Z72" s="81" t="n">
        <v>0</v>
      </c>
      <c r="AA72" s="81" t="n">
        <v>0</v>
      </c>
    </row>
    <row r="73" customFormat="false" ht="15" hidden="false" customHeight="true" outlineLevel="0" collapsed="false">
      <c r="A73" s="30" t="s">
        <v>118</v>
      </c>
      <c r="B73" s="76"/>
      <c r="C73" s="76"/>
      <c r="D73" s="76"/>
      <c r="E73" s="76"/>
      <c r="F73" s="76"/>
      <c r="G73" s="74" t="n">
        <v>27</v>
      </c>
      <c r="H73" s="74" t="n">
        <v>15</v>
      </c>
      <c r="I73" s="74" t="n">
        <v>15</v>
      </c>
      <c r="J73" s="74" t="n">
        <v>13</v>
      </c>
      <c r="K73" s="74" t="n">
        <v>11</v>
      </c>
      <c r="L73" s="74" t="n">
        <v>1</v>
      </c>
      <c r="M73" s="74" t="n">
        <v>3</v>
      </c>
      <c r="N73" s="74" t="n">
        <v>0</v>
      </c>
      <c r="O73" s="74" t="n">
        <v>0</v>
      </c>
      <c r="P73" s="74" t="n">
        <v>0</v>
      </c>
      <c r="Q73" s="74" t="n">
        <v>0</v>
      </c>
      <c r="R73" s="74" t="n">
        <v>0</v>
      </c>
      <c r="S73" s="74" t="n">
        <v>0</v>
      </c>
      <c r="T73" s="74" t="n">
        <v>0</v>
      </c>
      <c r="U73" s="74" t="n">
        <v>0</v>
      </c>
      <c r="V73" s="81" t="n">
        <v>0</v>
      </c>
      <c r="W73" s="81" t="n">
        <v>0</v>
      </c>
      <c r="X73" s="81" t="n">
        <v>0</v>
      </c>
      <c r="Y73" s="81" t="n">
        <v>0</v>
      </c>
      <c r="Z73" s="81" t="n">
        <v>0</v>
      </c>
      <c r="AA73" s="81" t="n">
        <v>0</v>
      </c>
    </row>
    <row r="74" customFormat="false" ht="15" hidden="false" customHeight="true" outlineLevel="0" collapsed="false">
      <c r="A74" s="30" t="s">
        <v>120</v>
      </c>
      <c r="B74" s="76"/>
      <c r="C74" s="76"/>
      <c r="D74" s="76"/>
      <c r="E74" s="76"/>
      <c r="F74" s="76"/>
      <c r="G74" s="76"/>
      <c r="H74" s="76"/>
      <c r="I74" s="74" t="n">
        <v>31</v>
      </c>
      <c r="J74" s="74" t="n">
        <v>27</v>
      </c>
      <c r="K74" s="74" t="n">
        <v>22</v>
      </c>
      <c r="L74" s="74" t="n">
        <v>20</v>
      </c>
      <c r="M74" s="74" t="n">
        <v>20</v>
      </c>
      <c r="N74" s="74" t="n">
        <v>2</v>
      </c>
      <c r="O74" s="74" t="n">
        <v>1</v>
      </c>
      <c r="P74" s="74" t="n">
        <v>1</v>
      </c>
      <c r="Q74" s="74" t="n">
        <v>0</v>
      </c>
      <c r="R74" s="74" t="n">
        <v>0</v>
      </c>
      <c r="S74" s="74" t="n">
        <v>1</v>
      </c>
      <c r="T74" s="74" t="n">
        <v>1</v>
      </c>
      <c r="U74" s="74" t="n">
        <v>1</v>
      </c>
      <c r="V74" s="81" t="n">
        <v>1</v>
      </c>
      <c r="W74" s="81" t="n">
        <v>1</v>
      </c>
      <c r="X74" s="81" t="n">
        <v>1</v>
      </c>
      <c r="Y74" s="81" t="n">
        <v>1</v>
      </c>
      <c r="Z74" s="81" t="n">
        <v>1</v>
      </c>
      <c r="AA74" s="81" t="n">
        <v>1</v>
      </c>
    </row>
    <row r="75" customFormat="false" ht="15" hidden="false" customHeight="true" outlineLevel="0" collapsed="false">
      <c r="A75" s="30" t="s">
        <v>121</v>
      </c>
      <c r="B75" s="76"/>
      <c r="C75" s="76"/>
      <c r="D75" s="76"/>
      <c r="E75" s="76"/>
      <c r="F75" s="76"/>
      <c r="G75" s="76"/>
      <c r="H75" s="76"/>
      <c r="I75" s="76"/>
      <c r="J75" s="74" t="n">
        <v>17</v>
      </c>
      <c r="K75" s="74" t="n">
        <v>16</v>
      </c>
      <c r="L75" s="74" t="n">
        <v>16</v>
      </c>
      <c r="M75" s="74" t="n">
        <v>14</v>
      </c>
      <c r="N75" s="74" t="n">
        <v>12</v>
      </c>
      <c r="O75" s="74" t="n">
        <v>1</v>
      </c>
      <c r="P75" s="74" t="n">
        <v>1</v>
      </c>
      <c r="Q75" s="74" t="n">
        <v>0</v>
      </c>
      <c r="R75" s="74" t="n">
        <v>2</v>
      </c>
      <c r="S75" s="74" t="n">
        <v>2</v>
      </c>
      <c r="T75" s="74" t="n">
        <v>1</v>
      </c>
      <c r="U75" s="74" t="n">
        <v>0</v>
      </c>
      <c r="V75" s="81" t="n">
        <v>0</v>
      </c>
      <c r="W75" s="81" t="n">
        <v>0</v>
      </c>
      <c r="X75" s="81" t="n">
        <v>0</v>
      </c>
      <c r="Y75" s="81" t="n">
        <v>0</v>
      </c>
      <c r="Z75" s="81" t="n">
        <v>0</v>
      </c>
      <c r="AA75" s="81" t="n">
        <v>0</v>
      </c>
    </row>
    <row r="76" customFormat="false" ht="15" hidden="false" customHeight="true" outlineLevel="0" collapsed="false">
      <c r="A76" s="30" t="s">
        <v>123</v>
      </c>
      <c r="B76" s="76"/>
      <c r="C76" s="76"/>
      <c r="D76" s="76"/>
      <c r="E76" s="76"/>
      <c r="F76" s="76"/>
      <c r="G76" s="76"/>
      <c r="H76" s="76"/>
      <c r="I76" s="76"/>
      <c r="J76" s="76"/>
      <c r="K76" s="76"/>
      <c r="L76" s="74" t="n">
        <v>31</v>
      </c>
      <c r="M76" s="74" t="n">
        <v>26</v>
      </c>
      <c r="N76" s="74" t="n">
        <v>19</v>
      </c>
      <c r="O76" s="74" t="n">
        <v>18</v>
      </c>
      <c r="P76" s="74" t="n">
        <v>17</v>
      </c>
      <c r="Q76" s="74" t="n">
        <v>3</v>
      </c>
      <c r="R76" s="74" t="n">
        <v>2</v>
      </c>
      <c r="S76" s="74" t="n">
        <v>1</v>
      </c>
      <c r="T76" s="74" t="n">
        <v>2</v>
      </c>
      <c r="U76" s="74" t="n">
        <v>1</v>
      </c>
      <c r="V76" s="81" t="n">
        <v>1</v>
      </c>
      <c r="W76" s="81" t="n">
        <v>0</v>
      </c>
      <c r="X76" s="81" t="n">
        <v>0</v>
      </c>
      <c r="Y76" s="81" t="n">
        <v>0</v>
      </c>
      <c r="Z76" s="81" t="n">
        <v>0</v>
      </c>
      <c r="AA76" s="81" t="n">
        <v>0</v>
      </c>
    </row>
    <row r="77" customFormat="false" ht="15" hidden="false" customHeight="true" outlineLevel="0" collapsed="false">
      <c r="A77" s="30" t="s">
        <v>124</v>
      </c>
      <c r="B77" s="76"/>
      <c r="C77" s="76"/>
      <c r="D77" s="76"/>
      <c r="E77" s="76"/>
      <c r="F77" s="76"/>
      <c r="G77" s="76"/>
      <c r="H77" s="76"/>
      <c r="I77" s="76"/>
      <c r="J77" s="76"/>
      <c r="K77" s="76"/>
      <c r="L77" s="76"/>
      <c r="M77" s="74" t="n">
        <v>17</v>
      </c>
      <c r="N77" s="74" t="n">
        <v>14</v>
      </c>
      <c r="O77" s="74" t="n">
        <v>12</v>
      </c>
      <c r="P77" s="74" t="n">
        <v>13</v>
      </c>
      <c r="Q77" s="74" t="n">
        <v>11</v>
      </c>
      <c r="R77" s="74" t="n">
        <v>0</v>
      </c>
      <c r="S77" s="74" t="n">
        <v>0</v>
      </c>
      <c r="T77" s="74" t="n">
        <v>0</v>
      </c>
      <c r="U77" s="74" t="n">
        <v>0</v>
      </c>
      <c r="V77" s="81" t="n">
        <v>0</v>
      </c>
      <c r="W77" s="81" t="n">
        <v>0</v>
      </c>
      <c r="X77" s="81" t="n">
        <v>0</v>
      </c>
      <c r="Y77" s="81" t="n">
        <v>0</v>
      </c>
      <c r="Z77" s="81" t="n">
        <v>0</v>
      </c>
      <c r="AA77" s="81" t="n">
        <v>0</v>
      </c>
    </row>
    <row r="78" customFormat="false" ht="15" hidden="false" customHeight="true" outlineLevel="0" collapsed="false">
      <c r="A78" s="30" t="s">
        <v>126</v>
      </c>
      <c r="B78" s="76"/>
      <c r="C78" s="76"/>
      <c r="D78" s="76"/>
      <c r="E78" s="76"/>
      <c r="F78" s="76"/>
      <c r="G78" s="76"/>
      <c r="H78" s="76"/>
      <c r="I78" s="76"/>
      <c r="J78" s="76"/>
      <c r="K78" s="76"/>
      <c r="L78" s="76"/>
      <c r="M78" s="76"/>
      <c r="N78" s="76"/>
      <c r="O78" s="74" t="n">
        <v>30</v>
      </c>
      <c r="P78" s="74" t="n">
        <v>25</v>
      </c>
      <c r="Q78" s="74" t="n">
        <v>21</v>
      </c>
      <c r="R78" s="74" t="n">
        <v>18</v>
      </c>
      <c r="S78" s="74" t="n">
        <v>16</v>
      </c>
      <c r="T78" s="74" t="n">
        <v>7</v>
      </c>
      <c r="U78" s="74" t="n">
        <v>4</v>
      </c>
      <c r="V78" s="81" t="n">
        <v>1</v>
      </c>
      <c r="W78" s="81" t="n">
        <v>2</v>
      </c>
      <c r="X78" s="81" t="n">
        <v>2</v>
      </c>
      <c r="Y78" s="81" t="n">
        <v>1</v>
      </c>
      <c r="Z78" s="81" t="n">
        <v>1</v>
      </c>
      <c r="AA78" s="81" t="n">
        <v>1</v>
      </c>
    </row>
    <row r="79" customFormat="false" ht="15" hidden="false" customHeight="true" outlineLevel="0" collapsed="false">
      <c r="A79" s="30" t="s">
        <v>127</v>
      </c>
      <c r="B79" s="76"/>
      <c r="C79" s="76"/>
      <c r="D79" s="76"/>
      <c r="E79" s="76"/>
      <c r="F79" s="76"/>
      <c r="G79" s="76"/>
      <c r="H79" s="76"/>
      <c r="I79" s="76"/>
      <c r="J79" s="76"/>
      <c r="K79" s="76"/>
      <c r="L79" s="76"/>
      <c r="M79" s="76"/>
      <c r="N79" s="76"/>
      <c r="O79" s="76"/>
      <c r="P79" s="74" t="n">
        <v>15</v>
      </c>
      <c r="Q79" s="74" t="n">
        <v>10</v>
      </c>
      <c r="R79" s="74" t="n">
        <v>10</v>
      </c>
      <c r="S79" s="74" t="n">
        <v>9</v>
      </c>
      <c r="T79" s="74" t="n">
        <v>9</v>
      </c>
      <c r="U79" s="74" t="n">
        <v>4</v>
      </c>
      <c r="V79" s="81" t="n">
        <v>3</v>
      </c>
      <c r="W79" s="81" t="n">
        <v>1</v>
      </c>
      <c r="X79" s="81" t="n">
        <v>2</v>
      </c>
      <c r="Y79" s="81" t="n">
        <v>1</v>
      </c>
      <c r="Z79" s="81" t="n">
        <v>1</v>
      </c>
      <c r="AA79" s="81" t="n">
        <v>0</v>
      </c>
    </row>
    <row r="80" customFormat="false" ht="15" hidden="false" customHeight="true" outlineLevel="0" collapsed="false">
      <c r="A80" s="30" t="s">
        <v>129</v>
      </c>
      <c r="B80" s="76"/>
      <c r="C80" s="76"/>
      <c r="D80" s="76"/>
      <c r="E80" s="76"/>
      <c r="F80" s="76"/>
      <c r="G80" s="76"/>
      <c r="H80" s="76"/>
      <c r="I80" s="76"/>
      <c r="J80" s="76"/>
      <c r="K80" s="76"/>
      <c r="L80" s="76"/>
      <c r="M80" s="76"/>
      <c r="N80" s="76"/>
      <c r="O80" s="76"/>
      <c r="P80" s="76"/>
      <c r="Q80" s="76"/>
      <c r="R80" s="74" t="n">
        <v>18</v>
      </c>
      <c r="S80" s="74" t="n">
        <v>18</v>
      </c>
      <c r="T80" s="74" t="n">
        <v>10</v>
      </c>
      <c r="U80" s="74" t="n">
        <v>11</v>
      </c>
      <c r="V80" s="81" t="n">
        <v>10</v>
      </c>
      <c r="W80" s="81" t="n">
        <v>1</v>
      </c>
      <c r="X80" s="81" t="n">
        <v>1</v>
      </c>
      <c r="Y80" s="81" t="n">
        <v>0</v>
      </c>
      <c r="Z80" s="81" t="n">
        <v>0</v>
      </c>
      <c r="AA80" s="81" t="n">
        <v>0</v>
      </c>
    </row>
    <row r="81" customFormat="false" ht="15" hidden="false" customHeight="true" outlineLevel="0" collapsed="false">
      <c r="A81" s="30" t="s">
        <v>130</v>
      </c>
      <c r="B81" s="76"/>
      <c r="C81" s="76"/>
      <c r="D81" s="76"/>
      <c r="E81" s="76"/>
      <c r="F81" s="76"/>
      <c r="G81" s="76"/>
      <c r="H81" s="76"/>
      <c r="I81" s="76"/>
      <c r="J81" s="76"/>
      <c r="K81" s="76"/>
      <c r="L81" s="76"/>
      <c r="M81" s="76"/>
      <c r="N81" s="76"/>
      <c r="O81" s="76"/>
      <c r="P81" s="76"/>
      <c r="Q81" s="76"/>
      <c r="R81" s="76"/>
      <c r="S81" s="74" t="n">
        <v>15</v>
      </c>
      <c r="T81" s="74" t="n">
        <v>14</v>
      </c>
      <c r="U81" s="74" t="n">
        <v>11</v>
      </c>
      <c r="V81" s="81" t="n">
        <v>11</v>
      </c>
      <c r="W81" s="81" t="n">
        <v>9</v>
      </c>
      <c r="X81" s="81" t="n">
        <v>1</v>
      </c>
      <c r="Y81" s="81" t="n">
        <v>1</v>
      </c>
      <c r="Z81" s="81" t="n">
        <v>0</v>
      </c>
      <c r="AA81" s="81" t="n">
        <v>0</v>
      </c>
    </row>
    <row r="82" customFormat="false" ht="15" hidden="false" customHeight="true" outlineLevel="0" collapsed="false">
      <c r="A82" s="30" t="s">
        <v>132</v>
      </c>
      <c r="B82" s="76"/>
      <c r="C82" s="76"/>
      <c r="D82" s="76"/>
      <c r="E82" s="76"/>
      <c r="F82" s="76"/>
      <c r="G82" s="76"/>
      <c r="H82" s="76"/>
      <c r="I82" s="76"/>
      <c r="J82" s="76"/>
      <c r="K82" s="76"/>
      <c r="L82" s="76"/>
      <c r="M82" s="76"/>
      <c r="N82" s="76"/>
      <c r="O82" s="76"/>
      <c r="P82" s="76"/>
      <c r="Q82" s="76"/>
      <c r="R82" s="76"/>
      <c r="S82" s="76"/>
      <c r="T82" s="76"/>
      <c r="U82" s="74" t="n">
        <v>11</v>
      </c>
      <c r="V82" s="81" t="n">
        <v>9</v>
      </c>
      <c r="W82" s="81" t="n">
        <v>8</v>
      </c>
      <c r="X82" s="81" t="n">
        <v>7</v>
      </c>
      <c r="Y82" s="81" t="n">
        <v>7</v>
      </c>
      <c r="Z82" s="81" t="n">
        <v>1</v>
      </c>
      <c r="AA82" s="81" t="n">
        <v>1</v>
      </c>
    </row>
    <row r="83" customFormat="false" ht="15" hidden="false" customHeight="true" outlineLevel="0" collapsed="false">
      <c r="A83" s="82" t="s">
        <v>524</v>
      </c>
      <c r="B83" s="76"/>
      <c r="C83" s="76"/>
      <c r="D83" s="76"/>
      <c r="E83" s="76"/>
      <c r="F83" s="76"/>
      <c r="G83" s="76"/>
      <c r="H83" s="76"/>
      <c r="I83" s="76"/>
      <c r="J83" s="76"/>
      <c r="K83" s="76"/>
      <c r="L83" s="76"/>
      <c r="M83" s="76"/>
      <c r="N83" s="76"/>
      <c r="O83" s="76"/>
      <c r="P83" s="76"/>
      <c r="Q83" s="76"/>
      <c r="R83" s="76"/>
      <c r="S83" s="76"/>
      <c r="T83" s="76"/>
      <c r="U83" s="76"/>
      <c r="V83" s="81" t="n">
        <v>15</v>
      </c>
      <c r="W83" s="81" t="n">
        <v>12</v>
      </c>
      <c r="X83" s="81" t="n">
        <v>10</v>
      </c>
      <c r="Y83" s="81" t="n">
        <v>10</v>
      </c>
      <c r="Z83" s="81" t="n">
        <v>9</v>
      </c>
      <c r="AA83" s="81" t="n">
        <v>1</v>
      </c>
    </row>
    <row r="84" customFormat="false" ht="15" hidden="false" customHeight="true" outlineLevel="0" collapsed="false">
      <c r="A84" s="82" t="s">
        <v>525</v>
      </c>
      <c r="B84" s="76"/>
      <c r="C84" s="76"/>
      <c r="D84" s="76"/>
      <c r="E84" s="76"/>
      <c r="F84" s="76"/>
      <c r="G84" s="76"/>
      <c r="H84" s="76"/>
      <c r="I84" s="76"/>
      <c r="J84" s="76"/>
      <c r="K84" s="76"/>
      <c r="L84" s="76"/>
      <c r="M84" s="76"/>
      <c r="N84" s="76"/>
      <c r="O84" s="76"/>
      <c r="P84" s="76"/>
      <c r="Q84" s="76"/>
      <c r="R84" s="76"/>
      <c r="S84" s="76"/>
      <c r="T84" s="76"/>
      <c r="U84" s="76"/>
      <c r="V84" s="76"/>
      <c r="W84" s="81" t="n">
        <v>15</v>
      </c>
      <c r="X84" s="81" t="n">
        <v>12</v>
      </c>
      <c r="Y84" s="81" t="n">
        <v>10</v>
      </c>
      <c r="Z84" s="81" t="n">
        <v>10</v>
      </c>
      <c r="AA84" s="81" t="n">
        <v>9</v>
      </c>
    </row>
    <row r="85" customFormat="false" ht="15" hidden="false" customHeight="true" outlineLevel="0" collapsed="false">
      <c r="A85" s="82" t="s">
        <v>526</v>
      </c>
      <c r="B85" s="76"/>
      <c r="C85" s="76"/>
      <c r="D85" s="76"/>
      <c r="E85" s="76"/>
      <c r="F85" s="76"/>
      <c r="G85" s="76"/>
      <c r="H85" s="76"/>
      <c r="I85" s="76"/>
      <c r="J85" s="76"/>
      <c r="K85" s="76"/>
      <c r="L85" s="76"/>
      <c r="M85" s="76"/>
      <c r="N85" s="76"/>
      <c r="O85" s="76"/>
      <c r="P85" s="76"/>
      <c r="Q85" s="76"/>
      <c r="R85" s="76"/>
      <c r="S85" s="76"/>
      <c r="T85" s="76"/>
      <c r="U85" s="76"/>
      <c r="V85" s="76"/>
      <c r="W85" s="76"/>
      <c r="X85" s="81" t="n">
        <v>15</v>
      </c>
      <c r="Y85" s="81" t="n">
        <v>12</v>
      </c>
      <c r="Z85" s="81" t="n">
        <v>10</v>
      </c>
      <c r="AA85" s="81" t="n">
        <v>10</v>
      </c>
    </row>
    <row r="86" customFormat="false" ht="15" hidden="false" customHeight="true" outlineLevel="0" collapsed="false">
      <c r="A86" s="82" t="s">
        <v>527</v>
      </c>
      <c r="B86" s="76"/>
      <c r="C86" s="76"/>
      <c r="D86" s="76"/>
      <c r="E86" s="76"/>
      <c r="F86" s="76"/>
      <c r="G86" s="76"/>
      <c r="H86" s="76"/>
      <c r="I86" s="76"/>
      <c r="J86" s="76"/>
      <c r="K86" s="76"/>
      <c r="L86" s="76"/>
      <c r="M86" s="76"/>
      <c r="N86" s="76"/>
      <c r="O86" s="76"/>
      <c r="P86" s="76"/>
      <c r="Q86" s="76"/>
      <c r="R86" s="76"/>
      <c r="S86" s="76"/>
      <c r="T86" s="76"/>
      <c r="U86" s="76"/>
      <c r="V86" s="76"/>
      <c r="W86" s="76"/>
      <c r="X86" s="76"/>
      <c r="Y86" s="81" t="n">
        <v>15</v>
      </c>
      <c r="Z86" s="81" t="n">
        <v>12</v>
      </c>
      <c r="AA86" s="81" t="n">
        <v>10</v>
      </c>
    </row>
    <row r="87" customFormat="false" ht="15" hidden="false" customHeight="true" outlineLevel="0" collapsed="false">
      <c r="A87" s="82" t="s">
        <v>528</v>
      </c>
      <c r="B87" s="76"/>
      <c r="C87" s="76"/>
      <c r="D87" s="76"/>
      <c r="E87" s="76"/>
      <c r="F87" s="76"/>
      <c r="G87" s="76"/>
      <c r="H87" s="76"/>
      <c r="I87" s="76"/>
      <c r="J87" s="76"/>
      <c r="K87" s="76"/>
      <c r="L87" s="76"/>
      <c r="M87" s="76"/>
      <c r="N87" s="76"/>
      <c r="O87" s="76"/>
      <c r="P87" s="76"/>
      <c r="Q87" s="76"/>
      <c r="R87" s="76"/>
      <c r="S87" s="76"/>
      <c r="T87" s="76"/>
      <c r="U87" s="76"/>
      <c r="V87" s="76"/>
      <c r="W87" s="76"/>
      <c r="X87" s="76"/>
      <c r="Y87" s="76"/>
      <c r="Z87" s="81" t="n">
        <v>15</v>
      </c>
      <c r="AA87" s="81" t="n">
        <v>12</v>
      </c>
    </row>
    <row r="88" customFormat="false" ht="15" hidden="false" customHeight="true" outlineLevel="0" collapsed="false">
      <c r="A88" s="82" t="s">
        <v>529</v>
      </c>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81" t="n">
        <v>15</v>
      </c>
    </row>
    <row r="89" customFormat="false" ht="15" hidden="false" customHeight="true" outlineLevel="0" collapsed="false">
      <c r="A89" s="34" t="s">
        <v>514</v>
      </c>
      <c r="B89" s="79"/>
      <c r="C89" s="79"/>
      <c r="D89" s="79"/>
      <c r="E89" s="79"/>
      <c r="F89" s="79" t="n">
        <v>23</v>
      </c>
      <c r="G89" s="79" t="n">
        <v>47</v>
      </c>
      <c r="H89" s="79" t="n">
        <v>32</v>
      </c>
      <c r="I89" s="79" t="n">
        <v>65</v>
      </c>
      <c r="J89" s="79" t="n">
        <v>73</v>
      </c>
      <c r="K89" s="79" t="n">
        <v>51</v>
      </c>
      <c r="L89" s="79" t="n">
        <v>68</v>
      </c>
      <c r="M89" s="79" t="n">
        <v>80</v>
      </c>
      <c r="N89" s="79" t="n">
        <v>47</v>
      </c>
      <c r="O89" s="79" t="n">
        <v>62</v>
      </c>
      <c r="P89" s="79" t="n">
        <v>72</v>
      </c>
      <c r="Q89" s="79" t="n">
        <v>45</v>
      </c>
      <c r="R89" s="79" t="n">
        <v>50</v>
      </c>
      <c r="S89" s="79" t="n">
        <v>62</v>
      </c>
      <c r="T89" s="79" t="n">
        <v>44</v>
      </c>
      <c r="U89" s="79" t="n">
        <v>43</v>
      </c>
      <c r="V89" s="79" t="n">
        <v>50</v>
      </c>
      <c r="W89" s="79" t="n">
        <v>50</v>
      </c>
      <c r="X89" s="79" t="n">
        <v>51</v>
      </c>
      <c r="Y89" s="79" t="n">
        <v>59</v>
      </c>
      <c r="Z89" s="79" t="n">
        <v>61</v>
      </c>
      <c r="AA89" s="79" t="n">
        <v>61</v>
      </c>
    </row>
    <row r="91" customFormat="false" ht="19.5" hidden="false" customHeight="true" outlineLevel="0" collapsed="false">
      <c r="A91" s="65" t="s">
        <v>408</v>
      </c>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row>
    <row r="92" customFormat="false" ht="15" hidden="false" customHeight="true" outlineLevel="0" collapsed="false">
      <c r="A92" s="80" t="s">
        <v>532</v>
      </c>
      <c r="B92" s="80"/>
      <c r="C92" s="80"/>
      <c r="D92" s="80"/>
      <c r="E92" s="80"/>
      <c r="F92" s="80"/>
      <c r="G92" s="80"/>
      <c r="H92" s="80"/>
      <c r="I92" s="80"/>
      <c r="J92" s="80"/>
      <c r="K92" s="80"/>
      <c r="L92" s="80"/>
      <c r="M92" s="80"/>
      <c r="N92" s="80"/>
      <c r="O92" s="80"/>
      <c r="P92" s="80"/>
      <c r="Q92" s="80"/>
      <c r="R92" s="80"/>
      <c r="S92" s="80"/>
      <c r="T92" s="80"/>
      <c r="U92" s="80"/>
      <c r="V92" s="80"/>
      <c r="W92" s="80"/>
      <c r="X92" s="80"/>
      <c r="Y92" s="80"/>
      <c r="Z92" s="80"/>
      <c r="AA92" s="80"/>
    </row>
    <row r="93" customFormat="false" ht="15" hidden="false" customHeight="true" outlineLevel="0" collapsed="false">
      <c r="A93" s="12" t="s">
        <v>513</v>
      </c>
      <c r="B93" s="12" t="s">
        <v>113</v>
      </c>
      <c r="C93" s="12" t="s">
        <v>114</v>
      </c>
      <c r="D93" s="12" t="s">
        <v>115</v>
      </c>
      <c r="E93" s="12" t="s">
        <v>116</v>
      </c>
      <c r="F93" s="12" t="s">
        <v>117</v>
      </c>
      <c r="G93" s="12" t="s">
        <v>118</v>
      </c>
      <c r="H93" s="12" t="s">
        <v>119</v>
      </c>
      <c r="I93" s="12" t="s">
        <v>120</v>
      </c>
      <c r="J93" s="12" t="s">
        <v>121</v>
      </c>
      <c r="K93" s="12" t="s">
        <v>122</v>
      </c>
      <c r="L93" s="12" t="s">
        <v>123</v>
      </c>
      <c r="M93" s="12" t="s">
        <v>124</v>
      </c>
      <c r="N93" s="12" t="s">
        <v>125</v>
      </c>
      <c r="O93" s="12" t="s">
        <v>126</v>
      </c>
      <c r="P93" s="12" t="s">
        <v>127</v>
      </c>
      <c r="Q93" s="12" t="s">
        <v>128</v>
      </c>
      <c r="R93" s="12" t="s">
        <v>129</v>
      </c>
      <c r="S93" s="12" t="s">
        <v>130</v>
      </c>
      <c r="T93" s="12" t="s">
        <v>131</v>
      </c>
      <c r="U93" s="12" t="s">
        <v>132</v>
      </c>
      <c r="V93" s="12" t="s">
        <v>518</v>
      </c>
      <c r="W93" s="12" t="s">
        <v>519</v>
      </c>
      <c r="X93" s="12" t="s">
        <v>520</v>
      </c>
      <c r="Y93" s="12" t="s">
        <v>521</v>
      </c>
      <c r="Z93" s="12" t="s">
        <v>522</v>
      </c>
      <c r="AA93" s="12" t="s">
        <v>523</v>
      </c>
    </row>
    <row r="94" customFormat="false" ht="15" hidden="false" customHeight="true" outlineLevel="0" collapsed="false">
      <c r="A94" s="30" t="s">
        <v>121</v>
      </c>
      <c r="B94" s="76"/>
      <c r="C94" s="76"/>
      <c r="D94" s="76"/>
      <c r="E94" s="76"/>
      <c r="F94" s="76"/>
      <c r="G94" s="76"/>
      <c r="H94" s="76"/>
      <c r="I94" s="76"/>
      <c r="J94" s="74" t="n">
        <v>6</v>
      </c>
      <c r="K94" s="74" t="n">
        <v>6</v>
      </c>
      <c r="L94" s="74" t="n">
        <v>6</v>
      </c>
      <c r="M94" s="74" t="n">
        <v>5</v>
      </c>
      <c r="N94" s="74" t="n">
        <v>1</v>
      </c>
      <c r="O94" s="74" t="n">
        <v>2</v>
      </c>
      <c r="P94" s="74" t="n">
        <v>1</v>
      </c>
      <c r="Q94" s="74" t="n">
        <v>0</v>
      </c>
      <c r="R94" s="74" t="n">
        <v>0</v>
      </c>
      <c r="S94" s="74" t="n">
        <v>0</v>
      </c>
      <c r="T94" s="74" t="n">
        <v>0</v>
      </c>
      <c r="U94" s="74" t="n">
        <v>0</v>
      </c>
      <c r="V94" s="81" t="n">
        <v>0</v>
      </c>
      <c r="W94" s="81" t="n">
        <v>0</v>
      </c>
      <c r="X94" s="81" t="n">
        <v>0</v>
      </c>
      <c r="Y94" s="81" t="n">
        <v>0</v>
      </c>
      <c r="Z94" s="81" t="n">
        <v>0</v>
      </c>
      <c r="AA94" s="81" t="n">
        <v>0</v>
      </c>
    </row>
    <row r="95" customFormat="false" ht="15" hidden="false" customHeight="true" outlineLevel="0" collapsed="false">
      <c r="A95" s="30" t="s">
        <v>122</v>
      </c>
      <c r="B95" s="76"/>
      <c r="C95" s="76"/>
      <c r="D95" s="76"/>
      <c r="E95" s="76"/>
      <c r="F95" s="76"/>
      <c r="G95" s="76"/>
      <c r="H95" s="76"/>
      <c r="I95" s="76"/>
      <c r="J95" s="76"/>
      <c r="K95" s="74" t="n">
        <v>1</v>
      </c>
      <c r="L95" s="74" t="n">
        <v>1</v>
      </c>
      <c r="M95" s="74" t="n">
        <v>1</v>
      </c>
      <c r="N95" s="74" t="n">
        <v>1</v>
      </c>
      <c r="O95" s="74" t="n">
        <v>1</v>
      </c>
      <c r="P95" s="74" t="n">
        <v>0</v>
      </c>
      <c r="Q95" s="74" t="n">
        <v>0</v>
      </c>
      <c r="R95" s="74" t="n">
        <v>0</v>
      </c>
      <c r="S95" s="74" t="n">
        <v>0</v>
      </c>
      <c r="T95" s="74" t="n">
        <v>0</v>
      </c>
      <c r="U95" s="74" t="n">
        <v>0</v>
      </c>
      <c r="V95" s="81" t="n">
        <v>0</v>
      </c>
      <c r="W95" s="81" t="n">
        <v>0</v>
      </c>
      <c r="X95" s="81" t="n">
        <v>0</v>
      </c>
      <c r="Y95" s="81" t="n">
        <v>0</v>
      </c>
      <c r="Z95" s="81" t="n">
        <v>0</v>
      </c>
      <c r="AA95" s="81" t="n">
        <v>0</v>
      </c>
    </row>
    <row r="96" customFormat="false" ht="15" hidden="false" customHeight="true" outlineLevel="0" collapsed="false">
      <c r="A96" s="30" t="s">
        <v>123</v>
      </c>
      <c r="B96" s="76"/>
      <c r="C96" s="76"/>
      <c r="D96" s="76"/>
      <c r="E96" s="76"/>
      <c r="F96" s="76"/>
      <c r="G96" s="76"/>
      <c r="H96" s="76"/>
      <c r="I96" s="76"/>
      <c r="J96" s="76"/>
      <c r="K96" s="76"/>
      <c r="L96" s="74" t="n">
        <v>31</v>
      </c>
      <c r="M96" s="74" t="n">
        <v>27</v>
      </c>
      <c r="N96" s="74" t="n">
        <v>24</v>
      </c>
      <c r="O96" s="74" t="n">
        <v>25</v>
      </c>
      <c r="P96" s="74" t="n">
        <v>6</v>
      </c>
      <c r="Q96" s="74" t="n">
        <v>2</v>
      </c>
      <c r="R96" s="74" t="n">
        <v>1</v>
      </c>
      <c r="S96" s="74" t="n">
        <v>0</v>
      </c>
      <c r="T96" s="74" t="n">
        <v>0</v>
      </c>
      <c r="U96" s="74" t="n">
        <v>0</v>
      </c>
      <c r="V96" s="81" t="n">
        <v>0</v>
      </c>
      <c r="W96" s="81" t="n">
        <v>0</v>
      </c>
      <c r="X96" s="81" t="n">
        <v>0</v>
      </c>
      <c r="Y96" s="81" t="n">
        <v>0</v>
      </c>
      <c r="Z96" s="81" t="n">
        <v>0</v>
      </c>
      <c r="AA96" s="81" t="n">
        <v>0</v>
      </c>
    </row>
    <row r="97" customFormat="false" ht="15" hidden="false" customHeight="true" outlineLevel="0" collapsed="false">
      <c r="A97" s="30" t="s">
        <v>124</v>
      </c>
      <c r="B97" s="76"/>
      <c r="C97" s="76"/>
      <c r="D97" s="76"/>
      <c r="E97" s="76"/>
      <c r="F97" s="76"/>
      <c r="G97" s="76"/>
      <c r="H97" s="76"/>
      <c r="I97" s="76"/>
      <c r="J97" s="76"/>
      <c r="K97" s="76"/>
      <c r="L97" s="76"/>
      <c r="M97" s="74" t="n">
        <v>42</v>
      </c>
      <c r="N97" s="74" t="n">
        <v>34</v>
      </c>
      <c r="O97" s="74" t="n">
        <v>31</v>
      </c>
      <c r="P97" s="74" t="n">
        <v>30</v>
      </c>
      <c r="Q97" s="74" t="n">
        <v>4</v>
      </c>
      <c r="R97" s="74" t="n">
        <v>3</v>
      </c>
      <c r="S97" s="74" t="n">
        <v>5</v>
      </c>
      <c r="T97" s="74" t="n">
        <v>0</v>
      </c>
      <c r="U97" s="74" t="n">
        <v>2</v>
      </c>
      <c r="V97" s="81" t="n">
        <v>0</v>
      </c>
      <c r="W97" s="81" t="n">
        <v>0</v>
      </c>
      <c r="X97" s="81" t="n">
        <v>0</v>
      </c>
      <c r="Y97" s="81" t="n">
        <v>0</v>
      </c>
      <c r="Z97" s="81" t="n">
        <v>0</v>
      </c>
      <c r="AA97" s="81" t="n">
        <v>0</v>
      </c>
    </row>
    <row r="98" customFormat="false" ht="15" hidden="false" customHeight="true" outlineLevel="0" collapsed="false">
      <c r="A98" s="30" t="s">
        <v>126</v>
      </c>
      <c r="B98" s="76"/>
      <c r="C98" s="76"/>
      <c r="D98" s="76"/>
      <c r="E98" s="76"/>
      <c r="F98" s="76"/>
      <c r="G98" s="76"/>
      <c r="H98" s="76"/>
      <c r="I98" s="76"/>
      <c r="J98" s="76"/>
      <c r="K98" s="76"/>
      <c r="L98" s="76"/>
      <c r="M98" s="76"/>
      <c r="N98" s="76"/>
      <c r="O98" s="74" t="n">
        <v>28</v>
      </c>
      <c r="P98" s="74" t="n">
        <v>25</v>
      </c>
      <c r="Q98" s="74" t="n">
        <v>23</v>
      </c>
      <c r="R98" s="74" t="n">
        <v>21</v>
      </c>
      <c r="S98" s="74" t="n">
        <v>7</v>
      </c>
      <c r="T98" s="74" t="n">
        <v>6</v>
      </c>
      <c r="U98" s="74" t="n">
        <v>5</v>
      </c>
      <c r="V98" s="81" t="n">
        <v>0</v>
      </c>
      <c r="W98" s="81" t="n">
        <v>0</v>
      </c>
      <c r="X98" s="81" t="n">
        <v>0</v>
      </c>
      <c r="Y98" s="81" t="n">
        <v>0</v>
      </c>
      <c r="Z98" s="81" t="n">
        <v>0</v>
      </c>
      <c r="AA98" s="81" t="n">
        <v>0</v>
      </c>
    </row>
    <row r="99" customFormat="false" ht="15" hidden="false" customHeight="true" outlineLevel="0" collapsed="false">
      <c r="A99" s="30" t="s">
        <v>127</v>
      </c>
      <c r="B99" s="76"/>
      <c r="C99" s="76"/>
      <c r="D99" s="76"/>
      <c r="E99" s="76"/>
      <c r="F99" s="76"/>
      <c r="G99" s="76"/>
      <c r="H99" s="76"/>
      <c r="I99" s="76"/>
      <c r="J99" s="76"/>
      <c r="K99" s="76"/>
      <c r="L99" s="76"/>
      <c r="M99" s="76"/>
      <c r="N99" s="76"/>
      <c r="O99" s="76"/>
      <c r="P99" s="74" t="n">
        <v>31</v>
      </c>
      <c r="Q99" s="74" t="n">
        <v>24</v>
      </c>
      <c r="R99" s="74" t="n">
        <v>27</v>
      </c>
      <c r="S99" s="74" t="n">
        <v>26</v>
      </c>
      <c r="T99" s="74" t="n">
        <v>7</v>
      </c>
      <c r="U99" s="74" t="n">
        <v>4</v>
      </c>
      <c r="V99" s="81" t="n">
        <v>4</v>
      </c>
      <c r="W99" s="81" t="n">
        <v>0</v>
      </c>
      <c r="X99" s="81" t="n">
        <v>0</v>
      </c>
      <c r="Y99" s="81" t="n">
        <v>0</v>
      </c>
      <c r="Z99" s="81" t="n">
        <v>0</v>
      </c>
      <c r="AA99" s="81" t="n">
        <v>0</v>
      </c>
    </row>
    <row r="100" customFormat="false" ht="15" hidden="false" customHeight="true" outlineLevel="0" collapsed="false">
      <c r="A100" s="30" t="s">
        <v>129</v>
      </c>
      <c r="B100" s="76"/>
      <c r="C100" s="76"/>
      <c r="D100" s="76"/>
      <c r="E100" s="76"/>
      <c r="F100" s="76"/>
      <c r="G100" s="76"/>
      <c r="H100" s="76"/>
      <c r="I100" s="76"/>
      <c r="J100" s="76"/>
      <c r="K100" s="76"/>
      <c r="L100" s="76"/>
      <c r="M100" s="76"/>
      <c r="N100" s="76"/>
      <c r="O100" s="76"/>
      <c r="P100" s="76"/>
      <c r="Q100" s="76"/>
      <c r="R100" s="74" t="n">
        <v>39</v>
      </c>
      <c r="S100" s="74" t="n">
        <v>33</v>
      </c>
      <c r="T100" s="74" t="n">
        <v>29</v>
      </c>
      <c r="U100" s="74" t="n">
        <v>24</v>
      </c>
      <c r="V100" s="81" t="n">
        <v>5</v>
      </c>
      <c r="W100" s="81" t="n">
        <v>3</v>
      </c>
      <c r="X100" s="81" t="n">
        <v>3</v>
      </c>
      <c r="Y100" s="81" t="n">
        <v>0</v>
      </c>
      <c r="Z100" s="81" t="n">
        <v>0</v>
      </c>
      <c r="AA100" s="81" t="n">
        <v>0</v>
      </c>
    </row>
    <row r="101" customFormat="false" ht="15" hidden="false" customHeight="true" outlineLevel="0" collapsed="false">
      <c r="A101" s="30" t="s">
        <v>130</v>
      </c>
      <c r="B101" s="76"/>
      <c r="C101" s="76"/>
      <c r="D101" s="76"/>
      <c r="E101" s="76"/>
      <c r="F101" s="76"/>
      <c r="G101" s="76"/>
      <c r="H101" s="76"/>
      <c r="I101" s="76"/>
      <c r="J101" s="76"/>
      <c r="K101" s="76"/>
      <c r="L101" s="76"/>
      <c r="M101" s="76"/>
      <c r="N101" s="76"/>
      <c r="O101" s="76"/>
      <c r="P101" s="76"/>
      <c r="Q101" s="76"/>
      <c r="R101" s="76"/>
      <c r="S101" s="74" t="n">
        <v>16</v>
      </c>
      <c r="T101" s="74" t="n">
        <v>11</v>
      </c>
      <c r="U101" s="74" t="n">
        <v>13</v>
      </c>
      <c r="V101" s="81" t="n">
        <v>13</v>
      </c>
      <c r="W101" s="81" t="n">
        <v>3</v>
      </c>
      <c r="X101" s="81" t="n">
        <v>1</v>
      </c>
      <c r="Y101" s="81" t="n">
        <v>1</v>
      </c>
      <c r="Z101" s="81" t="n">
        <v>0</v>
      </c>
      <c r="AA101" s="81" t="n">
        <v>0</v>
      </c>
    </row>
    <row r="102" customFormat="false" ht="15" hidden="false" customHeight="true" outlineLevel="0" collapsed="false">
      <c r="A102" s="30" t="s">
        <v>132</v>
      </c>
      <c r="B102" s="76"/>
      <c r="C102" s="76"/>
      <c r="D102" s="76"/>
      <c r="E102" s="76"/>
      <c r="F102" s="76"/>
      <c r="G102" s="76"/>
      <c r="H102" s="76"/>
      <c r="I102" s="76"/>
      <c r="J102" s="76"/>
      <c r="K102" s="76"/>
      <c r="L102" s="76"/>
      <c r="M102" s="76"/>
      <c r="N102" s="76"/>
      <c r="O102" s="76"/>
      <c r="P102" s="76"/>
      <c r="Q102" s="76"/>
      <c r="R102" s="76"/>
      <c r="S102" s="76"/>
      <c r="T102" s="76"/>
      <c r="U102" s="74" t="n">
        <v>23</v>
      </c>
      <c r="V102" s="81" t="n">
        <v>20</v>
      </c>
      <c r="W102" s="81" t="n">
        <v>18</v>
      </c>
      <c r="X102" s="81" t="n">
        <v>18</v>
      </c>
      <c r="Y102" s="81" t="n">
        <v>3</v>
      </c>
      <c r="Z102" s="81" t="n">
        <v>2</v>
      </c>
      <c r="AA102" s="81" t="n">
        <v>2</v>
      </c>
    </row>
    <row r="103" customFormat="false" ht="15" hidden="false" customHeight="true" outlineLevel="0" collapsed="false">
      <c r="A103" s="82" t="s">
        <v>524</v>
      </c>
      <c r="B103" s="76"/>
      <c r="C103" s="76"/>
      <c r="D103" s="76"/>
      <c r="E103" s="76"/>
      <c r="F103" s="76"/>
      <c r="G103" s="76"/>
      <c r="H103" s="76"/>
      <c r="I103" s="76"/>
      <c r="J103" s="76"/>
      <c r="K103" s="76"/>
      <c r="L103" s="76"/>
      <c r="M103" s="76"/>
      <c r="N103" s="76"/>
      <c r="O103" s="76"/>
      <c r="P103" s="76"/>
      <c r="Q103" s="76"/>
      <c r="R103" s="76"/>
      <c r="S103" s="76"/>
      <c r="T103" s="76"/>
      <c r="U103" s="76"/>
      <c r="V103" s="81" t="n">
        <v>26</v>
      </c>
      <c r="W103" s="81" t="n">
        <v>22</v>
      </c>
      <c r="X103" s="81" t="n">
        <v>20</v>
      </c>
      <c r="Y103" s="81" t="n">
        <v>20</v>
      </c>
      <c r="Z103" s="81" t="n">
        <v>4</v>
      </c>
      <c r="AA103" s="81" t="n">
        <v>2</v>
      </c>
    </row>
    <row r="104" customFormat="false" ht="15" hidden="false" customHeight="true" outlineLevel="0" collapsed="false">
      <c r="A104" s="82" t="s">
        <v>525</v>
      </c>
      <c r="B104" s="76"/>
      <c r="C104" s="76"/>
      <c r="D104" s="76"/>
      <c r="E104" s="76"/>
      <c r="F104" s="76"/>
      <c r="G104" s="76"/>
      <c r="H104" s="76"/>
      <c r="I104" s="76"/>
      <c r="J104" s="76"/>
      <c r="K104" s="76"/>
      <c r="L104" s="76"/>
      <c r="M104" s="76"/>
      <c r="N104" s="76"/>
      <c r="O104" s="76"/>
      <c r="P104" s="76"/>
      <c r="Q104" s="76"/>
      <c r="R104" s="76"/>
      <c r="S104" s="76"/>
      <c r="T104" s="76"/>
      <c r="U104" s="76"/>
      <c r="V104" s="76"/>
      <c r="W104" s="81" t="n">
        <v>26</v>
      </c>
      <c r="X104" s="81" t="n">
        <v>22</v>
      </c>
      <c r="Y104" s="81" t="n">
        <v>20</v>
      </c>
      <c r="Z104" s="81" t="n">
        <v>20</v>
      </c>
      <c r="AA104" s="81" t="n">
        <v>4</v>
      </c>
    </row>
    <row r="105" customFormat="false" ht="15" hidden="false" customHeight="true" outlineLevel="0" collapsed="false">
      <c r="A105" s="82" t="s">
        <v>526</v>
      </c>
      <c r="B105" s="76"/>
      <c r="C105" s="76"/>
      <c r="D105" s="76"/>
      <c r="E105" s="76"/>
      <c r="F105" s="76"/>
      <c r="G105" s="76"/>
      <c r="H105" s="76"/>
      <c r="I105" s="76"/>
      <c r="J105" s="76"/>
      <c r="K105" s="76"/>
      <c r="L105" s="76"/>
      <c r="M105" s="76"/>
      <c r="N105" s="76"/>
      <c r="O105" s="76"/>
      <c r="P105" s="76"/>
      <c r="Q105" s="76"/>
      <c r="R105" s="76"/>
      <c r="S105" s="76"/>
      <c r="T105" s="76"/>
      <c r="U105" s="76"/>
      <c r="V105" s="76"/>
      <c r="W105" s="76"/>
      <c r="X105" s="81" t="n">
        <v>26</v>
      </c>
      <c r="Y105" s="81" t="n">
        <v>22</v>
      </c>
      <c r="Z105" s="81" t="n">
        <v>20</v>
      </c>
      <c r="AA105" s="81" t="n">
        <v>20</v>
      </c>
    </row>
    <row r="106" customFormat="false" ht="15" hidden="false" customHeight="true" outlineLevel="0" collapsed="false">
      <c r="A106" s="82" t="s">
        <v>527</v>
      </c>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81" t="n">
        <v>26</v>
      </c>
      <c r="Z106" s="81" t="n">
        <v>22</v>
      </c>
      <c r="AA106" s="81" t="n">
        <v>20</v>
      </c>
    </row>
    <row r="107" customFormat="false" ht="15" hidden="false" customHeight="true" outlineLevel="0" collapsed="false">
      <c r="A107" s="82" t="s">
        <v>528</v>
      </c>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81" t="n">
        <v>26</v>
      </c>
      <c r="AA107" s="81" t="n">
        <v>22</v>
      </c>
    </row>
    <row r="108" customFormat="false" ht="15" hidden="false" customHeight="true" outlineLevel="0" collapsed="false">
      <c r="A108" s="82" t="s">
        <v>529</v>
      </c>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81" t="n">
        <v>26</v>
      </c>
    </row>
    <row r="109" customFormat="false" ht="15" hidden="false" customHeight="true" outlineLevel="0" collapsed="false">
      <c r="A109" s="34" t="s">
        <v>514</v>
      </c>
      <c r="B109" s="79"/>
      <c r="C109" s="79"/>
      <c r="D109" s="79"/>
      <c r="E109" s="79"/>
      <c r="F109" s="79"/>
      <c r="G109" s="79"/>
      <c r="H109" s="79"/>
      <c r="I109" s="79"/>
      <c r="J109" s="79" t="n">
        <v>6</v>
      </c>
      <c r="K109" s="79" t="n">
        <v>7</v>
      </c>
      <c r="L109" s="79" t="n">
        <v>38</v>
      </c>
      <c r="M109" s="79" t="n">
        <v>75</v>
      </c>
      <c r="N109" s="79" t="n">
        <v>60</v>
      </c>
      <c r="O109" s="79" t="n">
        <v>87</v>
      </c>
      <c r="P109" s="79" t="n">
        <v>93</v>
      </c>
      <c r="Q109" s="79" t="n">
        <v>53</v>
      </c>
      <c r="R109" s="79" t="n">
        <v>91</v>
      </c>
      <c r="S109" s="79" t="n">
        <v>87</v>
      </c>
      <c r="T109" s="79" t="n">
        <v>53</v>
      </c>
      <c r="U109" s="79" t="n">
        <v>71</v>
      </c>
      <c r="V109" s="79" t="n">
        <v>67</v>
      </c>
      <c r="W109" s="79" t="n">
        <v>71</v>
      </c>
      <c r="X109" s="79" t="n">
        <v>90</v>
      </c>
      <c r="Y109" s="79" t="n">
        <v>93</v>
      </c>
      <c r="Z109" s="79" t="n">
        <v>94</v>
      </c>
      <c r="AA109" s="79" t="n">
        <v>96</v>
      </c>
    </row>
    <row r="111" customFormat="false" ht="19.5" hidden="false" customHeight="true" outlineLevel="0" collapsed="false">
      <c r="A111" s="65" t="s">
        <v>409</v>
      </c>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row>
    <row r="112" customFormat="false" ht="15" hidden="false" customHeight="true" outlineLevel="0" collapsed="false">
      <c r="A112" s="80" t="s">
        <v>533</v>
      </c>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c r="AA112" s="80"/>
    </row>
    <row r="113" customFormat="false" ht="15" hidden="false" customHeight="true" outlineLevel="0" collapsed="false">
      <c r="A113" s="12" t="s">
        <v>513</v>
      </c>
      <c r="B113" s="12" t="s">
        <v>113</v>
      </c>
      <c r="C113" s="12" t="s">
        <v>114</v>
      </c>
      <c r="D113" s="12" t="s">
        <v>115</v>
      </c>
      <c r="E113" s="12" t="s">
        <v>116</v>
      </c>
      <c r="F113" s="12" t="s">
        <v>117</v>
      </c>
      <c r="G113" s="12" t="s">
        <v>118</v>
      </c>
      <c r="H113" s="12" t="s">
        <v>119</v>
      </c>
      <c r="I113" s="12" t="s">
        <v>120</v>
      </c>
      <c r="J113" s="12" t="s">
        <v>121</v>
      </c>
      <c r="K113" s="12" t="s">
        <v>122</v>
      </c>
      <c r="L113" s="12" t="s">
        <v>123</v>
      </c>
      <c r="M113" s="12" t="s">
        <v>124</v>
      </c>
      <c r="N113" s="12" t="s">
        <v>125</v>
      </c>
      <c r="O113" s="12" t="s">
        <v>126</v>
      </c>
      <c r="P113" s="12" t="s">
        <v>127</v>
      </c>
      <c r="Q113" s="12" t="s">
        <v>128</v>
      </c>
      <c r="R113" s="12" t="s">
        <v>129</v>
      </c>
      <c r="S113" s="12" t="s">
        <v>130</v>
      </c>
      <c r="T113" s="12" t="s">
        <v>131</v>
      </c>
      <c r="U113" s="12" t="s">
        <v>132</v>
      </c>
      <c r="V113" s="12" t="s">
        <v>518</v>
      </c>
      <c r="W113" s="12" t="s">
        <v>519</v>
      </c>
      <c r="X113" s="12" t="s">
        <v>520</v>
      </c>
      <c r="Y113" s="12" t="s">
        <v>521</v>
      </c>
      <c r="Z113" s="12" t="s">
        <v>522</v>
      </c>
      <c r="AA113" s="12" t="s">
        <v>523</v>
      </c>
    </row>
    <row r="114" customFormat="false" ht="15" hidden="false" customHeight="true" outlineLevel="0" collapsed="false">
      <c r="A114" s="30" t="s">
        <v>113</v>
      </c>
      <c r="B114" s="74" t="n">
        <v>4</v>
      </c>
      <c r="C114" s="74" t="n">
        <v>2</v>
      </c>
      <c r="D114" s="74" t="n">
        <v>2</v>
      </c>
      <c r="E114" s="74" t="n">
        <v>1</v>
      </c>
      <c r="F114" s="74" t="n">
        <v>2</v>
      </c>
      <c r="G114" s="74" t="n">
        <v>2</v>
      </c>
      <c r="H114" s="74" t="n">
        <v>1</v>
      </c>
      <c r="I114" s="74" t="n">
        <v>1</v>
      </c>
      <c r="J114" s="74" t="n">
        <v>1</v>
      </c>
      <c r="K114" s="74" t="n">
        <v>0</v>
      </c>
      <c r="L114" s="74" t="n">
        <v>0</v>
      </c>
      <c r="M114" s="74" t="n">
        <v>0</v>
      </c>
      <c r="N114" s="74" t="n">
        <v>0</v>
      </c>
      <c r="O114" s="74" t="n">
        <v>0</v>
      </c>
      <c r="P114" s="74" t="n">
        <v>0</v>
      </c>
      <c r="Q114" s="74" t="n">
        <v>0</v>
      </c>
      <c r="R114" s="74" t="n">
        <v>0</v>
      </c>
      <c r="S114" s="74" t="n">
        <v>0</v>
      </c>
      <c r="T114" s="74" t="n">
        <v>0</v>
      </c>
      <c r="U114" s="74" t="n">
        <v>0</v>
      </c>
      <c r="V114" s="81" t="n">
        <v>0</v>
      </c>
      <c r="W114" s="81" t="n">
        <v>0</v>
      </c>
      <c r="X114" s="81" t="n">
        <v>0</v>
      </c>
      <c r="Y114" s="81" t="n">
        <v>0</v>
      </c>
      <c r="Z114" s="81" t="n">
        <v>0</v>
      </c>
      <c r="AA114" s="81" t="n">
        <v>0</v>
      </c>
    </row>
    <row r="115" customFormat="false" ht="15" hidden="false" customHeight="true" outlineLevel="0" collapsed="false">
      <c r="A115" s="30" t="s">
        <v>114</v>
      </c>
      <c r="B115" s="76"/>
      <c r="C115" s="74" t="n">
        <v>27</v>
      </c>
      <c r="D115" s="74" t="n">
        <v>20</v>
      </c>
      <c r="E115" s="74" t="n">
        <v>6</v>
      </c>
      <c r="F115" s="74" t="n">
        <v>16</v>
      </c>
      <c r="G115" s="74" t="n">
        <v>12</v>
      </c>
      <c r="H115" s="74" t="n">
        <v>10</v>
      </c>
      <c r="I115" s="74" t="n">
        <v>6</v>
      </c>
      <c r="J115" s="74" t="n">
        <v>3</v>
      </c>
      <c r="K115" s="74" t="n">
        <v>3</v>
      </c>
      <c r="L115" s="74" t="n">
        <v>1</v>
      </c>
      <c r="M115" s="74" t="n">
        <v>0</v>
      </c>
      <c r="N115" s="74" t="n">
        <v>0</v>
      </c>
      <c r="O115" s="74" t="n">
        <v>0</v>
      </c>
      <c r="P115" s="74" t="n">
        <v>0</v>
      </c>
      <c r="Q115" s="74" t="n">
        <v>0</v>
      </c>
      <c r="R115" s="74" t="n">
        <v>0</v>
      </c>
      <c r="S115" s="74" t="n">
        <v>0</v>
      </c>
      <c r="T115" s="74" t="n">
        <v>0</v>
      </c>
      <c r="U115" s="74" t="n">
        <v>0</v>
      </c>
      <c r="V115" s="81" t="n">
        <v>0</v>
      </c>
      <c r="W115" s="81" t="n">
        <v>0</v>
      </c>
      <c r="X115" s="81" t="n">
        <v>0</v>
      </c>
      <c r="Y115" s="81" t="n">
        <v>0</v>
      </c>
      <c r="Z115" s="81" t="n">
        <v>0</v>
      </c>
      <c r="AA115" s="81" t="n">
        <v>0</v>
      </c>
    </row>
    <row r="116" customFormat="false" ht="15" hidden="false" customHeight="true" outlineLevel="0" collapsed="false">
      <c r="A116" s="30" t="s">
        <v>115</v>
      </c>
      <c r="B116" s="76"/>
      <c r="C116" s="76"/>
      <c r="D116" s="74" t="n">
        <v>25</v>
      </c>
      <c r="E116" s="74" t="n">
        <v>9</v>
      </c>
      <c r="F116" s="74" t="n">
        <v>18</v>
      </c>
      <c r="G116" s="74" t="n">
        <v>17</v>
      </c>
      <c r="H116" s="74" t="n">
        <v>11</v>
      </c>
      <c r="I116" s="74" t="n">
        <v>13</v>
      </c>
      <c r="J116" s="74" t="n">
        <v>10</v>
      </c>
      <c r="K116" s="74" t="n">
        <v>2</v>
      </c>
      <c r="L116" s="74" t="n">
        <v>1</v>
      </c>
      <c r="M116" s="74" t="n">
        <v>2</v>
      </c>
      <c r="N116" s="74" t="n">
        <v>0</v>
      </c>
      <c r="O116" s="74" t="n">
        <v>2</v>
      </c>
      <c r="P116" s="74" t="n">
        <v>1</v>
      </c>
      <c r="Q116" s="74" t="n">
        <v>0</v>
      </c>
      <c r="R116" s="74" t="n">
        <v>0</v>
      </c>
      <c r="S116" s="74" t="n">
        <v>0</v>
      </c>
      <c r="T116" s="74" t="n">
        <v>0</v>
      </c>
      <c r="U116" s="74" t="n">
        <v>0</v>
      </c>
      <c r="V116" s="81" t="n">
        <v>0</v>
      </c>
      <c r="W116" s="81" t="n">
        <v>0</v>
      </c>
      <c r="X116" s="81" t="n">
        <v>0</v>
      </c>
      <c r="Y116" s="81" t="n">
        <v>0</v>
      </c>
      <c r="Z116" s="81" t="n">
        <v>0</v>
      </c>
      <c r="AA116" s="81" t="n">
        <v>0</v>
      </c>
    </row>
    <row r="117" customFormat="false" ht="15" hidden="false" customHeight="true" outlineLevel="0" collapsed="false">
      <c r="A117" s="30" t="s">
        <v>116</v>
      </c>
      <c r="B117" s="76"/>
      <c r="C117" s="76"/>
      <c r="D117" s="76"/>
      <c r="E117" s="74" t="n">
        <v>10</v>
      </c>
      <c r="F117" s="74" t="n">
        <v>9</v>
      </c>
      <c r="G117" s="74" t="n">
        <v>6</v>
      </c>
      <c r="H117" s="74" t="n">
        <v>5</v>
      </c>
      <c r="I117" s="74" t="n">
        <v>5</v>
      </c>
      <c r="J117" s="74" t="n">
        <v>3</v>
      </c>
      <c r="K117" s="74" t="n">
        <v>2</v>
      </c>
      <c r="L117" s="74" t="n">
        <v>2</v>
      </c>
      <c r="M117" s="74" t="n">
        <v>0</v>
      </c>
      <c r="N117" s="74" t="n">
        <v>0</v>
      </c>
      <c r="O117" s="74" t="n">
        <v>0</v>
      </c>
      <c r="P117" s="74" t="n">
        <v>0</v>
      </c>
      <c r="Q117" s="74" t="n">
        <v>1</v>
      </c>
      <c r="R117" s="74" t="n">
        <v>2</v>
      </c>
      <c r="S117" s="74" t="n">
        <v>2</v>
      </c>
      <c r="T117" s="74" t="n">
        <v>1</v>
      </c>
      <c r="U117" s="74" t="n">
        <v>1</v>
      </c>
      <c r="V117" s="81" t="n">
        <v>1</v>
      </c>
      <c r="W117" s="81" t="n">
        <v>1</v>
      </c>
      <c r="X117" s="81" t="n">
        <v>1</v>
      </c>
      <c r="Y117" s="81" t="n">
        <v>1</v>
      </c>
      <c r="Z117" s="81" t="n">
        <v>1</v>
      </c>
      <c r="AA117" s="81" t="n">
        <v>1</v>
      </c>
    </row>
    <row r="118" customFormat="false" ht="15" hidden="false" customHeight="true" outlineLevel="0" collapsed="false">
      <c r="A118" s="30" t="s">
        <v>117</v>
      </c>
      <c r="B118" s="76"/>
      <c r="C118" s="76"/>
      <c r="D118" s="76"/>
      <c r="E118" s="76"/>
      <c r="F118" s="74" t="n">
        <v>21</v>
      </c>
      <c r="G118" s="74" t="n">
        <v>18</v>
      </c>
      <c r="H118" s="74" t="n">
        <v>5</v>
      </c>
      <c r="I118" s="74" t="n">
        <v>16</v>
      </c>
      <c r="J118" s="74" t="n">
        <v>15</v>
      </c>
      <c r="K118" s="74" t="n">
        <v>14</v>
      </c>
      <c r="L118" s="74" t="n">
        <v>9</v>
      </c>
      <c r="M118" s="74" t="n">
        <v>7</v>
      </c>
      <c r="N118" s="74" t="n">
        <v>2</v>
      </c>
      <c r="O118" s="74" t="n">
        <v>2</v>
      </c>
      <c r="P118" s="74" t="n">
        <v>0</v>
      </c>
      <c r="Q118" s="74" t="n">
        <v>0</v>
      </c>
      <c r="R118" s="74" t="n">
        <v>0</v>
      </c>
      <c r="S118" s="74" t="n">
        <v>0</v>
      </c>
      <c r="T118" s="74" t="n">
        <v>0</v>
      </c>
      <c r="U118" s="74" t="n">
        <v>0</v>
      </c>
      <c r="V118" s="81" t="n">
        <v>0</v>
      </c>
      <c r="W118" s="81" t="n">
        <v>0</v>
      </c>
      <c r="X118" s="81" t="n">
        <v>0</v>
      </c>
      <c r="Y118" s="81" t="n">
        <v>0</v>
      </c>
      <c r="Z118" s="81" t="n">
        <v>0</v>
      </c>
      <c r="AA118" s="81" t="n">
        <v>0</v>
      </c>
    </row>
    <row r="119" customFormat="false" ht="15" hidden="false" customHeight="true" outlineLevel="0" collapsed="false">
      <c r="A119" s="30" t="s">
        <v>118</v>
      </c>
      <c r="B119" s="76"/>
      <c r="C119" s="76"/>
      <c r="D119" s="76"/>
      <c r="E119" s="76"/>
      <c r="F119" s="76"/>
      <c r="G119" s="74" t="n">
        <v>15</v>
      </c>
      <c r="H119" s="74" t="n">
        <v>7</v>
      </c>
      <c r="I119" s="74" t="n">
        <v>12</v>
      </c>
      <c r="J119" s="74" t="n">
        <v>10</v>
      </c>
      <c r="K119" s="74" t="n">
        <v>8</v>
      </c>
      <c r="L119" s="74" t="n">
        <v>7</v>
      </c>
      <c r="M119" s="74" t="n">
        <v>5</v>
      </c>
      <c r="N119" s="74" t="n">
        <v>2</v>
      </c>
      <c r="O119" s="74" t="n">
        <v>2</v>
      </c>
      <c r="P119" s="74" t="n">
        <v>1</v>
      </c>
      <c r="Q119" s="74" t="n">
        <v>0</v>
      </c>
      <c r="R119" s="74" t="n">
        <v>2</v>
      </c>
      <c r="S119" s="74" t="n">
        <v>1</v>
      </c>
      <c r="T119" s="74" t="n">
        <v>1</v>
      </c>
      <c r="U119" s="74" t="n">
        <v>0</v>
      </c>
      <c r="V119" s="81" t="n">
        <v>0</v>
      </c>
      <c r="W119" s="81" t="n">
        <v>0</v>
      </c>
      <c r="X119" s="81" t="n">
        <v>0</v>
      </c>
      <c r="Y119" s="81" t="n">
        <v>0</v>
      </c>
      <c r="Z119" s="81" t="n">
        <v>0</v>
      </c>
      <c r="AA119" s="81" t="n">
        <v>0</v>
      </c>
    </row>
    <row r="120" customFormat="false" ht="15" hidden="false" customHeight="true" outlineLevel="0" collapsed="false">
      <c r="A120" s="30" t="s">
        <v>119</v>
      </c>
      <c r="B120" s="76"/>
      <c r="C120" s="76"/>
      <c r="D120" s="76"/>
      <c r="E120" s="76"/>
      <c r="F120" s="76"/>
      <c r="G120" s="76"/>
      <c r="H120" s="74" t="n">
        <v>5</v>
      </c>
      <c r="I120" s="74" t="n">
        <v>5</v>
      </c>
      <c r="J120" s="74" t="n">
        <v>3</v>
      </c>
      <c r="K120" s="74" t="n">
        <v>2</v>
      </c>
      <c r="L120" s="74" t="n">
        <v>3</v>
      </c>
      <c r="M120" s="74" t="n">
        <v>2</v>
      </c>
      <c r="N120" s="74" t="n">
        <v>0</v>
      </c>
      <c r="O120" s="74" t="n">
        <v>1</v>
      </c>
      <c r="P120" s="74" t="n">
        <v>0</v>
      </c>
      <c r="Q120" s="74" t="n">
        <v>0</v>
      </c>
      <c r="R120" s="74" t="n">
        <v>0</v>
      </c>
      <c r="S120" s="74" t="n">
        <v>0</v>
      </c>
      <c r="T120" s="74" t="n">
        <v>0</v>
      </c>
      <c r="U120" s="74" t="n">
        <v>0</v>
      </c>
      <c r="V120" s="81" t="n">
        <v>0</v>
      </c>
      <c r="W120" s="81" t="n">
        <v>0</v>
      </c>
      <c r="X120" s="81" t="n">
        <v>0</v>
      </c>
      <c r="Y120" s="81" t="n">
        <v>0</v>
      </c>
      <c r="Z120" s="81" t="n">
        <v>0</v>
      </c>
      <c r="AA120" s="81" t="n">
        <v>0</v>
      </c>
    </row>
    <row r="121" customFormat="false" ht="15" hidden="false" customHeight="true" outlineLevel="0" collapsed="false">
      <c r="A121" s="30" t="s">
        <v>120</v>
      </c>
      <c r="B121" s="76"/>
      <c r="C121" s="76"/>
      <c r="D121" s="76"/>
      <c r="E121" s="76"/>
      <c r="F121" s="76"/>
      <c r="G121" s="76"/>
      <c r="H121" s="76"/>
      <c r="I121" s="74" t="n">
        <v>32</v>
      </c>
      <c r="J121" s="74" t="n">
        <v>26</v>
      </c>
      <c r="K121" s="74" t="n">
        <v>12</v>
      </c>
      <c r="L121" s="74" t="n">
        <v>21</v>
      </c>
      <c r="M121" s="74" t="n">
        <v>17</v>
      </c>
      <c r="N121" s="74" t="n">
        <v>6</v>
      </c>
      <c r="O121" s="74" t="n">
        <v>8</v>
      </c>
      <c r="P121" s="74" t="n">
        <v>6</v>
      </c>
      <c r="Q121" s="74" t="n">
        <v>2</v>
      </c>
      <c r="R121" s="74" t="n">
        <v>3</v>
      </c>
      <c r="S121" s="74" t="n">
        <v>2</v>
      </c>
      <c r="T121" s="74" t="n">
        <v>0</v>
      </c>
      <c r="U121" s="74" t="n">
        <v>1</v>
      </c>
      <c r="V121" s="81" t="n">
        <v>1</v>
      </c>
      <c r="W121" s="81" t="n">
        <v>0</v>
      </c>
      <c r="X121" s="81" t="n">
        <v>0</v>
      </c>
      <c r="Y121" s="81" t="n">
        <v>0</v>
      </c>
      <c r="Z121" s="81" t="n">
        <v>0</v>
      </c>
      <c r="AA121" s="81" t="n">
        <v>0</v>
      </c>
    </row>
    <row r="122" customFormat="false" ht="15" hidden="false" customHeight="true" outlineLevel="0" collapsed="false">
      <c r="A122" s="30" t="s">
        <v>121</v>
      </c>
      <c r="B122" s="76"/>
      <c r="C122" s="76"/>
      <c r="D122" s="76"/>
      <c r="E122" s="76"/>
      <c r="F122" s="76"/>
      <c r="G122" s="76"/>
      <c r="H122" s="76"/>
      <c r="I122" s="76"/>
      <c r="J122" s="74" t="n">
        <v>25</v>
      </c>
      <c r="K122" s="74" t="n">
        <v>10</v>
      </c>
      <c r="L122" s="74" t="n">
        <v>14</v>
      </c>
      <c r="M122" s="74" t="n">
        <v>15</v>
      </c>
      <c r="N122" s="74" t="n">
        <v>11</v>
      </c>
      <c r="O122" s="74" t="n">
        <v>12</v>
      </c>
      <c r="P122" s="74" t="n">
        <v>7</v>
      </c>
      <c r="Q122" s="74" t="n">
        <v>3</v>
      </c>
      <c r="R122" s="74" t="n">
        <v>2</v>
      </c>
      <c r="S122" s="74" t="n">
        <v>1</v>
      </c>
      <c r="T122" s="74" t="n">
        <v>2</v>
      </c>
      <c r="U122" s="74" t="n">
        <v>3</v>
      </c>
      <c r="V122" s="81" t="n">
        <v>2</v>
      </c>
      <c r="W122" s="81" t="n">
        <v>1</v>
      </c>
      <c r="X122" s="81" t="n">
        <v>1</v>
      </c>
      <c r="Y122" s="81" t="n">
        <v>0</v>
      </c>
      <c r="Z122" s="81" t="n">
        <v>0</v>
      </c>
      <c r="AA122" s="81" t="n">
        <v>0</v>
      </c>
    </row>
    <row r="123" customFormat="false" ht="15" hidden="false" customHeight="true" outlineLevel="0" collapsed="false">
      <c r="A123" s="30" t="s">
        <v>122</v>
      </c>
      <c r="B123" s="76"/>
      <c r="C123" s="76"/>
      <c r="D123" s="76"/>
      <c r="E123" s="76"/>
      <c r="F123" s="76"/>
      <c r="G123" s="76"/>
      <c r="H123" s="76"/>
      <c r="I123" s="76"/>
      <c r="J123" s="76"/>
      <c r="K123" s="74" t="n">
        <v>15</v>
      </c>
      <c r="L123" s="74" t="n">
        <v>12</v>
      </c>
      <c r="M123" s="74" t="n">
        <v>12</v>
      </c>
      <c r="N123" s="74" t="n">
        <v>8</v>
      </c>
      <c r="O123" s="74" t="n">
        <v>10</v>
      </c>
      <c r="P123" s="74" t="n">
        <v>7</v>
      </c>
      <c r="Q123" s="74" t="n">
        <v>5</v>
      </c>
      <c r="R123" s="74" t="n">
        <v>4</v>
      </c>
      <c r="S123" s="74" t="n">
        <v>2</v>
      </c>
      <c r="T123" s="74" t="n">
        <v>0</v>
      </c>
      <c r="U123" s="74" t="n">
        <v>1</v>
      </c>
      <c r="V123" s="81" t="n">
        <v>1</v>
      </c>
      <c r="W123" s="81" t="n">
        <v>1</v>
      </c>
      <c r="X123" s="81" t="n">
        <v>1</v>
      </c>
      <c r="Y123" s="81" t="n">
        <v>0</v>
      </c>
      <c r="Z123" s="81" t="n">
        <v>0</v>
      </c>
      <c r="AA123" s="81" t="n">
        <v>0</v>
      </c>
    </row>
    <row r="124" customFormat="false" ht="15" hidden="false" customHeight="true" outlineLevel="0" collapsed="false">
      <c r="A124" s="30" t="s">
        <v>123</v>
      </c>
      <c r="B124" s="76"/>
      <c r="C124" s="76"/>
      <c r="D124" s="76"/>
      <c r="E124" s="76"/>
      <c r="F124" s="76"/>
      <c r="G124" s="76"/>
      <c r="H124" s="76"/>
      <c r="I124" s="76"/>
      <c r="J124" s="76"/>
      <c r="K124" s="76"/>
      <c r="L124" s="74" t="n">
        <v>27</v>
      </c>
      <c r="M124" s="74" t="n">
        <v>23</v>
      </c>
      <c r="N124" s="74" t="n">
        <v>10</v>
      </c>
      <c r="O124" s="74" t="n">
        <v>19</v>
      </c>
      <c r="P124" s="74" t="n">
        <v>20</v>
      </c>
      <c r="Q124" s="74" t="n">
        <v>14</v>
      </c>
      <c r="R124" s="74" t="n">
        <v>12</v>
      </c>
      <c r="S124" s="74" t="n">
        <v>7</v>
      </c>
      <c r="T124" s="74" t="n">
        <v>5</v>
      </c>
      <c r="U124" s="74" t="n">
        <v>1</v>
      </c>
      <c r="V124" s="81" t="n">
        <v>0</v>
      </c>
      <c r="W124" s="81" t="n">
        <v>1</v>
      </c>
      <c r="X124" s="81" t="n">
        <v>0</v>
      </c>
      <c r="Y124" s="81" t="n">
        <v>0</v>
      </c>
      <c r="Z124" s="81" t="n">
        <v>0</v>
      </c>
      <c r="AA124" s="81" t="n">
        <v>0</v>
      </c>
    </row>
    <row r="125" customFormat="false" ht="15" hidden="false" customHeight="true" outlineLevel="0" collapsed="false">
      <c r="A125" s="30" t="s">
        <v>124</v>
      </c>
      <c r="B125" s="76"/>
      <c r="C125" s="76"/>
      <c r="D125" s="76"/>
      <c r="E125" s="76"/>
      <c r="F125" s="76"/>
      <c r="G125" s="76"/>
      <c r="H125" s="76"/>
      <c r="I125" s="76"/>
      <c r="J125" s="76"/>
      <c r="K125" s="76"/>
      <c r="L125" s="76"/>
      <c r="M125" s="74" t="n">
        <v>42</v>
      </c>
      <c r="N125" s="74" t="n">
        <v>26</v>
      </c>
      <c r="O125" s="74" t="n">
        <v>32</v>
      </c>
      <c r="P125" s="74" t="n">
        <v>24</v>
      </c>
      <c r="Q125" s="74" t="n">
        <v>19</v>
      </c>
      <c r="R125" s="74" t="n">
        <v>21</v>
      </c>
      <c r="S125" s="74" t="n">
        <v>9</v>
      </c>
      <c r="T125" s="74" t="n">
        <v>5</v>
      </c>
      <c r="U125" s="74" t="n">
        <v>4</v>
      </c>
      <c r="V125" s="81" t="n">
        <v>2</v>
      </c>
      <c r="W125" s="81" t="n">
        <v>1</v>
      </c>
      <c r="X125" s="81" t="n">
        <v>1</v>
      </c>
      <c r="Y125" s="81" t="n">
        <v>1</v>
      </c>
      <c r="Z125" s="81" t="n">
        <v>0</v>
      </c>
      <c r="AA125" s="81" t="n">
        <v>0</v>
      </c>
    </row>
    <row r="126" customFormat="false" ht="15" hidden="false" customHeight="true" outlineLevel="0" collapsed="false">
      <c r="A126" s="30" t="s">
        <v>125</v>
      </c>
      <c r="B126" s="76"/>
      <c r="C126" s="76"/>
      <c r="D126" s="76"/>
      <c r="E126" s="76"/>
      <c r="F126" s="76"/>
      <c r="G126" s="76"/>
      <c r="H126" s="76"/>
      <c r="I126" s="76"/>
      <c r="J126" s="76"/>
      <c r="K126" s="76"/>
      <c r="L126" s="76"/>
      <c r="M126" s="76"/>
      <c r="N126" s="74" t="n">
        <v>11</v>
      </c>
      <c r="O126" s="74" t="n">
        <v>10</v>
      </c>
      <c r="P126" s="74" t="n">
        <v>6</v>
      </c>
      <c r="Q126" s="74" t="n">
        <v>7</v>
      </c>
      <c r="R126" s="74" t="n">
        <v>9</v>
      </c>
      <c r="S126" s="74" t="n">
        <v>3</v>
      </c>
      <c r="T126" s="74" t="n">
        <v>2</v>
      </c>
      <c r="U126" s="74" t="n">
        <v>2</v>
      </c>
      <c r="V126" s="81" t="n">
        <v>1</v>
      </c>
      <c r="W126" s="81" t="n">
        <v>1</v>
      </c>
      <c r="X126" s="81" t="n">
        <v>0</v>
      </c>
      <c r="Y126" s="81" t="n">
        <v>0</v>
      </c>
      <c r="Z126" s="81" t="n">
        <v>0</v>
      </c>
      <c r="AA126" s="81" t="n">
        <v>0</v>
      </c>
    </row>
    <row r="127" customFormat="false" ht="15" hidden="false" customHeight="true" outlineLevel="0" collapsed="false">
      <c r="A127" s="30" t="s">
        <v>126</v>
      </c>
      <c r="B127" s="76"/>
      <c r="C127" s="76"/>
      <c r="D127" s="76"/>
      <c r="E127" s="76"/>
      <c r="F127" s="76"/>
      <c r="G127" s="76"/>
      <c r="H127" s="76"/>
      <c r="I127" s="76"/>
      <c r="J127" s="76"/>
      <c r="K127" s="76"/>
      <c r="L127" s="76"/>
      <c r="M127" s="76"/>
      <c r="N127" s="76"/>
      <c r="O127" s="74" t="n">
        <v>38</v>
      </c>
      <c r="P127" s="74" t="n">
        <v>24</v>
      </c>
      <c r="Q127" s="74" t="n">
        <v>11</v>
      </c>
      <c r="R127" s="74" t="n">
        <v>20</v>
      </c>
      <c r="S127" s="74" t="n">
        <v>18</v>
      </c>
      <c r="T127" s="74" t="n">
        <v>10</v>
      </c>
      <c r="U127" s="74" t="n">
        <v>10</v>
      </c>
      <c r="V127" s="81" t="n">
        <v>6</v>
      </c>
      <c r="W127" s="81" t="n">
        <v>3</v>
      </c>
      <c r="X127" s="81" t="n">
        <v>1</v>
      </c>
      <c r="Y127" s="81" t="n">
        <v>1</v>
      </c>
      <c r="Z127" s="81" t="n">
        <v>1</v>
      </c>
      <c r="AA127" s="81" t="n">
        <v>1</v>
      </c>
    </row>
    <row r="128" customFormat="false" ht="15" hidden="false" customHeight="true" outlineLevel="0" collapsed="false">
      <c r="A128" s="30" t="s">
        <v>127</v>
      </c>
      <c r="B128" s="76"/>
      <c r="C128" s="76"/>
      <c r="D128" s="76"/>
      <c r="E128" s="76"/>
      <c r="F128" s="76"/>
      <c r="G128" s="76"/>
      <c r="H128" s="76"/>
      <c r="I128" s="76"/>
      <c r="J128" s="76"/>
      <c r="K128" s="76"/>
      <c r="L128" s="76"/>
      <c r="M128" s="76"/>
      <c r="N128" s="76"/>
      <c r="O128" s="76"/>
      <c r="P128" s="74" t="n">
        <v>35</v>
      </c>
      <c r="Q128" s="74" t="n">
        <v>12</v>
      </c>
      <c r="R128" s="74" t="n">
        <v>30</v>
      </c>
      <c r="S128" s="74" t="n">
        <v>24</v>
      </c>
      <c r="T128" s="74" t="n">
        <v>17</v>
      </c>
      <c r="U128" s="74" t="n">
        <v>14</v>
      </c>
      <c r="V128" s="81" t="n">
        <v>9</v>
      </c>
      <c r="W128" s="81" t="n">
        <v>5</v>
      </c>
      <c r="X128" s="81" t="n">
        <v>3</v>
      </c>
      <c r="Y128" s="81" t="n">
        <v>1</v>
      </c>
      <c r="Z128" s="81" t="n">
        <v>1</v>
      </c>
      <c r="AA128" s="81" t="n">
        <v>1</v>
      </c>
    </row>
    <row r="129" customFormat="false" ht="15" hidden="false" customHeight="true" outlineLevel="0" collapsed="false">
      <c r="A129" s="30" t="s">
        <v>128</v>
      </c>
      <c r="B129" s="76"/>
      <c r="C129" s="76"/>
      <c r="D129" s="76"/>
      <c r="E129" s="76"/>
      <c r="F129" s="76"/>
      <c r="G129" s="76"/>
      <c r="H129" s="76"/>
      <c r="I129" s="76"/>
      <c r="J129" s="76"/>
      <c r="K129" s="76"/>
      <c r="L129" s="76"/>
      <c r="M129" s="76"/>
      <c r="N129" s="76"/>
      <c r="O129" s="76"/>
      <c r="P129" s="76"/>
      <c r="Q129" s="74" t="n">
        <v>8</v>
      </c>
      <c r="R129" s="74" t="n">
        <v>6</v>
      </c>
      <c r="S129" s="74" t="n">
        <v>3</v>
      </c>
      <c r="T129" s="74" t="n">
        <v>3</v>
      </c>
      <c r="U129" s="74" t="n">
        <v>5</v>
      </c>
      <c r="V129" s="81" t="n">
        <v>4</v>
      </c>
      <c r="W129" s="81" t="n">
        <v>3</v>
      </c>
      <c r="X129" s="81" t="n">
        <v>2</v>
      </c>
      <c r="Y129" s="81" t="n">
        <v>1</v>
      </c>
      <c r="Z129" s="81" t="n">
        <v>0</v>
      </c>
      <c r="AA129" s="81" t="n">
        <v>0</v>
      </c>
    </row>
    <row r="130" customFormat="false" ht="15" hidden="false" customHeight="true" outlineLevel="0" collapsed="false">
      <c r="A130" s="30" t="s">
        <v>129</v>
      </c>
      <c r="B130" s="76"/>
      <c r="C130" s="76"/>
      <c r="D130" s="76"/>
      <c r="E130" s="76"/>
      <c r="F130" s="76"/>
      <c r="G130" s="76"/>
      <c r="H130" s="76"/>
      <c r="I130" s="76"/>
      <c r="J130" s="76"/>
      <c r="K130" s="76"/>
      <c r="L130" s="76"/>
      <c r="M130" s="76"/>
      <c r="N130" s="76"/>
      <c r="O130" s="76"/>
      <c r="P130" s="76"/>
      <c r="Q130" s="76"/>
      <c r="R130" s="74" t="n">
        <v>29</v>
      </c>
      <c r="S130" s="74" t="n">
        <v>20</v>
      </c>
      <c r="T130" s="74" t="n">
        <v>10</v>
      </c>
      <c r="U130" s="74" t="n">
        <v>21</v>
      </c>
      <c r="V130" s="81" t="n">
        <v>18</v>
      </c>
      <c r="W130" s="81" t="n">
        <v>15</v>
      </c>
      <c r="X130" s="81" t="n">
        <v>10</v>
      </c>
      <c r="Y130" s="81" t="n">
        <v>6</v>
      </c>
      <c r="Z130" s="81" t="n">
        <v>3</v>
      </c>
      <c r="AA130" s="81" t="n">
        <v>1</v>
      </c>
    </row>
    <row r="131" customFormat="false" ht="15" hidden="false" customHeight="true" outlineLevel="0" collapsed="false">
      <c r="A131" s="30" t="s">
        <v>130</v>
      </c>
      <c r="B131" s="76"/>
      <c r="C131" s="76"/>
      <c r="D131" s="76"/>
      <c r="E131" s="76"/>
      <c r="F131" s="76"/>
      <c r="G131" s="76"/>
      <c r="H131" s="76"/>
      <c r="I131" s="76"/>
      <c r="J131" s="76"/>
      <c r="K131" s="76"/>
      <c r="L131" s="76"/>
      <c r="M131" s="76"/>
      <c r="N131" s="76"/>
      <c r="O131" s="76"/>
      <c r="P131" s="76"/>
      <c r="Q131" s="76"/>
      <c r="R131" s="76"/>
      <c r="S131" s="74" t="n">
        <v>21</v>
      </c>
      <c r="T131" s="74" t="n">
        <v>13</v>
      </c>
      <c r="U131" s="74" t="n">
        <v>15</v>
      </c>
      <c r="V131" s="81" t="n">
        <v>18</v>
      </c>
      <c r="W131" s="81" t="n">
        <v>15</v>
      </c>
      <c r="X131" s="81" t="n">
        <v>13</v>
      </c>
      <c r="Y131" s="81" t="n">
        <v>8</v>
      </c>
      <c r="Z131" s="81" t="n">
        <v>5</v>
      </c>
      <c r="AA131" s="81" t="n">
        <v>3</v>
      </c>
    </row>
    <row r="132" customFormat="false" ht="15" hidden="false" customHeight="true" outlineLevel="0" collapsed="false">
      <c r="A132" s="30" t="s">
        <v>131</v>
      </c>
      <c r="B132" s="76"/>
      <c r="C132" s="76"/>
      <c r="D132" s="76"/>
      <c r="E132" s="76"/>
      <c r="F132" s="76"/>
      <c r="G132" s="76"/>
      <c r="H132" s="76"/>
      <c r="I132" s="76"/>
      <c r="J132" s="76"/>
      <c r="K132" s="76"/>
      <c r="L132" s="76"/>
      <c r="M132" s="76"/>
      <c r="N132" s="76"/>
      <c r="O132" s="76"/>
      <c r="P132" s="76"/>
      <c r="Q132" s="76"/>
      <c r="R132" s="76"/>
      <c r="S132" s="76"/>
      <c r="T132" s="74" t="n">
        <v>9</v>
      </c>
      <c r="U132" s="74" t="n">
        <v>9</v>
      </c>
      <c r="V132" s="81" t="n">
        <v>7</v>
      </c>
      <c r="W132" s="81" t="n">
        <v>8</v>
      </c>
      <c r="X132" s="81" t="n">
        <v>7</v>
      </c>
      <c r="Y132" s="81" t="n">
        <v>6</v>
      </c>
      <c r="Z132" s="81" t="n">
        <v>4</v>
      </c>
      <c r="AA132" s="81" t="n">
        <v>2</v>
      </c>
    </row>
    <row r="133" customFormat="false" ht="15" hidden="false" customHeight="true" outlineLevel="0" collapsed="false">
      <c r="A133" s="30" t="s">
        <v>132</v>
      </c>
      <c r="B133" s="76"/>
      <c r="C133" s="76"/>
      <c r="D133" s="76"/>
      <c r="E133" s="76"/>
      <c r="F133" s="76"/>
      <c r="G133" s="76"/>
      <c r="H133" s="76"/>
      <c r="I133" s="76"/>
      <c r="J133" s="76"/>
      <c r="K133" s="76"/>
      <c r="L133" s="76"/>
      <c r="M133" s="76"/>
      <c r="N133" s="76"/>
      <c r="O133" s="76"/>
      <c r="P133" s="76"/>
      <c r="Q133" s="76"/>
      <c r="R133" s="76"/>
      <c r="S133" s="76"/>
      <c r="T133" s="76"/>
      <c r="U133" s="74" t="n">
        <v>13</v>
      </c>
      <c r="V133" s="81" t="n">
        <v>9</v>
      </c>
      <c r="W133" s="81" t="n">
        <v>7</v>
      </c>
      <c r="X133" s="81" t="n">
        <v>8</v>
      </c>
      <c r="Y133" s="81" t="n">
        <v>7</v>
      </c>
      <c r="Z133" s="81" t="n">
        <v>6</v>
      </c>
      <c r="AA133" s="81" t="n">
        <v>4</v>
      </c>
    </row>
    <row r="134" customFormat="false" ht="15" hidden="false" customHeight="true" outlineLevel="0" collapsed="false">
      <c r="A134" s="82" t="s">
        <v>524</v>
      </c>
      <c r="B134" s="76"/>
      <c r="C134" s="76"/>
      <c r="D134" s="76"/>
      <c r="E134" s="76"/>
      <c r="F134" s="76"/>
      <c r="G134" s="76"/>
      <c r="H134" s="76"/>
      <c r="I134" s="76"/>
      <c r="J134" s="76"/>
      <c r="K134" s="76"/>
      <c r="L134" s="76"/>
      <c r="M134" s="76"/>
      <c r="N134" s="76"/>
      <c r="O134" s="76"/>
      <c r="P134" s="76"/>
      <c r="Q134" s="76"/>
      <c r="R134" s="76"/>
      <c r="S134" s="76"/>
      <c r="T134" s="76"/>
      <c r="U134" s="76"/>
      <c r="V134" s="81" t="n">
        <v>14</v>
      </c>
      <c r="W134" s="81" t="n">
        <v>9</v>
      </c>
      <c r="X134" s="81" t="n">
        <v>7</v>
      </c>
      <c r="Y134" s="81" t="n">
        <v>9</v>
      </c>
      <c r="Z134" s="81" t="n">
        <v>8</v>
      </c>
      <c r="AA134" s="81" t="n">
        <v>6</v>
      </c>
    </row>
    <row r="135" customFormat="false" ht="15" hidden="false" customHeight="true" outlineLevel="0" collapsed="false">
      <c r="A135" s="82" t="s">
        <v>525</v>
      </c>
      <c r="B135" s="76"/>
      <c r="C135" s="76"/>
      <c r="D135" s="76"/>
      <c r="E135" s="76"/>
      <c r="F135" s="76"/>
      <c r="G135" s="76"/>
      <c r="H135" s="76"/>
      <c r="I135" s="76"/>
      <c r="J135" s="76"/>
      <c r="K135" s="76"/>
      <c r="L135" s="76"/>
      <c r="M135" s="76"/>
      <c r="N135" s="76"/>
      <c r="O135" s="76"/>
      <c r="P135" s="76"/>
      <c r="Q135" s="76"/>
      <c r="R135" s="76"/>
      <c r="S135" s="76"/>
      <c r="T135" s="76"/>
      <c r="U135" s="76"/>
      <c r="V135" s="76"/>
      <c r="W135" s="81" t="n">
        <v>14</v>
      </c>
      <c r="X135" s="81" t="n">
        <v>9</v>
      </c>
      <c r="Y135" s="81" t="n">
        <v>7</v>
      </c>
      <c r="Z135" s="81" t="n">
        <v>9</v>
      </c>
      <c r="AA135" s="81" t="n">
        <v>8</v>
      </c>
    </row>
    <row r="136" customFormat="false" ht="15" hidden="false" customHeight="true" outlineLevel="0" collapsed="false">
      <c r="A136" s="82" t="s">
        <v>526</v>
      </c>
      <c r="B136" s="76"/>
      <c r="C136" s="76"/>
      <c r="D136" s="76"/>
      <c r="E136" s="76"/>
      <c r="F136" s="76"/>
      <c r="G136" s="76"/>
      <c r="H136" s="76"/>
      <c r="I136" s="76"/>
      <c r="J136" s="76"/>
      <c r="K136" s="76"/>
      <c r="L136" s="76"/>
      <c r="M136" s="76"/>
      <c r="N136" s="76"/>
      <c r="O136" s="76"/>
      <c r="P136" s="76"/>
      <c r="Q136" s="76"/>
      <c r="R136" s="76"/>
      <c r="S136" s="76"/>
      <c r="T136" s="76"/>
      <c r="U136" s="76"/>
      <c r="V136" s="76"/>
      <c r="W136" s="76"/>
      <c r="X136" s="81" t="n">
        <v>14</v>
      </c>
      <c r="Y136" s="81" t="n">
        <v>9</v>
      </c>
      <c r="Z136" s="81" t="n">
        <v>7</v>
      </c>
      <c r="AA136" s="81" t="n">
        <v>9</v>
      </c>
    </row>
    <row r="137" customFormat="false" ht="15" hidden="false" customHeight="true" outlineLevel="0" collapsed="false">
      <c r="A137" s="82" t="s">
        <v>527</v>
      </c>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81" t="n">
        <v>14</v>
      </c>
      <c r="Z137" s="81" t="n">
        <v>9</v>
      </c>
      <c r="AA137" s="81" t="n">
        <v>7</v>
      </c>
    </row>
    <row r="138" customFormat="false" ht="15" hidden="false" customHeight="true" outlineLevel="0" collapsed="false">
      <c r="A138" s="82" t="s">
        <v>528</v>
      </c>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81" t="n">
        <v>14</v>
      </c>
      <c r="AA138" s="81" t="n">
        <v>9</v>
      </c>
    </row>
    <row r="139" customFormat="false" ht="15" hidden="false" customHeight="true" outlineLevel="0" collapsed="false">
      <c r="A139" s="82" t="s">
        <v>529</v>
      </c>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81" t="n">
        <v>14</v>
      </c>
    </row>
    <row r="140" customFormat="false" ht="15" hidden="false" customHeight="true" outlineLevel="0" collapsed="false">
      <c r="A140" s="34" t="s">
        <v>514</v>
      </c>
      <c r="B140" s="79" t="n">
        <v>4</v>
      </c>
      <c r="C140" s="79" t="n">
        <v>29</v>
      </c>
      <c r="D140" s="79" t="n">
        <v>47</v>
      </c>
      <c r="E140" s="79" t="n">
        <v>26</v>
      </c>
      <c r="F140" s="79" t="n">
        <v>66</v>
      </c>
      <c r="G140" s="79" t="n">
        <v>70</v>
      </c>
      <c r="H140" s="79" t="n">
        <v>44</v>
      </c>
      <c r="I140" s="79" t="n">
        <v>90</v>
      </c>
      <c r="J140" s="79" t="n">
        <v>96</v>
      </c>
      <c r="K140" s="79" t="n">
        <v>68</v>
      </c>
      <c r="L140" s="79" t="n">
        <v>97</v>
      </c>
      <c r="M140" s="79" t="n">
        <v>125</v>
      </c>
      <c r="N140" s="79" t="n">
        <v>76</v>
      </c>
      <c r="O140" s="79" t="n">
        <v>136</v>
      </c>
      <c r="P140" s="79" t="n">
        <v>131</v>
      </c>
      <c r="Q140" s="79" t="n">
        <v>82</v>
      </c>
      <c r="R140" s="79" t="n">
        <v>140</v>
      </c>
      <c r="S140" s="79" t="n">
        <v>113</v>
      </c>
      <c r="T140" s="79" t="n">
        <v>78</v>
      </c>
      <c r="U140" s="79" t="n">
        <v>100</v>
      </c>
      <c r="V140" s="79" t="n">
        <v>93</v>
      </c>
      <c r="W140" s="79" t="n">
        <v>86</v>
      </c>
      <c r="X140" s="79" t="n">
        <v>79</v>
      </c>
      <c r="Y140" s="79" t="n">
        <v>73</v>
      </c>
      <c r="Z140" s="79" t="n">
        <v>70</v>
      </c>
      <c r="AA140" s="79" t="n">
        <v>68</v>
      </c>
    </row>
    <row r="142" customFormat="false" ht="19.5" hidden="false" customHeight="true" outlineLevel="0" collapsed="false">
      <c r="A142" s="65" t="s">
        <v>410</v>
      </c>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row>
    <row r="143" customFormat="false" ht="15" hidden="false" customHeight="true" outlineLevel="0" collapsed="false">
      <c r="A143" s="80" t="s">
        <v>534</v>
      </c>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row>
    <row r="144" customFormat="false" ht="15" hidden="false" customHeight="true" outlineLevel="0" collapsed="false">
      <c r="A144" s="12" t="s">
        <v>513</v>
      </c>
      <c r="B144" s="12" t="s">
        <v>113</v>
      </c>
      <c r="C144" s="12" t="s">
        <v>114</v>
      </c>
      <c r="D144" s="12" t="s">
        <v>115</v>
      </c>
      <c r="E144" s="12" t="s">
        <v>116</v>
      </c>
      <c r="F144" s="12" t="s">
        <v>117</v>
      </c>
      <c r="G144" s="12" t="s">
        <v>118</v>
      </c>
      <c r="H144" s="12" t="s">
        <v>119</v>
      </c>
      <c r="I144" s="12" t="s">
        <v>120</v>
      </c>
      <c r="J144" s="12" t="s">
        <v>121</v>
      </c>
      <c r="K144" s="12" t="s">
        <v>122</v>
      </c>
      <c r="L144" s="12" t="s">
        <v>123</v>
      </c>
      <c r="M144" s="12" t="s">
        <v>124</v>
      </c>
      <c r="N144" s="12" t="s">
        <v>125</v>
      </c>
      <c r="O144" s="12" t="s">
        <v>126</v>
      </c>
      <c r="P144" s="12" t="s">
        <v>127</v>
      </c>
      <c r="Q144" s="12" t="s">
        <v>128</v>
      </c>
      <c r="R144" s="12" t="s">
        <v>129</v>
      </c>
      <c r="S144" s="12" t="s">
        <v>130</v>
      </c>
      <c r="T144" s="12" t="s">
        <v>131</v>
      </c>
      <c r="U144" s="12" t="s">
        <v>132</v>
      </c>
      <c r="V144" s="12" t="s">
        <v>518</v>
      </c>
      <c r="W144" s="12" t="s">
        <v>519</v>
      </c>
      <c r="X144" s="12" t="s">
        <v>520</v>
      </c>
      <c r="Y144" s="12" t="s">
        <v>521</v>
      </c>
      <c r="Z144" s="12" t="s">
        <v>522</v>
      </c>
      <c r="AA144" s="12" t="s">
        <v>523</v>
      </c>
    </row>
    <row r="145" customFormat="false" ht="15" hidden="false" customHeight="true" outlineLevel="0" collapsed="false">
      <c r="A145" s="30" t="s">
        <v>113</v>
      </c>
      <c r="B145" s="74" t="n">
        <v>7</v>
      </c>
      <c r="C145" s="74" t="n">
        <v>6</v>
      </c>
      <c r="D145" s="74" t="n">
        <v>6</v>
      </c>
      <c r="E145" s="74" t="n">
        <v>3</v>
      </c>
      <c r="F145" s="74" t="n">
        <v>5</v>
      </c>
      <c r="G145" s="74" t="n">
        <v>5</v>
      </c>
      <c r="H145" s="74" t="n">
        <v>4</v>
      </c>
      <c r="I145" s="74" t="n">
        <v>3</v>
      </c>
      <c r="J145" s="74" t="n">
        <v>2</v>
      </c>
      <c r="K145" s="74" t="n">
        <v>0</v>
      </c>
      <c r="L145" s="74" t="n">
        <v>1</v>
      </c>
      <c r="M145" s="74" t="n">
        <v>1</v>
      </c>
      <c r="N145" s="74" t="n">
        <v>1</v>
      </c>
      <c r="O145" s="74" t="n">
        <v>1</v>
      </c>
      <c r="P145" s="74" t="n">
        <v>0</v>
      </c>
      <c r="Q145" s="74" t="n">
        <v>0</v>
      </c>
      <c r="R145" s="74" t="n">
        <v>0</v>
      </c>
      <c r="S145" s="74" t="n">
        <v>0</v>
      </c>
      <c r="T145" s="74" t="n">
        <v>0</v>
      </c>
      <c r="U145" s="74" t="n">
        <v>0</v>
      </c>
      <c r="V145" s="81" t="n">
        <v>0</v>
      </c>
      <c r="W145" s="81" t="n">
        <v>0</v>
      </c>
      <c r="X145" s="81" t="n">
        <v>0</v>
      </c>
      <c r="Y145" s="81" t="n">
        <v>0</v>
      </c>
      <c r="Z145" s="81" t="n">
        <v>0</v>
      </c>
      <c r="AA145" s="81" t="n">
        <v>0</v>
      </c>
    </row>
    <row r="146" customFormat="false" ht="15" hidden="false" customHeight="true" outlineLevel="0" collapsed="false">
      <c r="A146" s="30" t="s">
        <v>114</v>
      </c>
      <c r="B146" s="76"/>
      <c r="C146" s="74" t="n">
        <v>20</v>
      </c>
      <c r="D146" s="74" t="n">
        <v>19</v>
      </c>
      <c r="E146" s="74" t="n">
        <v>12</v>
      </c>
      <c r="F146" s="74" t="n">
        <v>18</v>
      </c>
      <c r="G146" s="74" t="n">
        <v>15</v>
      </c>
      <c r="H146" s="74" t="n">
        <v>12</v>
      </c>
      <c r="I146" s="74" t="n">
        <v>11</v>
      </c>
      <c r="J146" s="74" t="n">
        <v>4</v>
      </c>
      <c r="K146" s="74" t="n">
        <v>1</v>
      </c>
      <c r="L146" s="74" t="n">
        <v>2</v>
      </c>
      <c r="M146" s="74" t="n">
        <v>1</v>
      </c>
      <c r="N146" s="74" t="n">
        <v>1</v>
      </c>
      <c r="O146" s="74" t="n">
        <v>1</v>
      </c>
      <c r="P146" s="74" t="n">
        <v>0</v>
      </c>
      <c r="Q146" s="74" t="n">
        <v>0</v>
      </c>
      <c r="R146" s="74" t="n">
        <v>0</v>
      </c>
      <c r="S146" s="74" t="n">
        <v>0</v>
      </c>
      <c r="T146" s="74" t="n">
        <v>0</v>
      </c>
      <c r="U146" s="74" t="n">
        <v>0</v>
      </c>
      <c r="V146" s="81" t="n">
        <v>0</v>
      </c>
      <c r="W146" s="81" t="n">
        <v>0</v>
      </c>
      <c r="X146" s="81" t="n">
        <v>0</v>
      </c>
      <c r="Y146" s="81" t="n">
        <v>0</v>
      </c>
      <c r="Z146" s="81" t="n">
        <v>0</v>
      </c>
      <c r="AA146" s="81" t="n">
        <v>0</v>
      </c>
    </row>
    <row r="147" customFormat="false" ht="15" hidden="false" customHeight="true" outlineLevel="0" collapsed="false">
      <c r="A147" s="30" t="s">
        <v>115</v>
      </c>
      <c r="B147" s="76"/>
      <c r="C147" s="76"/>
      <c r="D147" s="74" t="n">
        <v>18</v>
      </c>
      <c r="E147" s="74" t="n">
        <v>9</v>
      </c>
      <c r="F147" s="74" t="n">
        <v>13</v>
      </c>
      <c r="G147" s="74" t="n">
        <v>12</v>
      </c>
      <c r="H147" s="74" t="n">
        <v>7</v>
      </c>
      <c r="I147" s="74" t="n">
        <v>9</v>
      </c>
      <c r="J147" s="74" t="n">
        <v>5</v>
      </c>
      <c r="K147" s="74" t="n">
        <v>5</v>
      </c>
      <c r="L147" s="74" t="n">
        <v>3</v>
      </c>
      <c r="M147" s="74" t="n">
        <v>1</v>
      </c>
      <c r="N147" s="74" t="n">
        <v>1</v>
      </c>
      <c r="O147" s="74" t="n">
        <v>0</v>
      </c>
      <c r="P147" s="74" t="n">
        <v>1</v>
      </c>
      <c r="Q147" s="74" t="n">
        <v>0</v>
      </c>
      <c r="R147" s="74" t="n">
        <v>1</v>
      </c>
      <c r="S147" s="74" t="n">
        <v>0</v>
      </c>
      <c r="T147" s="74" t="n">
        <v>0</v>
      </c>
      <c r="U147" s="74" t="n">
        <v>0</v>
      </c>
      <c r="V147" s="81" t="n">
        <v>0</v>
      </c>
      <c r="W147" s="81" t="n">
        <v>0</v>
      </c>
      <c r="X147" s="81" t="n">
        <v>0</v>
      </c>
      <c r="Y147" s="81" t="n">
        <v>0</v>
      </c>
      <c r="Z147" s="81" t="n">
        <v>0</v>
      </c>
      <c r="AA147" s="81" t="n">
        <v>0</v>
      </c>
    </row>
    <row r="148" customFormat="false" ht="15" hidden="false" customHeight="true" outlineLevel="0" collapsed="false">
      <c r="A148" s="30" t="s">
        <v>116</v>
      </c>
      <c r="B148" s="76"/>
      <c r="C148" s="76"/>
      <c r="D148" s="76"/>
      <c r="E148" s="74" t="n">
        <v>7</v>
      </c>
      <c r="F148" s="74" t="n">
        <v>4</v>
      </c>
      <c r="G148" s="74" t="n">
        <v>3</v>
      </c>
      <c r="H148" s="74" t="n">
        <v>4</v>
      </c>
      <c r="I148" s="74" t="n">
        <v>4</v>
      </c>
      <c r="J148" s="74" t="n">
        <v>1</v>
      </c>
      <c r="K148" s="74" t="n">
        <v>1</v>
      </c>
      <c r="L148" s="74" t="n">
        <v>1</v>
      </c>
      <c r="M148" s="74" t="n">
        <v>0</v>
      </c>
      <c r="N148" s="74" t="n">
        <v>1</v>
      </c>
      <c r="O148" s="74" t="n">
        <v>1</v>
      </c>
      <c r="P148" s="74" t="n">
        <v>1</v>
      </c>
      <c r="Q148" s="74" t="n">
        <v>0</v>
      </c>
      <c r="R148" s="74" t="n">
        <v>0</v>
      </c>
      <c r="S148" s="74" t="n">
        <v>0</v>
      </c>
      <c r="T148" s="74" t="n">
        <v>0</v>
      </c>
      <c r="U148" s="74" t="n">
        <v>0</v>
      </c>
      <c r="V148" s="81" t="n">
        <v>0</v>
      </c>
      <c r="W148" s="81" t="n">
        <v>0</v>
      </c>
      <c r="X148" s="81" t="n">
        <v>0</v>
      </c>
      <c r="Y148" s="81" t="n">
        <v>0</v>
      </c>
      <c r="Z148" s="81" t="n">
        <v>0</v>
      </c>
      <c r="AA148" s="81" t="n">
        <v>0</v>
      </c>
    </row>
    <row r="149" customFormat="false" ht="15" hidden="false" customHeight="true" outlineLevel="0" collapsed="false">
      <c r="A149" s="30" t="s">
        <v>117</v>
      </c>
      <c r="B149" s="76"/>
      <c r="C149" s="76"/>
      <c r="D149" s="76"/>
      <c r="E149" s="76"/>
      <c r="F149" s="74" t="n">
        <v>22</v>
      </c>
      <c r="G149" s="74" t="n">
        <v>19</v>
      </c>
      <c r="H149" s="74" t="n">
        <v>7</v>
      </c>
      <c r="I149" s="74" t="n">
        <v>17</v>
      </c>
      <c r="J149" s="74" t="n">
        <v>17</v>
      </c>
      <c r="K149" s="74" t="n">
        <v>5</v>
      </c>
      <c r="L149" s="74" t="n">
        <v>13</v>
      </c>
      <c r="M149" s="74" t="n">
        <v>11</v>
      </c>
      <c r="N149" s="74" t="n">
        <v>2</v>
      </c>
      <c r="O149" s="74" t="n">
        <v>6</v>
      </c>
      <c r="P149" s="74" t="n">
        <v>3</v>
      </c>
      <c r="Q149" s="74" t="n">
        <v>0</v>
      </c>
      <c r="R149" s="74" t="n">
        <v>2</v>
      </c>
      <c r="S149" s="74" t="n">
        <v>1</v>
      </c>
      <c r="T149" s="74" t="n">
        <v>0</v>
      </c>
      <c r="U149" s="74" t="n">
        <v>0</v>
      </c>
      <c r="V149" s="81" t="n">
        <v>0</v>
      </c>
      <c r="W149" s="81" t="n">
        <v>0</v>
      </c>
      <c r="X149" s="81" t="n">
        <v>0</v>
      </c>
      <c r="Y149" s="81" t="n">
        <v>0</v>
      </c>
      <c r="Z149" s="81" t="n">
        <v>0</v>
      </c>
      <c r="AA149" s="81" t="n">
        <v>0</v>
      </c>
    </row>
    <row r="150" customFormat="false" ht="15" hidden="false" customHeight="true" outlineLevel="0" collapsed="false">
      <c r="A150" s="30" t="s">
        <v>118</v>
      </c>
      <c r="B150" s="76"/>
      <c r="C150" s="76"/>
      <c r="D150" s="76"/>
      <c r="E150" s="76"/>
      <c r="F150" s="76"/>
      <c r="G150" s="74" t="n">
        <v>35</v>
      </c>
      <c r="H150" s="74" t="n">
        <v>18</v>
      </c>
      <c r="I150" s="74" t="n">
        <v>17</v>
      </c>
      <c r="J150" s="74" t="n">
        <v>15</v>
      </c>
      <c r="K150" s="74" t="n">
        <v>12</v>
      </c>
      <c r="L150" s="74" t="n">
        <v>15</v>
      </c>
      <c r="M150" s="74" t="n">
        <v>10</v>
      </c>
      <c r="N150" s="74" t="n">
        <v>6</v>
      </c>
      <c r="O150" s="74" t="n">
        <v>4</v>
      </c>
      <c r="P150" s="74" t="n">
        <v>3</v>
      </c>
      <c r="Q150" s="74" t="n">
        <v>5</v>
      </c>
      <c r="R150" s="74" t="n">
        <v>2</v>
      </c>
      <c r="S150" s="74" t="n">
        <v>1</v>
      </c>
      <c r="T150" s="74" t="n">
        <v>0</v>
      </c>
      <c r="U150" s="74" t="n">
        <v>0</v>
      </c>
      <c r="V150" s="81" t="n">
        <v>0</v>
      </c>
      <c r="W150" s="81" t="n">
        <v>0</v>
      </c>
      <c r="X150" s="81" t="n">
        <v>0</v>
      </c>
      <c r="Y150" s="81" t="n">
        <v>0</v>
      </c>
      <c r="Z150" s="81" t="n">
        <v>0</v>
      </c>
      <c r="AA150" s="81" t="n">
        <v>0</v>
      </c>
    </row>
    <row r="151" customFormat="false" ht="15" hidden="false" customHeight="true" outlineLevel="0" collapsed="false">
      <c r="A151" s="30" t="s">
        <v>119</v>
      </c>
      <c r="B151" s="76"/>
      <c r="C151" s="76"/>
      <c r="D151" s="76"/>
      <c r="E151" s="76"/>
      <c r="F151" s="76"/>
      <c r="G151" s="76"/>
      <c r="H151" s="74" t="n">
        <v>38</v>
      </c>
      <c r="I151" s="74" t="n">
        <v>31</v>
      </c>
      <c r="J151" s="74" t="n">
        <v>27</v>
      </c>
      <c r="K151" s="74" t="n">
        <v>21</v>
      </c>
      <c r="L151" s="74" t="n">
        <v>22</v>
      </c>
      <c r="M151" s="74" t="n">
        <v>20</v>
      </c>
      <c r="N151" s="74" t="n">
        <v>5</v>
      </c>
      <c r="O151" s="74" t="n">
        <v>9</v>
      </c>
      <c r="P151" s="74" t="n">
        <v>4</v>
      </c>
      <c r="Q151" s="74" t="n">
        <v>0</v>
      </c>
      <c r="R151" s="74" t="n">
        <v>1</v>
      </c>
      <c r="S151" s="74" t="n">
        <v>1</v>
      </c>
      <c r="T151" s="74" t="n">
        <v>0</v>
      </c>
      <c r="U151" s="74" t="n">
        <v>0</v>
      </c>
      <c r="V151" s="81" t="n">
        <v>0</v>
      </c>
      <c r="W151" s="81" t="n">
        <v>0</v>
      </c>
      <c r="X151" s="81" t="n">
        <v>0</v>
      </c>
      <c r="Y151" s="81" t="n">
        <v>0</v>
      </c>
      <c r="Z151" s="81" t="n">
        <v>0</v>
      </c>
      <c r="AA151" s="81" t="n">
        <v>0</v>
      </c>
    </row>
    <row r="152" customFormat="false" ht="15" hidden="false" customHeight="true" outlineLevel="0" collapsed="false">
      <c r="A152" s="30" t="s">
        <v>120</v>
      </c>
      <c r="B152" s="76"/>
      <c r="C152" s="76"/>
      <c r="D152" s="76"/>
      <c r="E152" s="76"/>
      <c r="F152" s="76"/>
      <c r="G152" s="76"/>
      <c r="H152" s="76"/>
      <c r="I152" s="74" t="n">
        <v>63</v>
      </c>
      <c r="J152" s="74" t="n">
        <v>50</v>
      </c>
      <c r="K152" s="74" t="n">
        <v>38</v>
      </c>
      <c r="L152" s="74" t="n">
        <v>44</v>
      </c>
      <c r="M152" s="74" t="n">
        <v>40</v>
      </c>
      <c r="N152" s="74" t="n">
        <v>28</v>
      </c>
      <c r="O152" s="74" t="n">
        <v>18</v>
      </c>
      <c r="P152" s="74" t="n">
        <v>5</v>
      </c>
      <c r="Q152" s="74" t="n">
        <v>2</v>
      </c>
      <c r="R152" s="74" t="n">
        <v>0</v>
      </c>
      <c r="S152" s="74" t="n">
        <v>0</v>
      </c>
      <c r="T152" s="74" t="n">
        <v>0</v>
      </c>
      <c r="U152" s="74" t="n">
        <v>0</v>
      </c>
      <c r="V152" s="81" t="n">
        <v>0</v>
      </c>
      <c r="W152" s="81" t="n">
        <v>0</v>
      </c>
      <c r="X152" s="81" t="n">
        <v>0</v>
      </c>
      <c r="Y152" s="81" t="n">
        <v>0</v>
      </c>
      <c r="Z152" s="81" t="n">
        <v>0</v>
      </c>
      <c r="AA152" s="81" t="n">
        <v>0</v>
      </c>
    </row>
    <row r="153" customFormat="false" ht="15" hidden="false" customHeight="true" outlineLevel="0" collapsed="false">
      <c r="A153" s="30" t="s">
        <v>121</v>
      </c>
      <c r="B153" s="76"/>
      <c r="C153" s="76"/>
      <c r="D153" s="76"/>
      <c r="E153" s="76"/>
      <c r="F153" s="76"/>
      <c r="G153" s="76"/>
      <c r="H153" s="76"/>
      <c r="I153" s="76"/>
      <c r="J153" s="74" t="n">
        <v>69</v>
      </c>
      <c r="K153" s="74" t="n">
        <v>51</v>
      </c>
      <c r="L153" s="74" t="n">
        <v>49</v>
      </c>
      <c r="M153" s="74" t="n">
        <v>42</v>
      </c>
      <c r="N153" s="74" t="n">
        <v>33</v>
      </c>
      <c r="O153" s="74" t="n">
        <v>37</v>
      </c>
      <c r="P153" s="74" t="n">
        <v>8</v>
      </c>
      <c r="Q153" s="74" t="n">
        <v>4</v>
      </c>
      <c r="R153" s="74" t="n">
        <v>3</v>
      </c>
      <c r="S153" s="74" t="n">
        <v>2</v>
      </c>
      <c r="T153" s="74" t="n">
        <v>0</v>
      </c>
      <c r="U153" s="74" t="n">
        <v>0</v>
      </c>
      <c r="V153" s="81" t="n">
        <v>0</v>
      </c>
      <c r="W153" s="81" t="n">
        <v>0</v>
      </c>
      <c r="X153" s="81" t="n">
        <v>0</v>
      </c>
      <c r="Y153" s="81" t="n">
        <v>0</v>
      </c>
      <c r="Z153" s="81" t="n">
        <v>0</v>
      </c>
      <c r="AA153" s="81" t="n">
        <v>0</v>
      </c>
    </row>
    <row r="154" customFormat="false" ht="15" hidden="false" customHeight="true" outlineLevel="0" collapsed="false">
      <c r="A154" s="30" t="s">
        <v>122</v>
      </c>
      <c r="B154" s="76"/>
      <c r="C154" s="76"/>
      <c r="D154" s="76"/>
      <c r="E154" s="76"/>
      <c r="F154" s="76"/>
      <c r="G154" s="76"/>
      <c r="H154" s="76"/>
      <c r="I154" s="76"/>
      <c r="J154" s="76"/>
      <c r="K154" s="74" t="n">
        <v>45</v>
      </c>
      <c r="L154" s="74" t="n">
        <v>42</v>
      </c>
      <c r="M154" s="74" t="n">
        <v>40</v>
      </c>
      <c r="N154" s="74" t="n">
        <v>30</v>
      </c>
      <c r="O154" s="74" t="n">
        <v>32</v>
      </c>
      <c r="P154" s="74" t="n">
        <v>31</v>
      </c>
      <c r="Q154" s="74" t="n">
        <v>9</v>
      </c>
      <c r="R154" s="74" t="n">
        <v>6</v>
      </c>
      <c r="S154" s="74" t="n">
        <v>5</v>
      </c>
      <c r="T154" s="74" t="n">
        <v>2</v>
      </c>
      <c r="U154" s="74" t="n">
        <v>2</v>
      </c>
      <c r="V154" s="81" t="n">
        <v>1</v>
      </c>
      <c r="W154" s="81" t="n">
        <v>1</v>
      </c>
      <c r="X154" s="81" t="n">
        <v>0</v>
      </c>
      <c r="Y154" s="81" t="n">
        <v>0</v>
      </c>
      <c r="Z154" s="81" t="n">
        <v>0</v>
      </c>
      <c r="AA154" s="81" t="n">
        <v>0</v>
      </c>
    </row>
    <row r="155" customFormat="false" ht="15" hidden="false" customHeight="true" outlineLevel="0" collapsed="false">
      <c r="A155" s="30" t="s">
        <v>123</v>
      </c>
      <c r="B155" s="76"/>
      <c r="C155" s="76"/>
      <c r="D155" s="76"/>
      <c r="E155" s="76"/>
      <c r="F155" s="76"/>
      <c r="G155" s="76"/>
      <c r="H155" s="76"/>
      <c r="I155" s="76"/>
      <c r="J155" s="76"/>
      <c r="K155" s="76"/>
      <c r="L155" s="74" t="n">
        <v>89</v>
      </c>
      <c r="M155" s="74" t="n">
        <v>73</v>
      </c>
      <c r="N155" s="74" t="n">
        <v>54</v>
      </c>
      <c r="O155" s="74" t="n">
        <v>62</v>
      </c>
      <c r="P155" s="74" t="n">
        <v>56</v>
      </c>
      <c r="Q155" s="74" t="n">
        <v>45</v>
      </c>
      <c r="R155" s="74" t="n">
        <v>12</v>
      </c>
      <c r="S155" s="74" t="n">
        <v>7</v>
      </c>
      <c r="T155" s="74" t="n">
        <v>3</v>
      </c>
      <c r="U155" s="74" t="n">
        <v>4</v>
      </c>
      <c r="V155" s="81" t="n">
        <v>3</v>
      </c>
      <c r="W155" s="81" t="n">
        <v>1</v>
      </c>
      <c r="X155" s="81" t="n">
        <v>1</v>
      </c>
      <c r="Y155" s="81" t="n">
        <v>0</v>
      </c>
      <c r="Z155" s="81" t="n">
        <v>0</v>
      </c>
      <c r="AA155" s="81" t="n">
        <v>0</v>
      </c>
    </row>
    <row r="156" customFormat="false" ht="15" hidden="false" customHeight="true" outlineLevel="0" collapsed="false">
      <c r="A156" s="30" t="s">
        <v>124</v>
      </c>
      <c r="B156" s="76"/>
      <c r="C156" s="76"/>
      <c r="D156" s="76"/>
      <c r="E156" s="76"/>
      <c r="F156" s="76"/>
      <c r="G156" s="76"/>
      <c r="H156" s="76"/>
      <c r="I156" s="76"/>
      <c r="J156" s="76"/>
      <c r="K156" s="76"/>
      <c r="L156" s="76"/>
      <c r="M156" s="74" t="n">
        <v>61</v>
      </c>
      <c r="N156" s="74" t="n">
        <v>44</v>
      </c>
      <c r="O156" s="74" t="n">
        <v>44</v>
      </c>
      <c r="P156" s="74" t="n">
        <v>43</v>
      </c>
      <c r="Q156" s="74" t="n">
        <v>33</v>
      </c>
      <c r="R156" s="74" t="n">
        <v>27</v>
      </c>
      <c r="S156" s="74" t="n">
        <v>9</v>
      </c>
      <c r="T156" s="74" t="n">
        <v>6</v>
      </c>
      <c r="U156" s="74" t="n">
        <v>3</v>
      </c>
      <c r="V156" s="81" t="n">
        <v>2</v>
      </c>
      <c r="W156" s="81" t="n">
        <v>1</v>
      </c>
      <c r="X156" s="81" t="n">
        <v>1</v>
      </c>
      <c r="Y156" s="81" t="n">
        <v>1</v>
      </c>
      <c r="Z156" s="81" t="n">
        <v>0</v>
      </c>
      <c r="AA156" s="81" t="n">
        <v>0</v>
      </c>
    </row>
    <row r="157" customFormat="false" ht="15" hidden="false" customHeight="true" outlineLevel="0" collapsed="false">
      <c r="A157" s="30" t="s">
        <v>125</v>
      </c>
      <c r="B157" s="76"/>
      <c r="C157" s="76"/>
      <c r="D157" s="76"/>
      <c r="E157" s="76"/>
      <c r="F157" s="76"/>
      <c r="G157" s="76"/>
      <c r="H157" s="76"/>
      <c r="I157" s="76"/>
      <c r="J157" s="76"/>
      <c r="K157" s="76"/>
      <c r="L157" s="76"/>
      <c r="M157" s="76"/>
      <c r="N157" s="74" t="n">
        <v>28</v>
      </c>
      <c r="O157" s="74" t="n">
        <v>20</v>
      </c>
      <c r="P157" s="74" t="n">
        <v>17</v>
      </c>
      <c r="Q157" s="74" t="n">
        <v>14</v>
      </c>
      <c r="R157" s="74" t="n">
        <v>13</v>
      </c>
      <c r="S157" s="74" t="n">
        <v>10</v>
      </c>
      <c r="T157" s="74" t="n">
        <v>1</v>
      </c>
      <c r="U157" s="74" t="n">
        <v>3</v>
      </c>
      <c r="V157" s="81" t="n">
        <v>1</v>
      </c>
      <c r="W157" s="81" t="n">
        <v>1</v>
      </c>
      <c r="X157" s="81" t="n">
        <v>1</v>
      </c>
      <c r="Y157" s="81" t="n">
        <v>0</v>
      </c>
      <c r="Z157" s="81" t="n">
        <v>0</v>
      </c>
      <c r="AA157" s="81" t="n">
        <v>0</v>
      </c>
    </row>
    <row r="158" customFormat="false" ht="15" hidden="false" customHeight="true" outlineLevel="0" collapsed="false">
      <c r="A158" s="30" t="s">
        <v>126</v>
      </c>
      <c r="B158" s="76"/>
      <c r="C158" s="76"/>
      <c r="D158" s="76"/>
      <c r="E158" s="76"/>
      <c r="F158" s="76"/>
      <c r="G158" s="76"/>
      <c r="H158" s="76"/>
      <c r="I158" s="76"/>
      <c r="J158" s="76"/>
      <c r="K158" s="76"/>
      <c r="L158" s="76"/>
      <c r="M158" s="76"/>
      <c r="N158" s="76"/>
      <c r="O158" s="74" t="n">
        <v>71</v>
      </c>
      <c r="P158" s="74" t="n">
        <v>61</v>
      </c>
      <c r="Q158" s="74" t="n">
        <v>46</v>
      </c>
      <c r="R158" s="74" t="n">
        <v>49</v>
      </c>
      <c r="S158" s="74" t="n">
        <v>48</v>
      </c>
      <c r="T158" s="74" t="n">
        <v>29</v>
      </c>
      <c r="U158" s="74" t="n">
        <v>9</v>
      </c>
      <c r="V158" s="81" t="n">
        <v>6</v>
      </c>
      <c r="W158" s="81" t="n">
        <v>3</v>
      </c>
      <c r="X158" s="81" t="n">
        <v>2</v>
      </c>
      <c r="Y158" s="81" t="n">
        <v>1</v>
      </c>
      <c r="Z158" s="81" t="n">
        <v>1</v>
      </c>
      <c r="AA158" s="81" t="n">
        <v>1</v>
      </c>
    </row>
    <row r="159" customFormat="false" ht="15" hidden="false" customHeight="true" outlineLevel="0" collapsed="false">
      <c r="A159" s="30" t="s">
        <v>127</v>
      </c>
      <c r="B159" s="76"/>
      <c r="C159" s="76"/>
      <c r="D159" s="76"/>
      <c r="E159" s="76"/>
      <c r="F159" s="76"/>
      <c r="G159" s="76"/>
      <c r="H159" s="76"/>
      <c r="I159" s="76"/>
      <c r="J159" s="76"/>
      <c r="K159" s="76"/>
      <c r="L159" s="76"/>
      <c r="M159" s="76"/>
      <c r="N159" s="76"/>
      <c r="O159" s="76"/>
      <c r="P159" s="74" t="n">
        <v>63</v>
      </c>
      <c r="Q159" s="74" t="n">
        <v>44</v>
      </c>
      <c r="R159" s="74" t="n">
        <v>38</v>
      </c>
      <c r="S159" s="74" t="n">
        <v>37</v>
      </c>
      <c r="T159" s="74" t="n">
        <v>34</v>
      </c>
      <c r="U159" s="74" t="n">
        <v>27</v>
      </c>
      <c r="V159" s="81" t="n">
        <v>12</v>
      </c>
      <c r="W159" s="81" t="n">
        <v>8</v>
      </c>
      <c r="X159" s="81" t="n">
        <v>4</v>
      </c>
      <c r="Y159" s="81" t="n">
        <v>2</v>
      </c>
      <c r="Z159" s="81" t="n">
        <v>2</v>
      </c>
      <c r="AA159" s="81" t="n">
        <v>1</v>
      </c>
    </row>
    <row r="160" customFormat="false" ht="15" hidden="false" customHeight="true" outlineLevel="0" collapsed="false">
      <c r="A160" s="30" t="s">
        <v>128</v>
      </c>
      <c r="B160" s="76"/>
      <c r="C160" s="76"/>
      <c r="D160" s="76"/>
      <c r="E160" s="76"/>
      <c r="F160" s="76"/>
      <c r="G160" s="76"/>
      <c r="H160" s="76"/>
      <c r="I160" s="76"/>
      <c r="J160" s="76"/>
      <c r="K160" s="76"/>
      <c r="L160" s="76"/>
      <c r="M160" s="76"/>
      <c r="N160" s="76"/>
      <c r="O160" s="76"/>
      <c r="P160" s="76"/>
      <c r="Q160" s="74" t="n">
        <v>50</v>
      </c>
      <c r="R160" s="74" t="n">
        <v>37</v>
      </c>
      <c r="S160" s="74" t="n">
        <v>33</v>
      </c>
      <c r="T160" s="74" t="n">
        <v>30</v>
      </c>
      <c r="U160" s="74" t="n">
        <v>33</v>
      </c>
      <c r="V160" s="81" t="n">
        <v>28</v>
      </c>
      <c r="W160" s="81" t="n">
        <v>13</v>
      </c>
      <c r="X160" s="81" t="n">
        <v>8</v>
      </c>
      <c r="Y160" s="81" t="n">
        <v>4</v>
      </c>
      <c r="Z160" s="81" t="n">
        <v>3</v>
      </c>
      <c r="AA160" s="81" t="n">
        <v>2</v>
      </c>
    </row>
    <row r="161" customFormat="false" ht="15" hidden="false" customHeight="true" outlineLevel="0" collapsed="false">
      <c r="A161" s="30" t="s">
        <v>129</v>
      </c>
      <c r="B161" s="76"/>
      <c r="C161" s="76"/>
      <c r="D161" s="76"/>
      <c r="E161" s="76"/>
      <c r="F161" s="76"/>
      <c r="G161" s="76"/>
      <c r="H161" s="76"/>
      <c r="I161" s="76"/>
      <c r="J161" s="76"/>
      <c r="K161" s="76"/>
      <c r="L161" s="76"/>
      <c r="M161" s="76"/>
      <c r="N161" s="76"/>
      <c r="O161" s="76"/>
      <c r="P161" s="76"/>
      <c r="Q161" s="76"/>
      <c r="R161" s="74" t="n">
        <v>68</v>
      </c>
      <c r="S161" s="74" t="n">
        <v>53</v>
      </c>
      <c r="T161" s="74" t="n">
        <v>40</v>
      </c>
      <c r="U161" s="74" t="n">
        <v>44</v>
      </c>
      <c r="V161" s="81" t="n">
        <v>39</v>
      </c>
      <c r="W161" s="81" t="n">
        <v>33</v>
      </c>
      <c r="X161" s="81" t="n">
        <v>15</v>
      </c>
      <c r="Y161" s="81" t="n">
        <v>9</v>
      </c>
      <c r="Z161" s="81" t="n">
        <v>5</v>
      </c>
      <c r="AA161" s="81" t="n">
        <v>3</v>
      </c>
    </row>
    <row r="162" customFormat="false" ht="15" hidden="false" customHeight="true" outlineLevel="0" collapsed="false">
      <c r="A162" s="30" t="s">
        <v>130</v>
      </c>
      <c r="B162" s="76"/>
      <c r="C162" s="76"/>
      <c r="D162" s="76"/>
      <c r="E162" s="76"/>
      <c r="F162" s="76"/>
      <c r="G162" s="76"/>
      <c r="H162" s="76"/>
      <c r="I162" s="76"/>
      <c r="J162" s="76"/>
      <c r="K162" s="76"/>
      <c r="L162" s="76"/>
      <c r="M162" s="76"/>
      <c r="N162" s="76"/>
      <c r="O162" s="76"/>
      <c r="P162" s="76"/>
      <c r="Q162" s="76"/>
      <c r="R162" s="76"/>
      <c r="S162" s="74" t="n">
        <v>43</v>
      </c>
      <c r="T162" s="74" t="n">
        <v>27</v>
      </c>
      <c r="U162" s="74" t="n">
        <v>27</v>
      </c>
      <c r="V162" s="81" t="n">
        <v>27</v>
      </c>
      <c r="W162" s="81" t="n">
        <v>24</v>
      </c>
      <c r="X162" s="81" t="n">
        <v>20</v>
      </c>
      <c r="Y162" s="81" t="n">
        <v>9</v>
      </c>
      <c r="Z162" s="81" t="n">
        <v>6</v>
      </c>
      <c r="AA162" s="81" t="n">
        <v>3</v>
      </c>
    </row>
    <row r="163" customFormat="false" ht="15" hidden="false" customHeight="true" outlineLevel="0" collapsed="false">
      <c r="A163" s="30" t="s">
        <v>131</v>
      </c>
      <c r="B163" s="76"/>
      <c r="C163" s="76"/>
      <c r="D163" s="76"/>
      <c r="E163" s="76"/>
      <c r="F163" s="76"/>
      <c r="G163" s="76"/>
      <c r="H163" s="76"/>
      <c r="I163" s="76"/>
      <c r="J163" s="76"/>
      <c r="K163" s="76"/>
      <c r="L163" s="76"/>
      <c r="M163" s="76"/>
      <c r="N163" s="76"/>
      <c r="O163" s="76"/>
      <c r="P163" s="76"/>
      <c r="Q163" s="76"/>
      <c r="R163" s="76"/>
      <c r="S163" s="76"/>
      <c r="T163" s="74" t="n">
        <v>22</v>
      </c>
      <c r="U163" s="74" t="n">
        <v>18</v>
      </c>
      <c r="V163" s="81" t="n">
        <v>15</v>
      </c>
      <c r="W163" s="81" t="n">
        <v>15</v>
      </c>
      <c r="X163" s="81" t="n">
        <v>14</v>
      </c>
      <c r="Y163" s="81" t="n">
        <v>12</v>
      </c>
      <c r="Z163" s="81" t="n">
        <v>5</v>
      </c>
      <c r="AA163" s="81" t="n">
        <v>3</v>
      </c>
    </row>
    <row r="164" customFormat="false" ht="15" hidden="false" customHeight="true" outlineLevel="0" collapsed="false">
      <c r="A164" s="30" t="s">
        <v>132</v>
      </c>
      <c r="B164" s="76"/>
      <c r="C164" s="76"/>
      <c r="D164" s="76"/>
      <c r="E164" s="76"/>
      <c r="F164" s="76"/>
      <c r="G164" s="76"/>
      <c r="H164" s="76"/>
      <c r="I164" s="76"/>
      <c r="J164" s="76"/>
      <c r="K164" s="76"/>
      <c r="L164" s="76"/>
      <c r="M164" s="76"/>
      <c r="N164" s="76"/>
      <c r="O164" s="76"/>
      <c r="P164" s="76"/>
      <c r="Q164" s="76"/>
      <c r="R164" s="76"/>
      <c r="S164" s="76"/>
      <c r="T164" s="76"/>
      <c r="U164" s="74" t="n">
        <v>51</v>
      </c>
      <c r="V164" s="81" t="n">
        <v>39</v>
      </c>
      <c r="W164" s="81" t="n">
        <v>33</v>
      </c>
      <c r="X164" s="81" t="n">
        <v>33</v>
      </c>
      <c r="Y164" s="81" t="n">
        <v>30</v>
      </c>
      <c r="Z164" s="81" t="n">
        <v>25</v>
      </c>
      <c r="AA164" s="81" t="n">
        <v>11</v>
      </c>
    </row>
    <row r="165" customFormat="false" ht="15" hidden="false" customHeight="true" outlineLevel="0" collapsed="false">
      <c r="A165" s="82" t="s">
        <v>524</v>
      </c>
      <c r="B165" s="76"/>
      <c r="C165" s="76"/>
      <c r="D165" s="76"/>
      <c r="E165" s="76"/>
      <c r="F165" s="76"/>
      <c r="G165" s="76"/>
      <c r="H165" s="76"/>
      <c r="I165" s="76"/>
      <c r="J165" s="76"/>
      <c r="K165" s="76"/>
      <c r="L165" s="76"/>
      <c r="M165" s="76"/>
      <c r="N165" s="76"/>
      <c r="O165" s="76"/>
      <c r="P165" s="76"/>
      <c r="Q165" s="76"/>
      <c r="R165" s="76"/>
      <c r="S165" s="76"/>
      <c r="T165" s="76"/>
      <c r="U165" s="76"/>
      <c r="V165" s="81" t="n">
        <v>39</v>
      </c>
      <c r="W165" s="81" t="n">
        <v>30</v>
      </c>
      <c r="X165" s="81" t="n">
        <v>26</v>
      </c>
      <c r="Y165" s="81" t="n">
        <v>26</v>
      </c>
      <c r="Z165" s="81" t="n">
        <v>23</v>
      </c>
      <c r="AA165" s="81" t="n">
        <v>19</v>
      </c>
    </row>
    <row r="166" customFormat="false" ht="15" hidden="false" customHeight="true" outlineLevel="0" collapsed="false">
      <c r="A166" s="82" t="s">
        <v>525</v>
      </c>
      <c r="B166" s="76"/>
      <c r="C166" s="76"/>
      <c r="D166" s="76"/>
      <c r="E166" s="76"/>
      <c r="F166" s="76"/>
      <c r="G166" s="76"/>
      <c r="H166" s="76"/>
      <c r="I166" s="76"/>
      <c r="J166" s="76"/>
      <c r="K166" s="76"/>
      <c r="L166" s="76"/>
      <c r="M166" s="76"/>
      <c r="N166" s="76"/>
      <c r="O166" s="76"/>
      <c r="P166" s="76"/>
      <c r="Q166" s="76"/>
      <c r="R166" s="76"/>
      <c r="S166" s="76"/>
      <c r="T166" s="76"/>
      <c r="U166" s="76"/>
      <c r="V166" s="76"/>
      <c r="W166" s="81" t="n">
        <v>39</v>
      </c>
      <c r="X166" s="81" t="n">
        <v>30</v>
      </c>
      <c r="Y166" s="81" t="n">
        <v>26</v>
      </c>
      <c r="Z166" s="81" t="n">
        <v>26</v>
      </c>
      <c r="AA166" s="81" t="n">
        <v>23</v>
      </c>
    </row>
    <row r="167" customFormat="false" ht="15" hidden="false" customHeight="true" outlineLevel="0" collapsed="false">
      <c r="A167" s="82" t="s">
        <v>526</v>
      </c>
      <c r="B167" s="76"/>
      <c r="C167" s="76"/>
      <c r="D167" s="76"/>
      <c r="E167" s="76"/>
      <c r="F167" s="76"/>
      <c r="G167" s="76"/>
      <c r="H167" s="76"/>
      <c r="I167" s="76"/>
      <c r="J167" s="76"/>
      <c r="K167" s="76"/>
      <c r="L167" s="76"/>
      <c r="M167" s="76"/>
      <c r="N167" s="76"/>
      <c r="O167" s="76"/>
      <c r="P167" s="76"/>
      <c r="Q167" s="76"/>
      <c r="R167" s="76"/>
      <c r="S167" s="76"/>
      <c r="T167" s="76"/>
      <c r="U167" s="76"/>
      <c r="V167" s="76"/>
      <c r="W167" s="76"/>
      <c r="X167" s="81" t="n">
        <v>39</v>
      </c>
      <c r="Y167" s="81" t="n">
        <v>30</v>
      </c>
      <c r="Z167" s="81" t="n">
        <v>26</v>
      </c>
      <c r="AA167" s="81" t="n">
        <v>26</v>
      </c>
    </row>
    <row r="168" customFormat="false" ht="15" hidden="false" customHeight="true" outlineLevel="0" collapsed="false">
      <c r="A168" s="82" t="s">
        <v>527</v>
      </c>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81" t="n">
        <v>39</v>
      </c>
      <c r="Z168" s="81" t="n">
        <v>30</v>
      </c>
      <c r="AA168" s="81" t="n">
        <v>26</v>
      </c>
    </row>
    <row r="169" customFormat="false" ht="15" hidden="false" customHeight="true" outlineLevel="0" collapsed="false">
      <c r="A169" s="82" t="s">
        <v>528</v>
      </c>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81" t="n">
        <v>39</v>
      </c>
      <c r="AA169" s="81" t="n">
        <v>30</v>
      </c>
    </row>
    <row r="170" customFormat="false" ht="15" hidden="false" customHeight="true" outlineLevel="0" collapsed="false">
      <c r="A170" s="82" t="s">
        <v>529</v>
      </c>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c r="AA170" s="81" t="n">
        <v>39</v>
      </c>
    </row>
    <row r="171" customFormat="false" ht="15" hidden="false" customHeight="true" outlineLevel="0" collapsed="false">
      <c r="A171" s="34" t="s">
        <v>514</v>
      </c>
      <c r="B171" s="79" t="n">
        <v>7</v>
      </c>
      <c r="C171" s="79" t="n">
        <v>26</v>
      </c>
      <c r="D171" s="79" t="n">
        <v>43</v>
      </c>
      <c r="E171" s="79" t="n">
        <v>31</v>
      </c>
      <c r="F171" s="79" t="n">
        <v>62</v>
      </c>
      <c r="G171" s="79" t="n">
        <v>89</v>
      </c>
      <c r="H171" s="79" t="n">
        <v>90</v>
      </c>
      <c r="I171" s="79" t="n">
        <v>155</v>
      </c>
      <c r="J171" s="79" t="n">
        <v>190</v>
      </c>
      <c r="K171" s="79" t="n">
        <v>179</v>
      </c>
      <c r="L171" s="79" t="n">
        <v>281</v>
      </c>
      <c r="M171" s="79" t="n">
        <v>300</v>
      </c>
      <c r="N171" s="79" t="n">
        <v>234</v>
      </c>
      <c r="O171" s="79" t="n">
        <v>306</v>
      </c>
      <c r="P171" s="79" t="n">
        <v>296</v>
      </c>
      <c r="Q171" s="79" t="n">
        <v>252</v>
      </c>
      <c r="R171" s="79" t="n">
        <v>259</v>
      </c>
      <c r="S171" s="79" t="n">
        <v>250</v>
      </c>
      <c r="T171" s="79" t="n">
        <v>194</v>
      </c>
      <c r="U171" s="79" t="n">
        <v>221</v>
      </c>
      <c r="V171" s="79" t="n">
        <v>213</v>
      </c>
      <c r="W171" s="79" t="n">
        <v>202</v>
      </c>
      <c r="X171" s="79" t="n">
        <v>193</v>
      </c>
      <c r="Y171" s="79" t="n">
        <v>189</v>
      </c>
      <c r="Z171" s="79" t="n">
        <v>189</v>
      </c>
      <c r="AA171" s="79" t="n">
        <v>186</v>
      </c>
    </row>
    <row r="173" customFormat="false" ht="19.5" hidden="false" customHeight="true" outlineLevel="0" collapsed="false">
      <c r="A173" s="65" t="s">
        <v>411</v>
      </c>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row>
    <row r="174" customFormat="false" ht="15" hidden="false" customHeight="true" outlineLevel="0" collapsed="false">
      <c r="A174" s="80" t="s">
        <v>535</v>
      </c>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row>
    <row r="175" customFormat="false" ht="15" hidden="false" customHeight="true" outlineLevel="0" collapsed="false">
      <c r="A175" s="12" t="s">
        <v>513</v>
      </c>
      <c r="B175" s="12" t="s">
        <v>113</v>
      </c>
      <c r="C175" s="12" t="s">
        <v>114</v>
      </c>
      <c r="D175" s="12" t="s">
        <v>115</v>
      </c>
      <c r="E175" s="12" t="s">
        <v>116</v>
      </c>
      <c r="F175" s="12" t="s">
        <v>117</v>
      </c>
      <c r="G175" s="12" t="s">
        <v>118</v>
      </c>
      <c r="H175" s="12" t="s">
        <v>119</v>
      </c>
      <c r="I175" s="12" t="s">
        <v>120</v>
      </c>
      <c r="J175" s="12" t="s">
        <v>121</v>
      </c>
      <c r="K175" s="12" t="s">
        <v>122</v>
      </c>
      <c r="L175" s="12" t="s">
        <v>123</v>
      </c>
      <c r="M175" s="12" t="s">
        <v>124</v>
      </c>
      <c r="N175" s="12" t="s">
        <v>125</v>
      </c>
      <c r="O175" s="12" t="s">
        <v>126</v>
      </c>
      <c r="P175" s="12" t="s">
        <v>127</v>
      </c>
      <c r="Q175" s="12" t="s">
        <v>128</v>
      </c>
      <c r="R175" s="12" t="s">
        <v>129</v>
      </c>
      <c r="S175" s="12" t="s">
        <v>130</v>
      </c>
      <c r="T175" s="12" t="s">
        <v>131</v>
      </c>
      <c r="U175" s="12" t="s">
        <v>132</v>
      </c>
      <c r="V175" s="12" t="s">
        <v>518</v>
      </c>
      <c r="W175" s="12" t="s">
        <v>519</v>
      </c>
      <c r="X175" s="12" t="s">
        <v>520</v>
      </c>
      <c r="Y175" s="12" t="s">
        <v>521</v>
      </c>
      <c r="Z175" s="12" t="s">
        <v>522</v>
      </c>
      <c r="AA175" s="12" t="s">
        <v>523</v>
      </c>
    </row>
    <row r="176" customFormat="false" ht="15" hidden="false" customHeight="true" outlineLevel="0" collapsed="false">
      <c r="A176" s="30" t="s">
        <v>113</v>
      </c>
      <c r="B176" s="74" t="n">
        <v>29</v>
      </c>
      <c r="C176" s="74" t="n">
        <v>25</v>
      </c>
      <c r="D176" s="74" t="n">
        <v>21</v>
      </c>
      <c r="E176" s="74" t="n">
        <v>13</v>
      </c>
      <c r="F176" s="74" t="n">
        <v>17</v>
      </c>
      <c r="G176" s="74" t="n">
        <v>15</v>
      </c>
      <c r="H176" s="74" t="n">
        <v>8</v>
      </c>
      <c r="I176" s="74" t="n">
        <v>7</v>
      </c>
      <c r="J176" s="74" t="n">
        <v>6</v>
      </c>
      <c r="K176" s="74" t="n">
        <v>4</v>
      </c>
      <c r="L176" s="74" t="n">
        <v>5</v>
      </c>
      <c r="M176" s="74" t="n">
        <v>2</v>
      </c>
      <c r="N176" s="74" t="n">
        <v>1</v>
      </c>
      <c r="O176" s="74" t="n">
        <v>1</v>
      </c>
      <c r="P176" s="74" t="n">
        <v>1</v>
      </c>
      <c r="Q176" s="74" t="n">
        <v>1</v>
      </c>
      <c r="R176" s="74" t="n">
        <v>0</v>
      </c>
      <c r="S176" s="74" t="n">
        <v>0</v>
      </c>
      <c r="T176" s="74" t="n">
        <v>0</v>
      </c>
      <c r="U176" s="74" t="n">
        <v>0</v>
      </c>
      <c r="V176" s="81" t="n">
        <v>0</v>
      </c>
      <c r="W176" s="81" t="n">
        <v>0</v>
      </c>
      <c r="X176" s="81" t="n">
        <v>0</v>
      </c>
      <c r="Y176" s="81" t="n">
        <v>0</v>
      </c>
      <c r="Z176" s="81" t="n">
        <v>0</v>
      </c>
      <c r="AA176" s="81" t="n">
        <v>0</v>
      </c>
    </row>
    <row r="177" customFormat="false" ht="15" hidden="false" customHeight="true" outlineLevel="0" collapsed="false">
      <c r="A177" s="30" t="s">
        <v>114</v>
      </c>
      <c r="B177" s="76"/>
      <c r="C177" s="74" t="n">
        <v>43</v>
      </c>
      <c r="D177" s="74" t="n">
        <v>34</v>
      </c>
      <c r="E177" s="74" t="n">
        <v>16</v>
      </c>
      <c r="F177" s="74" t="n">
        <v>24</v>
      </c>
      <c r="G177" s="74" t="n">
        <v>22</v>
      </c>
      <c r="H177" s="74" t="n">
        <v>13</v>
      </c>
      <c r="I177" s="74" t="n">
        <v>14</v>
      </c>
      <c r="J177" s="74" t="n">
        <v>6</v>
      </c>
      <c r="K177" s="74" t="n">
        <v>4</v>
      </c>
      <c r="L177" s="74" t="n">
        <v>4</v>
      </c>
      <c r="M177" s="74" t="n">
        <v>3</v>
      </c>
      <c r="N177" s="74" t="n">
        <v>1</v>
      </c>
      <c r="O177" s="74" t="n">
        <v>2</v>
      </c>
      <c r="P177" s="74" t="n">
        <v>1</v>
      </c>
      <c r="Q177" s="74" t="n">
        <v>1</v>
      </c>
      <c r="R177" s="74" t="n">
        <v>1</v>
      </c>
      <c r="S177" s="74" t="n">
        <v>0</v>
      </c>
      <c r="T177" s="74" t="n">
        <v>0</v>
      </c>
      <c r="U177" s="74" t="n">
        <v>0</v>
      </c>
      <c r="V177" s="81" t="n">
        <v>0</v>
      </c>
      <c r="W177" s="81" t="n">
        <v>0</v>
      </c>
      <c r="X177" s="81" t="n">
        <v>0</v>
      </c>
      <c r="Y177" s="81" t="n">
        <v>0</v>
      </c>
      <c r="Z177" s="81" t="n">
        <v>0</v>
      </c>
      <c r="AA177" s="81" t="n">
        <v>0</v>
      </c>
    </row>
    <row r="178" customFormat="false" ht="15" hidden="false" customHeight="true" outlineLevel="0" collapsed="false">
      <c r="A178" s="30" t="s">
        <v>115</v>
      </c>
      <c r="B178" s="76"/>
      <c r="C178" s="76"/>
      <c r="D178" s="74" t="n">
        <v>43</v>
      </c>
      <c r="E178" s="74" t="n">
        <v>22</v>
      </c>
      <c r="F178" s="74" t="n">
        <v>28</v>
      </c>
      <c r="G178" s="74" t="n">
        <v>21</v>
      </c>
      <c r="H178" s="74" t="n">
        <v>14</v>
      </c>
      <c r="I178" s="74" t="n">
        <v>17</v>
      </c>
      <c r="J178" s="74" t="n">
        <v>10</v>
      </c>
      <c r="K178" s="74" t="n">
        <v>4</v>
      </c>
      <c r="L178" s="74" t="n">
        <v>9</v>
      </c>
      <c r="M178" s="74" t="n">
        <v>2</v>
      </c>
      <c r="N178" s="74" t="n">
        <v>0</v>
      </c>
      <c r="O178" s="74" t="n">
        <v>4</v>
      </c>
      <c r="P178" s="74" t="n">
        <v>4</v>
      </c>
      <c r="Q178" s="74" t="n">
        <v>2</v>
      </c>
      <c r="R178" s="74" t="n">
        <v>4</v>
      </c>
      <c r="S178" s="74" t="n">
        <v>2</v>
      </c>
      <c r="T178" s="74" t="n">
        <v>1</v>
      </c>
      <c r="U178" s="74" t="n">
        <v>0</v>
      </c>
      <c r="V178" s="81" t="n">
        <v>0</v>
      </c>
      <c r="W178" s="81" t="n">
        <v>0</v>
      </c>
      <c r="X178" s="81" t="n">
        <v>0</v>
      </c>
      <c r="Y178" s="81" t="n">
        <v>0</v>
      </c>
      <c r="Z178" s="81" t="n">
        <v>0</v>
      </c>
      <c r="AA178" s="81" t="n">
        <v>0</v>
      </c>
    </row>
    <row r="179" customFormat="false" ht="15" hidden="false" customHeight="true" outlineLevel="0" collapsed="false">
      <c r="A179" s="30" t="s">
        <v>116</v>
      </c>
      <c r="B179" s="76"/>
      <c r="C179" s="76"/>
      <c r="D179" s="76"/>
      <c r="E179" s="74" t="n">
        <v>22</v>
      </c>
      <c r="F179" s="74" t="n">
        <v>18</v>
      </c>
      <c r="G179" s="74" t="n">
        <v>15</v>
      </c>
      <c r="H179" s="74" t="n">
        <v>10</v>
      </c>
      <c r="I179" s="74" t="n">
        <v>13</v>
      </c>
      <c r="J179" s="74" t="n">
        <v>10</v>
      </c>
      <c r="K179" s="74" t="n">
        <v>4</v>
      </c>
      <c r="L179" s="74" t="n">
        <v>5</v>
      </c>
      <c r="M179" s="74" t="n">
        <v>3</v>
      </c>
      <c r="N179" s="74" t="n">
        <v>0</v>
      </c>
      <c r="O179" s="74" t="n">
        <v>1</v>
      </c>
      <c r="P179" s="74" t="n">
        <v>1</v>
      </c>
      <c r="Q179" s="74" t="n">
        <v>0</v>
      </c>
      <c r="R179" s="74" t="n">
        <v>0</v>
      </c>
      <c r="S179" s="74" t="n">
        <v>0</v>
      </c>
      <c r="T179" s="74" t="n">
        <v>0</v>
      </c>
      <c r="U179" s="74" t="n">
        <v>0</v>
      </c>
      <c r="V179" s="81" t="n">
        <v>0</v>
      </c>
      <c r="W179" s="81" t="n">
        <v>0</v>
      </c>
      <c r="X179" s="81" t="n">
        <v>0</v>
      </c>
      <c r="Y179" s="81" t="n">
        <v>0</v>
      </c>
      <c r="Z179" s="81" t="n">
        <v>0</v>
      </c>
      <c r="AA179" s="81" t="n">
        <v>0</v>
      </c>
    </row>
    <row r="180" customFormat="false" ht="15" hidden="false" customHeight="true" outlineLevel="0" collapsed="false">
      <c r="A180" s="30" t="s">
        <v>117</v>
      </c>
      <c r="B180" s="76"/>
      <c r="C180" s="76"/>
      <c r="D180" s="76"/>
      <c r="E180" s="76"/>
      <c r="F180" s="74" t="n">
        <v>46</v>
      </c>
      <c r="G180" s="74" t="n">
        <v>33</v>
      </c>
      <c r="H180" s="74" t="n">
        <v>20</v>
      </c>
      <c r="I180" s="74" t="n">
        <v>28</v>
      </c>
      <c r="J180" s="74" t="n">
        <v>26</v>
      </c>
      <c r="K180" s="74" t="n">
        <v>13</v>
      </c>
      <c r="L180" s="74" t="n">
        <v>16</v>
      </c>
      <c r="M180" s="74" t="n">
        <v>12</v>
      </c>
      <c r="N180" s="74" t="n">
        <v>4</v>
      </c>
      <c r="O180" s="74" t="n">
        <v>6</v>
      </c>
      <c r="P180" s="74" t="n">
        <v>1</v>
      </c>
      <c r="Q180" s="74" t="n">
        <v>1</v>
      </c>
      <c r="R180" s="74" t="n">
        <v>1</v>
      </c>
      <c r="S180" s="74" t="n">
        <v>1</v>
      </c>
      <c r="T180" s="74" t="n">
        <v>0</v>
      </c>
      <c r="U180" s="74" t="n">
        <v>0</v>
      </c>
      <c r="V180" s="81" t="n">
        <v>0</v>
      </c>
      <c r="W180" s="81" t="n">
        <v>0</v>
      </c>
      <c r="X180" s="81" t="n">
        <v>0</v>
      </c>
      <c r="Y180" s="81" t="n">
        <v>0</v>
      </c>
      <c r="Z180" s="81" t="n">
        <v>0</v>
      </c>
      <c r="AA180" s="81" t="n">
        <v>0</v>
      </c>
    </row>
    <row r="181" customFormat="false" ht="15" hidden="false" customHeight="true" outlineLevel="0" collapsed="false">
      <c r="A181" s="30" t="s">
        <v>118</v>
      </c>
      <c r="B181" s="76"/>
      <c r="C181" s="76"/>
      <c r="D181" s="76"/>
      <c r="E181" s="76"/>
      <c r="F181" s="76"/>
      <c r="G181" s="74" t="n">
        <v>63</v>
      </c>
      <c r="H181" s="74" t="n">
        <v>31</v>
      </c>
      <c r="I181" s="74" t="n">
        <v>37</v>
      </c>
      <c r="J181" s="74" t="n">
        <v>32</v>
      </c>
      <c r="K181" s="74" t="n">
        <v>18</v>
      </c>
      <c r="L181" s="74" t="n">
        <v>26</v>
      </c>
      <c r="M181" s="74" t="n">
        <v>14</v>
      </c>
      <c r="N181" s="74" t="n">
        <v>5</v>
      </c>
      <c r="O181" s="74" t="n">
        <v>7</v>
      </c>
      <c r="P181" s="74" t="n">
        <v>4</v>
      </c>
      <c r="Q181" s="74" t="n">
        <v>2</v>
      </c>
      <c r="R181" s="74" t="n">
        <v>0</v>
      </c>
      <c r="S181" s="74" t="n">
        <v>0</v>
      </c>
      <c r="T181" s="74" t="n">
        <v>0</v>
      </c>
      <c r="U181" s="74" t="n">
        <v>0</v>
      </c>
      <c r="V181" s="81" t="n">
        <v>0</v>
      </c>
      <c r="W181" s="81" t="n">
        <v>0</v>
      </c>
      <c r="X181" s="81" t="n">
        <v>0</v>
      </c>
      <c r="Y181" s="81" t="n">
        <v>0</v>
      </c>
      <c r="Z181" s="81" t="n">
        <v>0</v>
      </c>
      <c r="AA181" s="81" t="n">
        <v>0</v>
      </c>
    </row>
    <row r="182" customFormat="false" ht="15" hidden="false" customHeight="true" outlineLevel="0" collapsed="false">
      <c r="A182" s="30" t="s">
        <v>119</v>
      </c>
      <c r="B182" s="76"/>
      <c r="C182" s="76"/>
      <c r="D182" s="76"/>
      <c r="E182" s="76"/>
      <c r="F182" s="76"/>
      <c r="G182" s="76"/>
      <c r="H182" s="74" t="n">
        <v>26</v>
      </c>
      <c r="I182" s="74" t="n">
        <v>23</v>
      </c>
      <c r="J182" s="74" t="n">
        <v>18</v>
      </c>
      <c r="K182" s="74" t="n">
        <v>12</v>
      </c>
      <c r="L182" s="74" t="n">
        <v>13</v>
      </c>
      <c r="M182" s="74" t="n">
        <v>7</v>
      </c>
      <c r="N182" s="74" t="n">
        <v>1</v>
      </c>
      <c r="O182" s="74" t="n">
        <v>4</v>
      </c>
      <c r="P182" s="74" t="n">
        <v>1</v>
      </c>
      <c r="Q182" s="74" t="n">
        <v>1</v>
      </c>
      <c r="R182" s="74" t="n">
        <v>0</v>
      </c>
      <c r="S182" s="74" t="n">
        <v>0</v>
      </c>
      <c r="T182" s="74" t="n">
        <v>0</v>
      </c>
      <c r="U182" s="74" t="n">
        <v>0</v>
      </c>
      <c r="V182" s="81" t="n">
        <v>0</v>
      </c>
      <c r="W182" s="81" t="n">
        <v>0</v>
      </c>
      <c r="X182" s="81" t="n">
        <v>0</v>
      </c>
      <c r="Y182" s="81" t="n">
        <v>0</v>
      </c>
      <c r="Z182" s="81" t="n">
        <v>0</v>
      </c>
      <c r="AA182" s="81" t="n">
        <v>0</v>
      </c>
    </row>
    <row r="183" customFormat="false" ht="15" hidden="false" customHeight="true" outlineLevel="0" collapsed="false">
      <c r="A183" s="30" t="s">
        <v>120</v>
      </c>
      <c r="B183" s="76"/>
      <c r="C183" s="76"/>
      <c r="D183" s="76"/>
      <c r="E183" s="76"/>
      <c r="F183" s="76"/>
      <c r="G183" s="76"/>
      <c r="H183" s="76"/>
      <c r="I183" s="74" t="n">
        <v>36</v>
      </c>
      <c r="J183" s="74" t="n">
        <v>22</v>
      </c>
      <c r="K183" s="74" t="n">
        <v>12</v>
      </c>
      <c r="L183" s="74" t="n">
        <v>18</v>
      </c>
      <c r="M183" s="74" t="n">
        <v>17</v>
      </c>
      <c r="N183" s="74" t="n">
        <v>7</v>
      </c>
      <c r="O183" s="74" t="n">
        <v>9</v>
      </c>
      <c r="P183" s="74" t="n">
        <v>2</v>
      </c>
      <c r="Q183" s="74" t="n">
        <v>1</v>
      </c>
      <c r="R183" s="74" t="n">
        <v>2</v>
      </c>
      <c r="S183" s="74" t="n">
        <v>3</v>
      </c>
      <c r="T183" s="74" t="n">
        <v>1</v>
      </c>
      <c r="U183" s="74" t="n">
        <v>0</v>
      </c>
      <c r="V183" s="81" t="n">
        <v>0</v>
      </c>
      <c r="W183" s="81" t="n">
        <v>0</v>
      </c>
      <c r="X183" s="81" t="n">
        <v>0</v>
      </c>
      <c r="Y183" s="81" t="n">
        <v>0</v>
      </c>
      <c r="Z183" s="81" t="n">
        <v>0</v>
      </c>
      <c r="AA183" s="81" t="n">
        <v>0</v>
      </c>
    </row>
    <row r="184" customFormat="false" ht="15" hidden="false" customHeight="true" outlineLevel="0" collapsed="false">
      <c r="A184" s="30" t="s">
        <v>121</v>
      </c>
      <c r="B184" s="76"/>
      <c r="C184" s="76"/>
      <c r="D184" s="76"/>
      <c r="E184" s="76"/>
      <c r="F184" s="76"/>
      <c r="G184" s="76"/>
      <c r="H184" s="76"/>
      <c r="I184" s="76"/>
      <c r="J184" s="74" t="n">
        <v>49</v>
      </c>
      <c r="K184" s="74" t="n">
        <v>32</v>
      </c>
      <c r="L184" s="74" t="n">
        <v>32</v>
      </c>
      <c r="M184" s="74" t="n">
        <v>28</v>
      </c>
      <c r="N184" s="74" t="n">
        <v>21</v>
      </c>
      <c r="O184" s="74" t="n">
        <v>21</v>
      </c>
      <c r="P184" s="74" t="n">
        <v>9</v>
      </c>
      <c r="Q184" s="74" t="n">
        <v>3</v>
      </c>
      <c r="R184" s="74" t="n">
        <v>4</v>
      </c>
      <c r="S184" s="74" t="n">
        <v>3</v>
      </c>
      <c r="T184" s="74" t="n">
        <v>2</v>
      </c>
      <c r="U184" s="74" t="n">
        <v>1</v>
      </c>
      <c r="V184" s="81" t="n">
        <v>1</v>
      </c>
      <c r="W184" s="81" t="n">
        <v>0</v>
      </c>
      <c r="X184" s="81" t="n">
        <v>1</v>
      </c>
      <c r="Y184" s="81" t="n">
        <v>0</v>
      </c>
      <c r="Z184" s="81" t="n">
        <v>0</v>
      </c>
      <c r="AA184" s="81" t="n">
        <v>0</v>
      </c>
    </row>
    <row r="185" customFormat="false" ht="15" hidden="false" customHeight="true" outlineLevel="0" collapsed="false">
      <c r="A185" s="30" t="s">
        <v>122</v>
      </c>
      <c r="B185" s="76"/>
      <c r="C185" s="76"/>
      <c r="D185" s="76"/>
      <c r="E185" s="76"/>
      <c r="F185" s="76"/>
      <c r="G185" s="76"/>
      <c r="H185" s="76"/>
      <c r="I185" s="76"/>
      <c r="J185" s="76"/>
      <c r="K185" s="74" t="n">
        <v>25</v>
      </c>
      <c r="L185" s="74" t="n">
        <v>19</v>
      </c>
      <c r="M185" s="74" t="n">
        <v>15</v>
      </c>
      <c r="N185" s="74" t="n">
        <v>12</v>
      </c>
      <c r="O185" s="74" t="n">
        <v>16</v>
      </c>
      <c r="P185" s="74" t="n">
        <v>9</v>
      </c>
      <c r="Q185" s="74" t="n">
        <v>1</v>
      </c>
      <c r="R185" s="74" t="n">
        <v>3</v>
      </c>
      <c r="S185" s="74" t="n">
        <v>2</v>
      </c>
      <c r="T185" s="74" t="n">
        <v>1</v>
      </c>
      <c r="U185" s="74" t="n">
        <v>1</v>
      </c>
      <c r="V185" s="81" t="n">
        <v>1</v>
      </c>
      <c r="W185" s="81" t="n">
        <v>0</v>
      </c>
      <c r="X185" s="81" t="n">
        <v>0</v>
      </c>
      <c r="Y185" s="81" t="n">
        <v>0</v>
      </c>
      <c r="Z185" s="81" t="n">
        <v>0</v>
      </c>
      <c r="AA185" s="81" t="n">
        <v>0</v>
      </c>
    </row>
    <row r="186" customFormat="false" ht="15" hidden="false" customHeight="true" outlineLevel="0" collapsed="false">
      <c r="A186" s="30" t="s">
        <v>123</v>
      </c>
      <c r="B186" s="76"/>
      <c r="C186" s="76"/>
      <c r="D186" s="76"/>
      <c r="E186" s="76"/>
      <c r="F186" s="76"/>
      <c r="G186" s="76"/>
      <c r="H186" s="76"/>
      <c r="I186" s="76"/>
      <c r="J186" s="76"/>
      <c r="K186" s="76"/>
      <c r="L186" s="74" t="n">
        <v>60</v>
      </c>
      <c r="M186" s="74" t="n">
        <v>47</v>
      </c>
      <c r="N186" s="74" t="n">
        <v>30</v>
      </c>
      <c r="O186" s="74" t="n">
        <v>38</v>
      </c>
      <c r="P186" s="74" t="n">
        <v>35</v>
      </c>
      <c r="Q186" s="74" t="n">
        <v>11</v>
      </c>
      <c r="R186" s="74" t="n">
        <v>15</v>
      </c>
      <c r="S186" s="74" t="n">
        <v>8</v>
      </c>
      <c r="T186" s="74" t="n">
        <v>3</v>
      </c>
      <c r="U186" s="74" t="n">
        <v>6</v>
      </c>
      <c r="V186" s="81" t="n">
        <v>3</v>
      </c>
      <c r="W186" s="81" t="n">
        <v>2</v>
      </c>
      <c r="X186" s="81" t="n">
        <v>1</v>
      </c>
      <c r="Y186" s="81" t="n">
        <v>1</v>
      </c>
      <c r="Z186" s="81" t="n">
        <v>1</v>
      </c>
      <c r="AA186" s="81" t="n">
        <v>1</v>
      </c>
    </row>
    <row r="187" customFormat="false" ht="15" hidden="false" customHeight="true" outlineLevel="0" collapsed="false">
      <c r="A187" s="30" t="s">
        <v>124</v>
      </c>
      <c r="B187" s="76"/>
      <c r="C187" s="76"/>
      <c r="D187" s="76"/>
      <c r="E187" s="76"/>
      <c r="F187" s="76"/>
      <c r="G187" s="76"/>
      <c r="H187" s="76"/>
      <c r="I187" s="76"/>
      <c r="J187" s="76"/>
      <c r="K187" s="76"/>
      <c r="L187" s="76"/>
      <c r="M187" s="74" t="n">
        <v>63</v>
      </c>
      <c r="N187" s="74" t="n">
        <v>40</v>
      </c>
      <c r="O187" s="74" t="n">
        <v>44</v>
      </c>
      <c r="P187" s="74" t="n">
        <v>41</v>
      </c>
      <c r="Q187" s="74" t="n">
        <v>33</v>
      </c>
      <c r="R187" s="74" t="n">
        <v>22</v>
      </c>
      <c r="S187" s="74" t="n">
        <v>13</v>
      </c>
      <c r="T187" s="74" t="n">
        <v>5</v>
      </c>
      <c r="U187" s="74" t="n">
        <v>4</v>
      </c>
      <c r="V187" s="81" t="n">
        <v>3</v>
      </c>
      <c r="W187" s="81" t="n">
        <v>2</v>
      </c>
      <c r="X187" s="81" t="n">
        <v>1</v>
      </c>
      <c r="Y187" s="81" t="n">
        <v>1</v>
      </c>
      <c r="Z187" s="81" t="n">
        <v>0</v>
      </c>
      <c r="AA187" s="81" t="n">
        <v>1</v>
      </c>
    </row>
    <row r="188" customFormat="false" ht="15" hidden="false" customHeight="true" outlineLevel="0" collapsed="false">
      <c r="A188" s="30" t="s">
        <v>125</v>
      </c>
      <c r="B188" s="76"/>
      <c r="C188" s="76"/>
      <c r="D188" s="76"/>
      <c r="E188" s="76"/>
      <c r="F188" s="76"/>
      <c r="G188" s="76"/>
      <c r="H188" s="76"/>
      <c r="I188" s="76"/>
      <c r="J188" s="76"/>
      <c r="K188" s="76"/>
      <c r="L188" s="76"/>
      <c r="M188" s="76"/>
      <c r="N188" s="74" t="n">
        <v>30</v>
      </c>
      <c r="O188" s="74" t="n">
        <v>22</v>
      </c>
      <c r="P188" s="74" t="n">
        <v>19</v>
      </c>
      <c r="Q188" s="74" t="n">
        <v>13</v>
      </c>
      <c r="R188" s="74" t="n">
        <v>19</v>
      </c>
      <c r="S188" s="74" t="n">
        <v>9</v>
      </c>
      <c r="T188" s="74" t="n">
        <v>4</v>
      </c>
      <c r="U188" s="74" t="n">
        <v>3</v>
      </c>
      <c r="V188" s="81" t="n">
        <v>2</v>
      </c>
      <c r="W188" s="81" t="n">
        <v>2</v>
      </c>
      <c r="X188" s="81" t="n">
        <v>1</v>
      </c>
      <c r="Y188" s="81" t="n">
        <v>1</v>
      </c>
      <c r="Z188" s="81" t="n">
        <v>0</v>
      </c>
      <c r="AA188" s="81" t="n">
        <v>0</v>
      </c>
    </row>
    <row r="189" customFormat="false" ht="15" hidden="false" customHeight="true" outlineLevel="0" collapsed="false">
      <c r="A189" s="30" t="s">
        <v>126</v>
      </c>
      <c r="B189" s="76"/>
      <c r="C189" s="76"/>
      <c r="D189" s="76"/>
      <c r="E189" s="76"/>
      <c r="F189" s="76"/>
      <c r="G189" s="76"/>
      <c r="H189" s="76"/>
      <c r="I189" s="76"/>
      <c r="J189" s="76"/>
      <c r="K189" s="76"/>
      <c r="L189" s="76"/>
      <c r="M189" s="76"/>
      <c r="N189" s="76"/>
      <c r="O189" s="74" t="n">
        <v>55</v>
      </c>
      <c r="P189" s="74" t="n">
        <v>40</v>
      </c>
      <c r="Q189" s="74" t="n">
        <v>25</v>
      </c>
      <c r="R189" s="74" t="n">
        <v>32</v>
      </c>
      <c r="S189" s="74" t="n">
        <v>27</v>
      </c>
      <c r="T189" s="74" t="n">
        <v>7</v>
      </c>
      <c r="U189" s="74" t="n">
        <v>11</v>
      </c>
      <c r="V189" s="81" t="n">
        <v>6</v>
      </c>
      <c r="W189" s="81" t="n">
        <v>5</v>
      </c>
      <c r="X189" s="81" t="n">
        <v>3</v>
      </c>
      <c r="Y189" s="81" t="n">
        <v>2</v>
      </c>
      <c r="Z189" s="81" t="n">
        <v>1</v>
      </c>
      <c r="AA189" s="81" t="n">
        <v>1</v>
      </c>
    </row>
    <row r="190" customFormat="false" ht="15" hidden="false" customHeight="true" outlineLevel="0" collapsed="false">
      <c r="A190" s="30" t="s">
        <v>127</v>
      </c>
      <c r="B190" s="76"/>
      <c r="C190" s="76"/>
      <c r="D190" s="76"/>
      <c r="E190" s="76"/>
      <c r="F190" s="76"/>
      <c r="G190" s="76"/>
      <c r="H190" s="76"/>
      <c r="I190" s="76"/>
      <c r="J190" s="76"/>
      <c r="K190" s="76"/>
      <c r="L190" s="76"/>
      <c r="M190" s="76"/>
      <c r="N190" s="76"/>
      <c r="O190" s="76"/>
      <c r="P190" s="74" t="n">
        <v>28</v>
      </c>
      <c r="Q190" s="74" t="n">
        <v>17</v>
      </c>
      <c r="R190" s="74" t="n">
        <v>19</v>
      </c>
      <c r="S190" s="74" t="n">
        <v>18</v>
      </c>
      <c r="T190" s="74" t="n">
        <v>13</v>
      </c>
      <c r="U190" s="74" t="n">
        <v>9</v>
      </c>
      <c r="V190" s="81" t="n">
        <v>6</v>
      </c>
      <c r="W190" s="81" t="n">
        <v>3</v>
      </c>
      <c r="X190" s="81" t="n">
        <v>3</v>
      </c>
      <c r="Y190" s="81" t="n">
        <v>2</v>
      </c>
      <c r="Z190" s="81" t="n">
        <v>1</v>
      </c>
      <c r="AA190" s="81" t="n">
        <v>1</v>
      </c>
    </row>
    <row r="191" customFormat="false" ht="15" hidden="false" customHeight="true" outlineLevel="0" collapsed="false">
      <c r="A191" s="30" t="s">
        <v>128</v>
      </c>
      <c r="B191" s="76"/>
      <c r="C191" s="76"/>
      <c r="D191" s="76"/>
      <c r="E191" s="76"/>
      <c r="F191" s="76"/>
      <c r="G191" s="76"/>
      <c r="H191" s="76"/>
      <c r="I191" s="76"/>
      <c r="J191" s="76"/>
      <c r="K191" s="76"/>
      <c r="L191" s="76"/>
      <c r="M191" s="76"/>
      <c r="N191" s="76"/>
      <c r="O191" s="76"/>
      <c r="P191" s="76"/>
      <c r="Q191" s="74" t="n">
        <v>20</v>
      </c>
      <c r="R191" s="74" t="n">
        <v>15</v>
      </c>
      <c r="S191" s="74" t="n">
        <v>13</v>
      </c>
      <c r="T191" s="74" t="n">
        <v>10</v>
      </c>
      <c r="U191" s="74" t="n">
        <v>12</v>
      </c>
      <c r="V191" s="81" t="n">
        <v>8</v>
      </c>
      <c r="W191" s="81" t="n">
        <v>6</v>
      </c>
      <c r="X191" s="81" t="n">
        <v>3</v>
      </c>
      <c r="Y191" s="81" t="n">
        <v>2</v>
      </c>
      <c r="Z191" s="81" t="n">
        <v>2</v>
      </c>
      <c r="AA191" s="81" t="n">
        <v>1</v>
      </c>
    </row>
    <row r="192" customFormat="false" ht="15" hidden="false" customHeight="true" outlineLevel="0" collapsed="false">
      <c r="A192" s="30" t="s">
        <v>129</v>
      </c>
      <c r="B192" s="76"/>
      <c r="C192" s="76"/>
      <c r="D192" s="76"/>
      <c r="E192" s="76"/>
      <c r="F192" s="76"/>
      <c r="G192" s="76"/>
      <c r="H192" s="76"/>
      <c r="I192" s="76"/>
      <c r="J192" s="76"/>
      <c r="K192" s="76"/>
      <c r="L192" s="76"/>
      <c r="M192" s="76"/>
      <c r="N192" s="76"/>
      <c r="O192" s="76"/>
      <c r="P192" s="76"/>
      <c r="Q192" s="76"/>
      <c r="R192" s="74" t="n">
        <v>40</v>
      </c>
      <c r="S192" s="74" t="n">
        <v>26</v>
      </c>
      <c r="T192" s="74" t="n">
        <v>21</v>
      </c>
      <c r="U192" s="74" t="n">
        <v>21</v>
      </c>
      <c r="V192" s="81" t="n">
        <v>19</v>
      </c>
      <c r="W192" s="81" t="n">
        <v>13</v>
      </c>
      <c r="X192" s="81" t="n">
        <v>9</v>
      </c>
      <c r="Y192" s="81" t="n">
        <v>5</v>
      </c>
      <c r="Z192" s="81" t="n">
        <v>4</v>
      </c>
      <c r="AA192" s="81" t="n">
        <v>3</v>
      </c>
    </row>
    <row r="193" customFormat="false" ht="15" hidden="false" customHeight="true" outlineLevel="0" collapsed="false">
      <c r="A193" s="30" t="s">
        <v>130</v>
      </c>
      <c r="B193" s="76"/>
      <c r="C193" s="76"/>
      <c r="D193" s="76"/>
      <c r="E193" s="76"/>
      <c r="F193" s="76"/>
      <c r="G193" s="76"/>
      <c r="H193" s="76"/>
      <c r="I193" s="76"/>
      <c r="J193" s="76"/>
      <c r="K193" s="76"/>
      <c r="L193" s="76"/>
      <c r="M193" s="76"/>
      <c r="N193" s="76"/>
      <c r="O193" s="76"/>
      <c r="P193" s="76"/>
      <c r="Q193" s="76"/>
      <c r="R193" s="76"/>
      <c r="S193" s="74" t="n">
        <v>34</v>
      </c>
      <c r="T193" s="74" t="n">
        <v>26</v>
      </c>
      <c r="U193" s="74" t="n">
        <v>23</v>
      </c>
      <c r="V193" s="81" t="n">
        <v>22</v>
      </c>
      <c r="W193" s="81" t="n">
        <v>20</v>
      </c>
      <c r="X193" s="81" t="n">
        <v>14</v>
      </c>
      <c r="Y193" s="81" t="n">
        <v>9</v>
      </c>
      <c r="Z193" s="81" t="n">
        <v>5</v>
      </c>
      <c r="AA193" s="81" t="n">
        <v>4</v>
      </c>
    </row>
    <row r="194" customFormat="false" ht="15" hidden="false" customHeight="true" outlineLevel="0" collapsed="false">
      <c r="A194" s="30" t="s">
        <v>131</v>
      </c>
      <c r="B194" s="76"/>
      <c r="C194" s="76"/>
      <c r="D194" s="76"/>
      <c r="E194" s="76"/>
      <c r="F194" s="76"/>
      <c r="G194" s="76"/>
      <c r="H194" s="76"/>
      <c r="I194" s="76"/>
      <c r="J194" s="76"/>
      <c r="K194" s="76"/>
      <c r="L194" s="76"/>
      <c r="M194" s="76"/>
      <c r="N194" s="76"/>
      <c r="O194" s="76"/>
      <c r="P194" s="76"/>
      <c r="Q194" s="76"/>
      <c r="R194" s="76"/>
      <c r="S194" s="76"/>
      <c r="T194" s="74" t="n">
        <v>22</v>
      </c>
      <c r="U194" s="74" t="n">
        <v>16</v>
      </c>
      <c r="V194" s="81" t="n">
        <v>13</v>
      </c>
      <c r="W194" s="81" t="n">
        <v>13</v>
      </c>
      <c r="X194" s="81" t="n">
        <v>11</v>
      </c>
      <c r="Y194" s="81" t="n">
        <v>8</v>
      </c>
      <c r="Z194" s="81" t="n">
        <v>5</v>
      </c>
      <c r="AA194" s="81" t="n">
        <v>3</v>
      </c>
    </row>
    <row r="195" customFormat="false" ht="15" hidden="false" customHeight="true" outlineLevel="0" collapsed="false">
      <c r="A195" s="30" t="s">
        <v>132</v>
      </c>
      <c r="B195" s="76"/>
      <c r="C195" s="76"/>
      <c r="D195" s="76"/>
      <c r="E195" s="76"/>
      <c r="F195" s="76"/>
      <c r="G195" s="76"/>
      <c r="H195" s="76"/>
      <c r="I195" s="76"/>
      <c r="J195" s="76"/>
      <c r="K195" s="76"/>
      <c r="L195" s="76"/>
      <c r="M195" s="76"/>
      <c r="N195" s="76"/>
      <c r="O195" s="76"/>
      <c r="P195" s="76"/>
      <c r="Q195" s="76"/>
      <c r="R195" s="76"/>
      <c r="S195" s="76"/>
      <c r="T195" s="76"/>
      <c r="U195" s="74" t="n">
        <v>48</v>
      </c>
      <c r="V195" s="81" t="n">
        <v>33</v>
      </c>
      <c r="W195" s="81" t="n">
        <v>27</v>
      </c>
      <c r="X195" s="81" t="n">
        <v>26</v>
      </c>
      <c r="Y195" s="81" t="n">
        <v>23</v>
      </c>
      <c r="Z195" s="81" t="n">
        <v>16</v>
      </c>
      <c r="AA195" s="81" t="n">
        <v>11</v>
      </c>
    </row>
    <row r="196" customFormat="false" ht="15" hidden="false" customHeight="true" outlineLevel="0" collapsed="false">
      <c r="A196" s="82" t="s">
        <v>524</v>
      </c>
      <c r="B196" s="76"/>
      <c r="C196" s="76"/>
      <c r="D196" s="76"/>
      <c r="E196" s="76"/>
      <c r="F196" s="76"/>
      <c r="G196" s="76"/>
      <c r="H196" s="76"/>
      <c r="I196" s="76"/>
      <c r="J196" s="76"/>
      <c r="K196" s="76"/>
      <c r="L196" s="76"/>
      <c r="M196" s="76"/>
      <c r="N196" s="76"/>
      <c r="O196" s="76"/>
      <c r="P196" s="76"/>
      <c r="Q196" s="76"/>
      <c r="R196" s="76"/>
      <c r="S196" s="76"/>
      <c r="T196" s="76"/>
      <c r="U196" s="76"/>
      <c r="V196" s="81" t="n">
        <v>35</v>
      </c>
      <c r="W196" s="81" t="n">
        <v>24</v>
      </c>
      <c r="X196" s="81" t="n">
        <v>20</v>
      </c>
      <c r="Y196" s="81" t="n">
        <v>19</v>
      </c>
      <c r="Z196" s="81" t="n">
        <v>17</v>
      </c>
      <c r="AA196" s="81" t="n">
        <v>12</v>
      </c>
    </row>
    <row r="197" customFormat="false" ht="15" hidden="false" customHeight="true" outlineLevel="0" collapsed="false">
      <c r="A197" s="82" t="s">
        <v>525</v>
      </c>
      <c r="B197" s="76"/>
      <c r="C197" s="76"/>
      <c r="D197" s="76"/>
      <c r="E197" s="76"/>
      <c r="F197" s="76"/>
      <c r="G197" s="76"/>
      <c r="H197" s="76"/>
      <c r="I197" s="76"/>
      <c r="J197" s="76"/>
      <c r="K197" s="76"/>
      <c r="L197" s="76"/>
      <c r="M197" s="76"/>
      <c r="N197" s="76"/>
      <c r="O197" s="76"/>
      <c r="P197" s="76"/>
      <c r="Q197" s="76"/>
      <c r="R197" s="76"/>
      <c r="S197" s="76"/>
      <c r="T197" s="76"/>
      <c r="U197" s="76"/>
      <c r="V197" s="76"/>
      <c r="W197" s="81" t="n">
        <v>35</v>
      </c>
      <c r="X197" s="81" t="n">
        <v>24</v>
      </c>
      <c r="Y197" s="81" t="n">
        <v>20</v>
      </c>
      <c r="Z197" s="81" t="n">
        <v>19</v>
      </c>
      <c r="AA197" s="81" t="n">
        <v>17</v>
      </c>
    </row>
    <row r="198" customFormat="false" ht="15" hidden="false" customHeight="true" outlineLevel="0" collapsed="false">
      <c r="A198" s="82" t="s">
        <v>526</v>
      </c>
      <c r="B198" s="76"/>
      <c r="C198" s="76"/>
      <c r="D198" s="76"/>
      <c r="E198" s="76"/>
      <c r="F198" s="76"/>
      <c r="G198" s="76"/>
      <c r="H198" s="76"/>
      <c r="I198" s="76"/>
      <c r="J198" s="76"/>
      <c r="K198" s="76"/>
      <c r="L198" s="76"/>
      <c r="M198" s="76"/>
      <c r="N198" s="76"/>
      <c r="O198" s="76"/>
      <c r="P198" s="76"/>
      <c r="Q198" s="76"/>
      <c r="R198" s="76"/>
      <c r="S198" s="76"/>
      <c r="T198" s="76"/>
      <c r="U198" s="76"/>
      <c r="V198" s="76"/>
      <c r="W198" s="76"/>
      <c r="X198" s="81" t="n">
        <v>35</v>
      </c>
      <c r="Y198" s="81" t="n">
        <v>24</v>
      </c>
      <c r="Z198" s="81" t="n">
        <v>20</v>
      </c>
      <c r="AA198" s="81" t="n">
        <v>19</v>
      </c>
    </row>
    <row r="199" customFormat="false" ht="15" hidden="false" customHeight="true" outlineLevel="0" collapsed="false">
      <c r="A199" s="82" t="s">
        <v>527</v>
      </c>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81" t="n">
        <v>35</v>
      </c>
      <c r="Z199" s="81" t="n">
        <v>24</v>
      </c>
      <c r="AA199" s="81" t="n">
        <v>20</v>
      </c>
    </row>
    <row r="200" customFormat="false" ht="15" hidden="false" customHeight="true" outlineLevel="0" collapsed="false">
      <c r="A200" s="82" t="s">
        <v>528</v>
      </c>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81" t="n">
        <v>35</v>
      </c>
      <c r="AA200" s="81" t="n">
        <v>24</v>
      </c>
    </row>
    <row r="201" customFormat="false" ht="15" hidden="false" customHeight="true" outlineLevel="0" collapsed="false">
      <c r="A201" s="82" t="s">
        <v>529</v>
      </c>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81" t="n">
        <v>35</v>
      </c>
    </row>
    <row r="202" customFormat="false" ht="15" hidden="false" customHeight="true" outlineLevel="0" collapsed="false">
      <c r="A202" s="34" t="s">
        <v>514</v>
      </c>
      <c r="B202" s="79" t="n">
        <v>29</v>
      </c>
      <c r="C202" s="79" t="n">
        <v>68</v>
      </c>
      <c r="D202" s="79" t="n">
        <v>98</v>
      </c>
      <c r="E202" s="79" t="n">
        <v>73</v>
      </c>
      <c r="F202" s="79" t="n">
        <v>133</v>
      </c>
      <c r="G202" s="79" t="n">
        <v>169</v>
      </c>
      <c r="H202" s="79" t="n">
        <v>122</v>
      </c>
      <c r="I202" s="79" t="n">
        <v>175</v>
      </c>
      <c r="J202" s="79" t="n">
        <v>179</v>
      </c>
      <c r="K202" s="79" t="n">
        <v>128</v>
      </c>
      <c r="L202" s="79" t="n">
        <v>207</v>
      </c>
      <c r="M202" s="79" t="n">
        <v>213</v>
      </c>
      <c r="N202" s="79" t="n">
        <v>152</v>
      </c>
      <c r="O202" s="79" t="n">
        <v>230</v>
      </c>
      <c r="P202" s="79" t="n">
        <v>196</v>
      </c>
      <c r="Q202" s="79" t="n">
        <v>132</v>
      </c>
      <c r="R202" s="79" t="n">
        <v>177</v>
      </c>
      <c r="S202" s="79" t="n">
        <v>159</v>
      </c>
      <c r="T202" s="79" t="n">
        <v>116</v>
      </c>
      <c r="U202" s="79" t="n">
        <v>155</v>
      </c>
      <c r="V202" s="79" t="n">
        <v>152</v>
      </c>
      <c r="W202" s="79" t="n">
        <v>151</v>
      </c>
      <c r="X202" s="79" t="n">
        <v>152</v>
      </c>
      <c r="Y202" s="79" t="n">
        <v>152</v>
      </c>
      <c r="Z202" s="79" t="n">
        <v>151</v>
      </c>
      <c r="AA202" s="79" t="n">
        <v>151</v>
      </c>
    </row>
    <row r="204" customFormat="false" ht="19.5" hidden="false" customHeight="true" outlineLevel="0" collapsed="false">
      <c r="A204" s="65" t="s">
        <v>412</v>
      </c>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row>
    <row r="205" customFormat="false" ht="15" hidden="false" customHeight="true" outlineLevel="0" collapsed="false">
      <c r="A205" s="80" t="s">
        <v>536</v>
      </c>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row>
    <row r="206" customFormat="false" ht="15" hidden="false" customHeight="true" outlineLevel="0" collapsed="false">
      <c r="A206" s="12" t="s">
        <v>513</v>
      </c>
      <c r="B206" s="12" t="s">
        <v>113</v>
      </c>
      <c r="C206" s="12" t="s">
        <v>114</v>
      </c>
      <c r="D206" s="12" t="s">
        <v>115</v>
      </c>
      <c r="E206" s="12" t="s">
        <v>116</v>
      </c>
      <c r="F206" s="12" t="s">
        <v>117</v>
      </c>
      <c r="G206" s="12" t="s">
        <v>118</v>
      </c>
      <c r="H206" s="12" t="s">
        <v>119</v>
      </c>
      <c r="I206" s="12" t="s">
        <v>120</v>
      </c>
      <c r="J206" s="12" t="s">
        <v>121</v>
      </c>
      <c r="K206" s="12" t="s">
        <v>122</v>
      </c>
      <c r="L206" s="12" t="s">
        <v>123</v>
      </c>
      <c r="M206" s="12" t="s">
        <v>124</v>
      </c>
      <c r="N206" s="12" t="s">
        <v>125</v>
      </c>
      <c r="O206" s="12" t="s">
        <v>126</v>
      </c>
      <c r="P206" s="12" t="s">
        <v>127</v>
      </c>
      <c r="Q206" s="12" t="s">
        <v>128</v>
      </c>
      <c r="R206" s="12" t="s">
        <v>129</v>
      </c>
      <c r="S206" s="12" t="s">
        <v>130</v>
      </c>
      <c r="T206" s="12" t="s">
        <v>131</v>
      </c>
      <c r="U206" s="12" t="s">
        <v>132</v>
      </c>
      <c r="V206" s="12" t="s">
        <v>518</v>
      </c>
      <c r="W206" s="12" t="s">
        <v>519</v>
      </c>
      <c r="X206" s="12" t="s">
        <v>520</v>
      </c>
      <c r="Y206" s="12" t="s">
        <v>521</v>
      </c>
      <c r="Z206" s="12" t="s">
        <v>522</v>
      </c>
      <c r="AA206" s="12" t="s">
        <v>523</v>
      </c>
    </row>
    <row r="207" customFormat="false" ht="15" hidden="false" customHeight="true" outlineLevel="0" collapsed="false">
      <c r="A207" s="30" t="s">
        <v>115</v>
      </c>
      <c r="B207" s="76"/>
      <c r="C207" s="76"/>
      <c r="D207" s="74" t="n">
        <v>30</v>
      </c>
      <c r="E207" s="74" t="n">
        <v>28</v>
      </c>
      <c r="F207" s="74" t="n">
        <v>27</v>
      </c>
      <c r="G207" s="74" t="n">
        <v>27</v>
      </c>
      <c r="H207" s="74" t="n">
        <v>26</v>
      </c>
      <c r="I207" s="74" t="n">
        <v>0</v>
      </c>
      <c r="J207" s="74" t="n">
        <v>0</v>
      </c>
      <c r="K207" s="74" t="n">
        <v>1</v>
      </c>
      <c r="L207" s="74" t="n">
        <v>0</v>
      </c>
      <c r="M207" s="74" t="n">
        <v>0</v>
      </c>
      <c r="N207" s="74" t="n">
        <v>0</v>
      </c>
      <c r="O207" s="74" t="n">
        <v>0</v>
      </c>
      <c r="P207" s="74" t="n">
        <v>0</v>
      </c>
      <c r="Q207" s="74" t="n">
        <v>0</v>
      </c>
      <c r="R207" s="74" t="n">
        <v>0</v>
      </c>
      <c r="S207" s="74" t="n">
        <v>0</v>
      </c>
      <c r="T207" s="74" t="n">
        <v>0</v>
      </c>
      <c r="U207" s="74" t="n">
        <v>0</v>
      </c>
      <c r="V207" s="81" t="n">
        <v>0</v>
      </c>
      <c r="W207" s="81" t="n">
        <v>0</v>
      </c>
      <c r="X207" s="81" t="n">
        <v>0</v>
      </c>
      <c r="Y207" s="81" t="n">
        <v>0</v>
      </c>
      <c r="Z207" s="81" t="n">
        <v>0</v>
      </c>
      <c r="AA207" s="81" t="n">
        <v>0</v>
      </c>
    </row>
    <row r="208" customFormat="false" ht="15" hidden="false" customHeight="true" outlineLevel="0" collapsed="false">
      <c r="A208" s="30" t="s">
        <v>116</v>
      </c>
      <c r="B208" s="76"/>
      <c r="C208" s="76"/>
      <c r="D208" s="76"/>
      <c r="E208" s="74" t="n">
        <v>32</v>
      </c>
      <c r="F208" s="74" t="n">
        <v>30</v>
      </c>
      <c r="G208" s="74" t="n">
        <v>29</v>
      </c>
      <c r="H208" s="74" t="n">
        <v>28</v>
      </c>
      <c r="I208" s="74" t="n">
        <v>30</v>
      </c>
      <c r="J208" s="74" t="n">
        <v>5</v>
      </c>
      <c r="K208" s="74" t="n">
        <v>5</v>
      </c>
      <c r="L208" s="74" t="n">
        <v>3</v>
      </c>
      <c r="M208" s="74" t="n">
        <v>3</v>
      </c>
      <c r="N208" s="74" t="n">
        <v>0</v>
      </c>
      <c r="O208" s="74" t="n">
        <v>0</v>
      </c>
      <c r="P208" s="74" t="n">
        <v>0</v>
      </c>
      <c r="Q208" s="74" t="n">
        <v>0</v>
      </c>
      <c r="R208" s="74" t="n">
        <v>0</v>
      </c>
      <c r="S208" s="74" t="n">
        <v>0</v>
      </c>
      <c r="T208" s="74" t="n">
        <v>0</v>
      </c>
      <c r="U208" s="74" t="n">
        <v>0</v>
      </c>
      <c r="V208" s="81" t="n">
        <v>0</v>
      </c>
      <c r="W208" s="81" t="n">
        <v>0</v>
      </c>
      <c r="X208" s="81" t="n">
        <v>0</v>
      </c>
      <c r="Y208" s="81" t="n">
        <v>0</v>
      </c>
      <c r="Z208" s="81" t="n">
        <v>0</v>
      </c>
      <c r="AA208" s="81" t="n">
        <v>0</v>
      </c>
    </row>
    <row r="209" customFormat="false" ht="15" hidden="false" customHeight="true" outlineLevel="0" collapsed="false">
      <c r="A209" s="30" t="s">
        <v>117</v>
      </c>
      <c r="B209" s="76"/>
      <c r="C209" s="76"/>
      <c r="D209" s="76"/>
      <c r="E209" s="76"/>
      <c r="F209" s="74" t="n">
        <v>32</v>
      </c>
      <c r="G209" s="74" t="n">
        <v>30</v>
      </c>
      <c r="H209" s="74" t="n">
        <v>24</v>
      </c>
      <c r="I209" s="74" t="n">
        <v>26</v>
      </c>
      <c r="J209" s="74" t="n">
        <v>25</v>
      </c>
      <c r="K209" s="74" t="n">
        <v>4</v>
      </c>
      <c r="L209" s="74" t="n">
        <v>3</v>
      </c>
      <c r="M209" s="74" t="n">
        <v>1</v>
      </c>
      <c r="N209" s="74" t="n">
        <v>0</v>
      </c>
      <c r="O209" s="74" t="n">
        <v>2</v>
      </c>
      <c r="P209" s="74" t="n">
        <v>1</v>
      </c>
      <c r="Q209" s="74" t="n">
        <v>0</v>
      </c>
      <c r="R209" s="74" t="n">
        <v>0</v>
      </c>
      <c r="S209" s="74" t="n">
        <v>1</v>
      </c>
      <c r="T209" s="74" t="n">
        <v>0</v>
      </c>
      <c r="U209" s="74" t="n">
        <v>1</v>
      </c>
      <c r="V209" s="81" t="n">
        <v>1</v>
      </c>
      <c r="W209" s="81" t="n">
        <v>1</v>
      </c>
      <c r="X209" s="81" t="n">
        <v>1</v>
      </c>
      <c r="Y209" s="81" t="n">
        <v>1</v>
      </c>
      <c r="Z209" s="81" t="n">
        <v>1</v>
      </c>
      <c r="AA209" s="81" t="n">
        <v>1</v>
      </c>
    </row>
    <row r="210" customFormat="false" ht="15" hidden="false" customHeight="true" outlineLevel="0" collapsed="false">
      <c r="A210" s="30" t="s">
        <v>118</v>
      </c>
      <c r="B210" s="76"/>
      <c r="C210" s="76"/>
      <c r="D210" s="76"/>
      <c r="E210" s="76"/>
      <c r="F210" s="76"/>
      <c r="G210" s="74" t="n">
        <v>32</v>
      </c>
      <c r="H210" s="74" t="n">
        <v>22</v>
      </c>
      <c r="I210" s="74" t="n">
        <v>25</v>
      </c>
      <c r="J210" s="74" t="n">
        <v>23</v>
      </c>
      <c r="K210" s="74" t="n">
        <v>22</v>
      </c>
      <c r="L210" s="74" t="n">
        <v>5</v>
      </c>
      <c r="M210" s="74" t="n">
        <v>3</v>
      </c>
      <c r="N210" s="74" t="n">
        <v>2</v>
      </c>
      <c r="O210" s="74" t="n">
        <v>3</v>
      </c>
      <c r="P210" s="74" t="n">
        <v>1</v>
      </c>
      <c r="Q210" s="74" t="n">
        <v>0</v>
      </c>
      <c r="R210" s="74" t="n">
        <v>1</v>
      </c>
      <c r="S210" s="74" t="n">
        <v>1</v>
      </c>
      <c r="T210" s="74" t="n">
        <v>1</v>
      </c>
      <c r="U210" s="74" t="n">
        <v>1</v>
      </c>
      <c r="V210" s="81" t="n">
        <v>1</v>
      </c>
      <c r="W210" s="81" t="n">
        <v>1</v>
      </c>
      <c r="X210" s="81" t="n">
        <v>1</v>
      </c>
      <c r="Y210" s="81" t="n">
        <v>1</v>
      </c>
      <c r="Z210" s="81" t="n">
        <v>1</v>
      </c>
      <c r="AA210" s="81" t="n">
        <v>1</v>
      </c>
    </row>
    <row r="211" customFormat="false" ht="15" hidden="false" customHeight="true" outlineLevel="0" collapsed="false">
      <c r="A211" s="30" t="s">
        <v>119</v>
      </c>
      <c r="B211" s="76"/>
      <c r="C211" s="76"/>
      <c r="D211" s="76"/>
      <c r="E211" s="76"/>
      <c r="F211" s="76"/>
      <c r="G211" s="76"/>
      <c r="H211" s="74" t="n">
        <v>9</v>
      </c>
      <c r="I211" s="74" t="n">
        <v>7</v>
      </c>
      <c r="J211" s="74" t="n">
        <v>6</v>
      </c>
      <c r="K211" s="74" t="n">
        <v>5</v>
      </c>
      <c r="L211" s="74" t="n">
        <v>6</v>
      </c>
      <c r="M211" s="74" t="n">
        <v>2</v>
      </c>
      <c r="N211" s="74" t="n">
        <v>0</v>
      </c>
      <c r="O211" s="74" t="n">
        <v>1</v>
      </c>
      <c r="P211" s="74" t="n">
        <v>1</v>
      </c>
      <c r="Q211" s="74" t="n">
        <v>1</v>
      </c>
      <c r="R211" s="74" t="n">
        <v>1</v>
      </c>
      <c r="S211" s="74" t="n">
        <v>0</v>
      </c>
      <c r="T211" s="74" t="n">
        <v>1</v>
      </c>
      <c r="U211" s="74" t="n">
        <v>1</v>
      </c>
      <c r="V211" s="81" t="n">
        <v>0</v>
      </c>
      <c r="W211" s="81" t="n">
        <v>0</v>
      </c>
      <c r="X211" s="81" t="n">
        <v>0</v>
      </c>
      <c r="Y211" s="81" t="n">
        <v>0</v>
      </c>
      <c r="Z211" s="81" t="n">
        <v>0</v>
      </c>
      <c r="AA211" s="81" t="n">
        <v>0</v>
      </c>
    </row>
    <row r="212" customFormat="false" ht="15" hidden="false" customHeight="true" outlineLevel="0" collapsed="false">
      <c r="A212" s="30" t="s">
        <v>120</v>
      </c>
      <c r="B212" s="76"/>
      <c r="C212" s="76"/>
      <c r="D212" s="76"/>
      <c r="E212" s="76"/>
      <c r="F212" s="76"/>
      <c r="G212" s="76"/>
      <c r="H212" s="76"/>
      <c r="I212" s="74" t="n">
        <v>27</v>
      </c>
      <c r="J212" s="74" t="n">
        <v>25</v>
      </c>
      <c r="K212" s="74" t="n">
        <v>22</v>
      </c>
      <c r="L212" s="74" t="n">
        <v>24</v>
      </c>
      <c r="M212" s="74" t="n">
        <v>24</v>
      </c>
      <c r="N212" s="74" t="n">
        <v>2</v>
      </c>
      <c r="O212" s="74" t="n">
        <v>1</v>
      </c>
      <c r="P212" s="74" t="n">
        <v>1</v>
      </c>
      <c r="Q212" s="74" t="n">
        <v>1</v>
      </c>
      <c r="R212" s="74" t="n">
        <v>0</v>
      </c>
      <c r="S212" s="74" t="n">
        <v>0</v>
      </c>
      <c r="T212" s="74" t="n">
        <v>1</v>
      </c>
      <c r="U212" s="74" t="n">
        <v>1</v>
      </c>
      <c r="V212" s="81" t="n">
        <v>1</v>
      </c>
      <c r="W212" s="81" t="n">
        <v>0</v>
      </c>
      <c r="X212" s="81" t="n">
        <v>0</v>
      </c>
      <c r="Y212" s="81" t="n">
        <v>0</v>
      </c>
      <c r="Z212" s="81" t="n">
        <v>0</v>
      </c>
      <c r="AA212" s="81" t="n">
        <v>0</v>
      </c>
    </row>
    <row r="213" customFormat="false" ht="15" hidden="false" customHeight="true" outlineLevel="0" collapsed="false">
      <c r="A213" s="30" t="s">
        <v>121</v>
      </c>
      <c r="B213" s="76"/>
      <c r="C213" s="76"/>
      <c r="D213" s="76"/>
      <c r="E213" s="76"/>
      <c r="F213" s="76"/>
      <c r="G213" s="76"/>
      <c r="H213" s="76"/>
      <c r="I213" s="76"/>
      <c r="J213" s="74" t="n">
        <v>27</v>
      </c>
      <c r="K213" s="74" t="n">
        <v>20</v>
      </c>
      <c r="L213" s="74" t="n">
        <v>22</v>
      </c>
      <c r="M213" s="74" t="n">
        <v>20</v>
      </c>
      <c r="N213" s="74" t="n">
        <v>20</v>
      </c>
      <c r="O213" s="74" t="n">
        <v>5</v>
      </c>
      <c r="P213" s="74" t="n">
        <v>1</v>
      </c>
      <c r="Q213" s="74" t="n">
        <v>3</v>
      </c>
      <c r="R213" s="74" t="n">
        <v>1</v>
      </c>
      <c r="S213" s="74" t="n">
        <v>1</v>
      </c>
      <c r="T213" s="74" t="n">
        <v>1</v>
      </c>
      <c r="U213" s="74" t="n">
        <v>0</v>
      </c>
      <c r="V213" s="81" t="n">
        <v>0</v>
      </c>
      <c r="W213" s="81" t="n">
        <v>0</v>
      </c>
      <c r="X213" s="81" t="n">
        <v>0</v>
      </c>
      <c r="Y213" s="81" t="n">
        <v>0</v>
      </c>
      <c r="Z213" s="81" t="n">
        <v>0</v>
      </c>
      <c r="AA213" s="81" t="n">
        <v>0</v>
      </c>
    </row>
    <row r="214" customFormat="false" ht="15" hidden="false" customHeight="true" outlineLevel="0" collapsed="false">
      <c r="A214" s="30" t="s">
        <v>122</v>
      </c>
      <c r="B214" s="76"/>
      <c r="C214" s="76"/>
      <c r="D214" s="76"/>
      <c r="E214" s="76"/>
      <c r="F214" s="76"/>
      <c r="G214" s="76"/>
      <c r="H214" s="76"/>
      <c r="I214" s="76"/>
      <c r="J214" s="76"/>
      <c r="K214" s="74" t="n">
        <v>12</v>
      </c>
      <c r="L214" s="74" t="n">
        <v>12</v>
      </c>
      <c r="M214" s="74" t="n">
        <v>12</v>
      </c>
      <c r="N214" s="74" t="n">
        <v>12</v>
      </c>
      <c r="O214" s="74" t="n">
        <v>11</v>
      </c>
      <c r="P214" s="74" t="n">
        <v>2</v>
      </c>
      <c r="Q214" s="74" t="n">
        <v>1</v>
      </c>
      <c r="R214" s="74" t="n">
        <v>1</v>
      </c>
      <c r="S214" s="74" t="n">
        <v>1</v>
      </c>
      <c r="T214" s="74" t="n">
        <v>1</v>
      </c>
      <c r="U214" s="74" t="n">
        <v>0</v>
      </c>
      <c r="V214" s="81" t="n">
        <v>0</v>
      </c>
      <c r="W214" s="81" t="n">
        <v>0</v>
      </c>
      <c r="X214" s="81" t="n">
        <v>0</v>
      </c>
      <c r="Y214" s="81" t="n">
        <v>0</v>
      </c>
      <c r="Z214" s="81" t="n">
        <v>0</v>
      </c>
      <c r="AA214" s="81" t="n">
        <v>0</v>
      </c>
    </row>
    <row r="215" customFormat="false" ht="15" hidden="false" customHeight="true" outlineLevel="0" collapsed="false">
      <c r="A215" s="30" t="s">
        <v>123</v>
      </c>
      <c r="B215" s="76"/>
      <c r="C215" s="76"/>
      <c r="D215" s="76"/>
      <c r="E215" s="76"/>
      <c r="F215" s="76"/>
      <c r="G215" s="76"/>
      <c r="H215" s="76"/>
      <c r="I215" s="76"/>
      <c r="J215" s="76"/>
      <c r="K215" s="76"/>
      <c r="L215" s="74" t="n">
        <v>24</v>
      </c>
      <c r="M215" s="74" t="n">
        <v>20</v>
      </c>
      <c r="N215" s="74" t="n">
        <v>15</v>
      </c>
      <c r="O215" s="74" t="n">
        <v>17</v>
      </c>
      <c r="P215" s="74" t="n">
        <v>16</v>
      </c>
      <c r="Q215" s="74" t="n">
        <v>3</v>
      </c>
      <c r="R215" s="74" t="n">
        <v>1</v>
      </c>
      <c r="S215" s="74" t="n">
        <v>0</v>
      </c>
      <c r="T215" s="74" t="n">
        <v>0</v>
      </c>
      <c r="U215" s="74" t="n">
        <v>0</v>
      </c>
      <c r="V215" s="81" t="n">
        <v>0</v>
      </c>
      <c r="W215" s="81" t="n">
        <v>0</v>
      </c>
      <c r="X215" s="81" t="n">
        <v>0</v>
      </c>
      <c r="Y215" s="81" t="n">
        <v>0</v>
      </c>
      <c r="Z215" s="81" t="n">
        <v>0</v>
      </c>
      <c r="AA215" s="81" t="n">
        <v>0</v>
      </c>
    </row>
    <row r="216" customFormat="false" ht="15" hidden="false" customHeight="true" outlineLevel="0" collapsed="false">
      <c r="A216" s="30" t="s">
        <v>124</v>
      </c>
      <c r="B216" s="76"/>
      <c r="C216" s="76"/>
      <c r="D216" s="76"/>
      <c r="E216" s="76"/>
      <c r="F216" s="76"/>
      <c r="G216" s="76"/>
      <c r="H216" s="76"/>
      <c r="I216" s="76"/>
      <c r="J216" s="76"/>
      <c r="K216" s="76"/>
      <c r="L216" s="76"/>
      <c r="M216" s="74" t="n">
        <v>31</v>
      </c>
      <c r="N216" s="74" t="n">
        <v>24</v>
      </c>
      <c r="O216" s="74" t="n">
        <v>26</v>
      </c>
      <c r="P216" s="74" t="n">
        <v>25</v>
      </c>
      <c r="Q216" s="74" t="n">
        <v>24</v>
      </c>
      <c r="R216" s="74" t="n">
        <v>7</v>
      </c>
      <c r="S216" s="74" t="n">
        <v>1</v>
      </c>
      <c r="T216" s="74" t="n">
        <v>3</v>
      </c>
      <c r="U216" s="74" t="n">
        <v>1</v>
      </c>
      <c r="V216" s="81" t="n">
        <v>1</v>
      </c>
      <c r="W216" s="81" t="n">
        <v>0</v>
      </c>
      <c r="X216" s="81" t="n">
        <v>0</v>
      </c>
      <c r="Y216" s="81" t="n">
        <v>0</v>
      </c>
      <c r="Z216" s="81" t="n">
        <v>0</v>
      </c>
      <c r="AA216" s="81" t="n">
        <v>0</v>
      </c>
    </row>
    <row r="217" customFormat="false" ht="15" hidden="false" customHeight="true" outlineLevel="0" collapsed="false">
      <c r="A217" s="30" t="s">
        <v>125</v>
      </c>
      <c r="B217" s="76"/>
      <c r="C217" s="76"/>
      <c r="D217" s="76"/>
      <c r="E217" s="76"/>
      <c r="F217" s="76"/>
      <c r="G217" s="76"/>
      <c r="H217" s="76"/>
      <c r="I217" s="76"/>
      <c r="J217" s="76"/>
      <c r="K217" s="76"/>
      <c r="L217" s="76"/>
      <c r="M217" s="76"/>
      <c r="N217" s="74" t="n">
        <v>14</v>
      </c>
      <c r="O217" s="74" t="n">
        <v>10</v>
      </c>
      <c r="P217" s="74" t="n">
        <v>11</v>
      </c>
      <c r="Q217" s="74" t="n">
        <v>10</v>
      </c>
      <c r="R217" s="74" t="n">
        <v>11</v>
      </c>
      <c r="S217" s="74" t="n">
        <v>1</v>
      </c>
      <c r="T217" s="74" t="n">
        <v>0</v>
      </c>
      <c r="U217" s="74" t="n">
        <v>1</v>
      </c>
      <c r="V217" s="81" t="n">
        <v>1</v>
      </c>
      <c r="W217" s="81" t="n">
        <v>0</v>
      </c>
      <c r="X217" s="81" t="n">
        <v>0</v>
      </c>
      <c r="Y217" s="81" t="n">
        <v>0</v>
      </c>
      <c r="Z217" s="81" t="n">
        <v>0</v>
      </c>
      <c r="AA217" s="81" t="n">
        <v>0</v>
      </c>
    </row>
    <row r="218" customFormat="false" ht="15" hidden="false" customHeight="true" outlineLevel="0" collapsed="false">
      <c r="A218" s="30" t="s">
        <v>126</v>
      </c>
      <c r="B218" s="76"/>
      <c r="C218" s="76"/>
      <c r="D218" s="76"/>
      <c r="E218" s="76"/>
      <c r="F218" s="76"/>
      <c r="G218" s="76"/>
      <c r="H218" s="76"/>
      <c r="I218" s="76"/>
      <c r="J218" s="76"/>
      <c r="K218" s="76"/>
      <c r="L218" s="76"/>
      <c r="M218" s="76"/>
      <c r="N218" s="76"/>
      <c r="O218" s="74" t="n">
        <v>26</v>
      </c>
      <c r="P218" s="74" t="n">
        <v>23</v>
      </c>
      <c r="Q218" s="74" t="n">
        <v>21</v>
      </c>
      <c r="R218" s="74" t="n">
        <v>20</v>
      </c>
      <c r="S218" s="74" t="n">
        <v>20</v>
      </c>
      <c r="T218" s="74" t="n">
        <v>1</v>
      </c>
      <c r="U218" s="74" t="n">
        <v>2</v>
      </c>
      <c r="V218" s="81" t="n">
        <v>2</v>
      </c>
      <c r="W218" s="81" t="n">
        <v>1</v>
      </c>
      <c r="X218" s="81" t="n">
        <v>1</v>
      </c>
      <c r="Y218" s="81" t="n">
        <v>0</v>
      </c>
      <c r="Z218" s="81" t="n">
        <v>0</v>
      </c>
      <c r="AA218" s="81" t="n">
        <v>0</v>
      </c>
    </row>
    <row r="219" customFormat="false" ht="15" hidden="false" customHeight="true" outlineLevel="0" collapsed="false">
      <c r="A219" s="30" t="s">
        <v>127</v>
      </c>
      <c r="B219" s="76"/>
      <c r="C219" s="76"/>
      <c r="D219" s="76"/>
      <c r="E219" s="76"/>
      <c r="F219" s="76"/>
      <c r="G219" s="76"/>
      <c r="H219" s="76"/>
      <c r="I219" s="76"/>
      <c r="J219" s="76"/>
      <c r="K219" s="76"/>
      <c r="L219" s="76"/>
      <c r="M219" s="76"/>
      <c r="N219" s="76"/>
      <c r="O219" s="76"/>
      <c r="P219" s="74" t="n">
        <v>25</v>
      </c>
      <c r="Q219" s="74" t="n">
        <v>20</v>
      </c>
      <c r="R219" s="74" t="n">
        <v>20</v>
      </c>
      <c r="S219" s="74" t="n">
        <v>19</v>
      </c>
      <c r="T219" s="74" t="n">
        <v>19</v>
      </c>
      <c r="U219" s="74" t="n">
        <v>4</v>
      </c>
      <c r="V219" s="81" t="n">
        <v>2</v>
      </c>
      <c r="W219" s="81" t="n">
        <v>2</v>
      </c>
      <c r="X219" s="81" t="n">
        <v>1</v>
      </c>
      <c r="Y219" s="81" t="n">
        <v>1</v>
      </c>
      <c r="Z219" s="81" t="n">
        <v>0</v>
      </c>
      <c r="AA219" s="81" t="n">
        <v>0</v>
      </c>
    </row>
    <row r="220" customFormat="false" ht="15" hidden="false" customHeight="true" outlineLevel="0" collapsed="false">
      <c r="A220" s="30" t="s">
        <v>128</v>
      </c>
      <c r="B220" s="76"/>
      <c r="C220" s="76"/>
      <c r="D220" s="76"/>
      <c r="E220" s="76"/>
      <c r="F220" s="76"/>
      <c r="G220" s="76"/>
      <c r="H220" s="76"/>
      <c r="I220" s="76"/>
      <c r="J220" s="76"/>
      <c r="K220" s="76"/>
      <c r="L220" s="76"/>
      <c r="M220" s="76"/>
      <c r="N220" s="76"/>
      <c r="O220" s="76"/>
      <c r="P220" s="76"/>
      <c r="Q220" s="74" t="n">
        <v>17</v>
      </c>
      <c r="R220" s="74" t="n">
        <v>14</v>
      </c>
      <c r="S220" s="74" t="n">
        <v>12</v>
      </c>
      <c r="T220" s="74" t="n">
        <v>13</v>
      </c>
      <c r="U220" s="74" t="n">
        <v>13</v>
      </c>
      <c r="V220" s="81" t="n">
        <v>2</v>
      </c>
      <c r="W220" s="81" t="n">
        <v>1</v>
      </c>
      <c r="X220" s="81" t="n">
        <v>1</v>
      </c>
      <c r="Y220" s="81" t="n">
        <v>1</v>
      </c>
      <c r="Z220" s="81" t="n">
        <v>0</v>
      </c>
      <c r="AA220" s="81" t="n">
        <v>0</v>
      </c>
    </row>
    <row r="221" customFormat="false" ht="15" hidden="false" customHeight="true" outlineLevel="0" collapsed="false">
      <c r="A221" s="30" t="s">
        <v>129</v>
      </c>
      <c r="B221" s="76"/>
      <c r="C221" s="76"/>
      <c r="D221" s="76"/>
      <c r="E221" s="76"/>
      <c r="F221" s="76"/>
      <c r="G221" s="76"/>
      <c r="H221" s="76"/>
      <c r="I221" s="76"/>
      <c r="J221" s="76"/>
      <c r="K221" s="76"/>
      <c r="L221" s="76"/>
      <c r="M221" s="76"/>
      <c r="N221" s="76"/>
      <c r="O221" s="76"/>
      <c r="P221" s="76"/>
      <c r="Q221" s="76"/>
      <c r="R221" s="74" t="n">
        <v>21</v>
      </c>
      <c r="S221" s="74" t="n">
        <v>19</v>
      </c>
      <c r="T221" s="74" t="n">
        <v>16</v>
      </c>
      <c r="U221" s="74" t="n">
        <v>17</v>
      </c>
      <c r="V221" s="81" t="n">
        <v>17</v>
      </c>
      <c r="W221" s="81" t="n">
        <v>3</v>
      </c>
      <c r="X221" s="81" t="n">
        <v>1</v>
      </c>
      <c r="Y221" s="81" t="n">
        <v>1</v>
      </c>
      <c r="Z221" s="81" t="n">
        <v>1</v>
      </c>
      <c r="AA221" s="81" t="n">
        <v>0</v>
      </c>
    </row>
    <row r="222" customFormat="false" ht="15" hidden="false" customHeight="true" outlineLevel="0" collapsed="false">
      <c r="A222" s="30" t="s">
        <v>130</v>
      </c>
      <c r="B222" s="76"/>
      <c r="C222" s="76"/>
      <c r="D222" s="76"/>
      <c r="E222" s="76"/>
      <c r="F222" s="76"/>
      <c r="G222" s="76"/>
      <c r="H222" s="76"/>
      <c r="I222" s="76"/>
      <c r="J222" s="76"/>
      <c r="K222" s="76"/>
      <c r="L222" s="76"/>
      <c r="M222" s="76"/>
      <c r="N222" s="76"/>
      <c r="O222" s="76"/>
      <c r="P222" s="76"/>
      <c r="Q222" s="76"/>
      <c r="R222" s="76"/>
      <c r="S222" s="74" t="n">
        <v>16</v>
      </c>
      <c r="T222" s="74" t="n">
        <v>13</v>
      </c>
      <c r="U222" s="74" t="n">
        <v>15</v>
      </c>
      <c r="V222" s="81" t="n">
        <v>15</v>
      </c>
      <c r="W222" s="81" t="n">
        <v>15</v>
      </c>
      <c r="X222" s="81" t="n">
        <v>3</v>
      </c>
      <c r="Y222" s="81" t="n">
        <v>1</v>
      </c>
      <c r="Z222" s="81" t="n">
        <v>1</v>
      </c>
      <c r="AA222" s="81" t="n">
        <v>1</v>
      </c>
    </row>
    <row r="223" customFormat="false" ht="15" hidden="false" customHeight="true" outlineLevel="0" collapsed="false">
      <c r="A223" s="30" t="s">
        <v>131</v>
      </c>
      <c r="B223" s="76"/>
      <c r="C223" s="76"/>
      <c r="D223" s="76"/>
      <c r="E223" s="76"/>
      <c r="F223" s="76"/>
      <c r="G223" s="76"/>
      <c r="H223" s="76"/>
      <c r="I223" s="76"/>
      <c r="J223" s="76"/>
      <c r="K223" s="76"/>
      <c r="L223" s="76"/>
      <c r="M223" s="76"/>
      <c r="N223" s="76"/>
      <c r="O223" s="76"/>
      <c r="P223" s="76"/>
      <c r="Q223" s="76"/>
      <c r="R223" s="76"/>
      <c r="S223" s="76"/>
      <c r="T223" s="74" t="n">
        <v>10</v>
      </c>
      <c r="U223" s="74" t="n">
        <v>10</v>
      </c>
      <c r="V223" s="81" t="n">
        <v>10</v>
      </c>
      <c r="W223" s="81" t="n">
        <v>9</v>
      </c>
      <c r="X223" s="81" t="n">
        <v>9</v>
      </c>
      <c r="Y223" s="81" t="n">
        <v>2</v>
      </c>
      <c r="Z223" s="81" t="n">
        <v>1</v>
      </c>
      <c r="AA223" s="81" t="n">
        <v>1</v>
      </c>
    </row>
    <row r="224" customFormat="false" ht="15" hidden="false" customHeight="true" outlineLevel="0" collapsed="false">
      <c r="A224" s="30" t="s">
        <v>132</v>
      </c>
      <c r="B224" s="76"/>
      <c r="C224" s="76"/>
      <c r="D224" s="76"/>
      <c r="E224" s="76"/>
      <c r="F224" s="76"/>
      <c r="G224" s="76"/>
      <c r="H224" s="76"/>
      <c r="I224" s="76"/>
      <c r="J224" s="76"/>
      <c r="K224" s="76"/>
      <c r="L224" s="76"/>
      <c r="M224" s="76"/>
      <c r="N224" s="76"/>
      <c r="O224" s="76"/>
      <c r="P224" s="76"/>
      <c r="Q224" s="76"/>
      <c r="R224" s="76"/>
      <c r="S224" s="76"/>
      <c r="T224" s="76"/>
      <c r="U224" s="74" t="n">
        <v>13</v>
      </c>
      <c r="V224" s="81" t="n">
        <v>11</v>
      </c>
      <c r="W224" s="81" t="n">
        <v>11</v>
      </c>
      <c r="X224" s="81" t="n">
        <v>11</v>
      </c>
      <c r="Y224" s="81" t="n">
        <v>10</v>
      </c>
      <c r="Z224" s="81" t="n">
        <v>2</v>
      </c>
      <c r="AA224" s="81" t="n">
        <v>1</v>
      </c>
    </row>
    <row r="225" customFormat="false" ht="15" hidden="false" customHeight="true" outlineLevel="0" collapsed="false">
      <c r="A225" s="82" t="s">
        <v>524</v>
      </c>
      <c r="B225" s="76"/>
      <c r="C225" s="76"/>
      <c r="D225" s="76"/>
      <c r="E225" s="76"/>
      <c r="F225" s="76"/>
      <c r="G225" s="76"/>
      <c r="H225" s="76"/>
      <c r="I225" s="76"/>
      <c r="J225" s="76"/>
      <c r="K225" s="76"/>
      <c r="L225" s="76"/>
      <c r="M225" s="76"/>
      <c r="N225" s="76"/>
      <c r="O225" s="76"/>
      <c r="P225" s="76"/>
      <c r="Q225" s="76"/>
      <c r="R225" s="76"/>
      <c r="S225" s="76"/>
      <c r="T225" s="76"/>
      <c r="U225" s="76"/>
      <c r="V225" s="81" t="n">
        <v>13</v>
      </c>
      <c r="W225" s="81" t="n">
        <v>11</v>
      </c>
      <c r="X225" s="81" t="n">
        <v>11</v>
      </c>
      <c r="Y225" s="81" t="n">
        <v>11</v>
      </c>
      <c r="Z225" s="81" t="n">
        <v>10</v>
      </c>
      <c r="AA225" s="81" t="n">
        <v>2</v>
      </c>
    </row>
    <row r="226" customFormat="false" ht="15" hidden="false" customHeight="true" outlineLevel="0" collapsed="false">
      <c r="A226" s="82" t="s">
        <v>525</v>
      </c>
      <c r="B226" s="76"/>
      <c r="C226" s="76"/>
      <c r="D226" s="76"/>
      <c r="E226" s="76"/>
      <c r="F226" s="76"/>
      <c r="G226" s="76"/>
      <c r="H226" s="76"/>
      <c r="I226" s="76"/>
      <c r="J226" s="76"/>
      <c r="K226" s="76"/>
      <c r="L226" s="76"/>
      <c r="M226" s="76"/>
      <c r="N226" s="76"/>
      <c r="O226" s="76"/>
      <c r="P226" s="76"/>
      <c r="Q226" s="76"/>
      <c r="R226" s="76"/>
      <c r="S226" s="76"/>
      <c r="T226" s="76"/>
      <c r="U226" s="76"/>
      <c r="V226" s="76"/>
      <c r="W226" s="81" t="n">
        <v>13</v>
      </c>
      <c r="X226" s="81" t="n">
        <v>11</v>
      </c>
      <c r="Y226" s="81" t="n">
        <v>11</v>
      </c>
      <c r="Z226" s="81" t="n">
        <v>11</v>
      </c>
      <c r="AA226" s="81" t="n">
        <v>10</v>
      </c>
    </row>
    <row r="227" customFormat="false" ht="15" hidden="false" customHeight="true" outlineLevel="0" collapsed="false">
      <c r="A227" s="82" t="s">
        <v>526</v>
      </c>
      <c r="B227" s="76"/>
      <c r="C227" s="76"/>
      <c r="D227" s="76"/>
      <c r="E227" s="76"/>
      <c r="F227" s="76"/>
      <c r="G227" s="76"/>
      <c r="H227" s="76"/>
      <c r="I227" s="76"/>
      <c r="J227" s="76"/>
      <c r="K227" s="76"/>
      <c r="L227" s="76"/>
      <c r="M227" s="76"/>
      <c r="N227" s="76"/>
      <c r="O227" s="76"/>
      <c r="P227" s="76"/>
      <c r="Q227" s="76"/>
      <c r="R227" s="76"/>
      <c r="S227" s="76"/>
      <c r="T227" s="76"/>
      <c r="U227" s="76"/>
      <c r="V227" s="76"/>
      <c r="W227" s="76"/>
      <c r="X227" s="81" t="n">
        <v>13</v>
      </c>
      <c r="Y227" s="81" t="n">
        <v>11</v>
      </c>
      <c r="Z227" s="81" t="n">
        <v>11</v>
      </c>
      <c r="AA227" s="81" t="n">
        <v>11</v>
      </c>
    </row>
    <row r="228" customFormat="false" ht="15" hidden="false" customHeight="true" outlineLevel="0" collapsed="false">
      <c r="A228" s="82" t="s">
        <v>527</v>
      </c>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81" t="n">
        <v>13</v>
      </c>
      <c r="Z228" s="81" t="n">
        <v>11</v>
      </c>
      <c r="AA228" s="81" t="n">
        <v>11</v>
      </c>
    </row>
    <row r="229" customFormat="false" ht="15" hidden="false" customHeight="true" outlineLevel="0" collapsed="false">
      <c r="A229" s="82" t="s">
        <v>528</v>
      </c>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81" t="n">
        <v>13</v>
      </c>
      <c r="AA229" s="81" t="n">
        <v>11</v>
      </c>
    </row>
    <row r="230" customFormat="false" ht="15" hidden="false" customHeight="true" outlineLevel="0" collapsed="false">
      <c r="A230" s="82" t="s">
        <v>529</v>
      </c>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81" t="n">
        <v>13</v>
      </c>
    </row>
    <row r="231" customFormat="false" ht="15" hidden="false" customHeight="true" outlineLevel="0" collapsed="false">
      <c r="A231" s="34" t="s">
        <v>514</v>
      </c>
      <c r="B231" s="79"/>
      <c r="C231" s="79"/>
      <c r="D231" s="79" t="n">
        <v>30</v>
      </c>
      <c r="E231" s="79" t="n">
        <v>60</v>
      </c>
      <c r="F231" s="79" t="n">
        <v>89</v>
      </c>
      <c r="G231" s="79" t="n">
        <v>118</v>
      </c>
      <c r="H231" s="79" t="n">
        <v>109</v>
      </c>
      <c r="I231" s="79" t="n">
        <v>115</v>
      </c>
      <c r="J231" s="79" t="n">
        <v>111</v>
      </c>
      <c r="K231" s="79" t="n">
        <v>91</v>
      </c>
      <c r="L231" s="79" t="n">
        <v>99</v>
      </c>
      <c r="M231" s="79" t="n">
        <v>116</v>
      </c>
      <c r="N231" s="79" t="n">
        <v>89</v>
      </c>
      <c r="O231" s="79" t="n">
        <v>102</v>
      </c>
      <c r="P231" s="79" t="n">
        <v>107</v>
      </c>
      <c r="Q231" s="79" t="n">
        <v>101</v>
      </c>
      <c r="R231" s="79" t="n">
        <v>98</v>
      </c>
      <c r="S231" s="79" t="n">
        <v>92</v>
      </c>
      <c r="T231" s="79" t="n">
        <v>80</v>
      </c>
      <c r="U231" s="79" t="n">
        <v>80</v>
      </c>
      <c r="V231" s="79" t="n">
        <v>76</v>
      </c>
      <c r="W231" s="79" t="n">
        <v>69</v>
      </c>
      <c r="X231" s="79" t="n">
        <v>64</v>
      </c>
      <c r="Y231" s="79" t="n">
        <v>64</v>
      </c>
      <c r="Z231" s="79" t="n">
        <v>64</v>
      </c>
      <c r="AA231" s="79" t="n">
        <v>64</v>
      </c>
    </row>
    <row r="233" customFormat="false" ht="19.5" hidden="false" customHeight="true" outlineLevel="0" collapsed="false">
      <c r="A233" s="65" t="s">
        <v>413</v>
      </c>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row>
    <row r="234" customFormat="false" ht="15" hidden="false" customHeight="true" outlineLevel="0" collapsed="false">
      <c r="A234" s="80" t="s">
        <v>535</v>
      </c>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row>
    <row r="235" customFormat="false" ht="15" hidden="false" customHeight="true" outlineLevel="0" collapsed="false">
      <c r="A235" s="12" t="s">
        <v>513</v>
      </c>
      <c r="B235" s="12" t="s">
        <v>113</v>
      </c>
      <c r="C235" s="12" t="s">
        <v>114</v>
      </c>
      <c r="D235" s="12" t="s">
        <v>115</v>
      </c>
      <c r="E235" s="12" t="s">
        <v>116</v>
      </c>
      <c r="F235" s="12" t="s">
        <v>117</v>
      </c>
      <c r="G235" s="12" t="s">
        <v>118</v>
      </c>
      <c r="H235" s="12" t="s">
        <v>119</v>
      </c>
      <c r="I235" s="12" t="s">
        <v>120</v>
      </c>
      <c r="J235" s="12" t="s">
        <v>121</v>
      </c>
      <c r="K235" s="12" t="s">
        <v>122</v>
      </c>
      <c r="L235" s="12" t="s">
        <v>123</v>
      </c>
      <c r="M235" s="12" t="s">
        <v>124</v>
      </c>
      <c r="N235" s="12" t="s">
        <v>125</v>
      </c>
      <c r="O235" s="12" t="s">
        <v>126</v>
      </c>
      <c r="P235" s="12" t="s">
        <v>127</v>
      </c>
      <c r="Q235" s="12" t="s">
        <v>128</v>
      </c>
      <c r="R235" s="12" t="s">
        <v>129</v>
      </c>
      <c r="S235" s="12" t="s">
        <v>130</v>
      </c>
      <c r="T235" s="12" t="s">
        <v>131</v>
      </c>
      <c r="U235" s="12" t="s">
        <v>132</v>
      </c>
      <c r="V235" s="12" t="s">
        <v>518</v>
      </c>
      <c r="W235" s="12" t="s">
        <v>519</v>
      </c>
      <c r="X235" s="12" t="s">
        <v>520</v>
      </c>
      <c r="Y235" s="12" t="s">
        <v>521</v>
      </c>
      <c r="Z235" s="12" t="s">
        <v>522</v>
      </c>
      <c r="AA235" s="12" t="s">
        <v>523</v>
      </c>
    </row>
    <row r="236" customFormat="false" ht="15" hidden="false" customHeight="true" outlineLevel="0" collapsed="false">
      <c r="A236" s="30" t="s">
        <v>117</v>
      </c>
      <c r="B236" s="76"/>
      <c r="C236" s="76"/>
      <c r="D236" s="76"/>
      <c r="E236" s="76"/>
      <c r="F236" s="74" t="n">
        <v>30</v>
      </c>
      <c r="G236" s="74" t="n">
        <v>23</v>
      </c>
      <c r="H236" s="74" t="n">
        <v>18</v>
      </c>
      <c r="I236" s="74" t="n">
        <v>17</v>
      </c>
      <c r="J236" s="74" t="n">
        <v>18</v>
      </c>
      <c r="K236" s="74" t="n">
        <v>16</v>
      </c>
      <c r="L236" s="74" t="n">
        <v>15</v>
      </c>
      <c r="M236" s="74" t="n">
        <v>15</v>
      </c>
      <c r="N236" s="74" t="n">
        <v>6</v>
      </c>
      <c r="O236" s="74" t="n">
        <v>2</v>
      </c>
      <c r="P236" s="74" t="n">
        <v>2</v>
      </c>
      <c r="Q236" s="74" t="n">
        <v>0</v>
      </c>
      <c r="R236" s="74" t="n">
        <v>0</v>
      </c>
      <c r="S236" s="74" t="n">
        <v>0</v>
      </c>
      <c r="T236" s="74" t="n">
        <v>0</v>
      </c>
      <c r="U236" s="74" t="n">
        <v>0</v>
      </c>
      <c r="V236" s="81" t="n">
        <v>0</v>
      </c>
      <c r="W236" s="81" t="n">
        <v>0</v>
      </c>
      <c r="X236" s="81" t="n">
        <v>0</v>
      </c>
      <c r="Y236" s="81" t="n">
        <v>0</v>
      </c>
      <c r="Z236" s="81" t="n">
        <v>0</v>
      </c>
      <c r="AA236" s="81" t="n">
        <v>0</v>
      </c>
    </row>
    <row r="237" customFormat="false" ht="15" hidden="false" customHeight="true" outlineLevel="0" collapsed="false">
      <c r="A237" s="30" t="s">
        <v>118</v>
      </c>
      <c r="B237" s="76"/>
      <c r="C237" s="76"/>
      <c r="D237" s="76"/>
      <c r="E237" s="76"/>
      <c r="F237" s="76"/>
      <c r="G237" s="74" t="n">
        <v>48</v>
      </c>
      <c r="H237" s="74" t="n">
        <v>39</v>
      </c>
      <c r="I237" s="74" t="n">
        <v>39</v>
      </c>
      <c r="J237" s="74" t="n">
        <v>36</v>
      </c>
      <c r="K237" s="74" t="n">
        <v>31</v>
      </c>
      <c r="L237" s="74" t="n">
        <v>36</v>
      </c>
      <c r="M237" s="74" t="n">
        <v>34</v>
      </c>
      <c r="N237" s="74" t="n">
        <v>33</v>
      </c>
      <c r="O237" s="74" t="n">
        <v>9</v>
      </c>
      <c r="P237" s="74" t="n">
        <v>4</v>
      </c>
      <c r="Q237" s="74" t="n">
        <v>1</v>
      </c>
      <c r="R237" s="74" t="n">
        <v>0</v>
      </c>
      <c r="S237" s="74" t="n">
        <v>0</v>
      </c>
      <c r="T237" s="74" t="n">
        <v>0</v>
      </c>
      <c r="U237" s="74" t="n">
        <v>0</v>
      </c>
      <c r="V237" s="81" t="n">
        <v>0</v>
      </c>
      <c r="W237" s="81" t="n">
        <v>0</v>
      </c>
      <c r="X237" s="81" t="n">
        <v>0</v>
      </c>
      <c r="Y237" s="81" t="n">
        <v>0</v>
      </c>
      <c r="Z237" s="81" t="n">
        <v>0</v>
      </c>
      <c r="AA237" s="81" t="n">
        <v>0</v>
      </c>
    </row>
    <row r="238" customFormat="false" ht="15" hidden="false" customHeight="true" outlineLevel="0" collapsed="false">
      <c r="A238" s="30" t="s">
        <v>119</v>
      </c>
      <c r="B238" s="76"/>
      <c r="C238" s="76"/>
      <c r="D238" s="76"/>
      <c r="E238" s="76"/>
      <c r="F238" s="76"/>
      <c r="G238" s="76"/>
      <c r="H238" s="74" t="n">
        <v>25</v>
      </c>
      <c r="I238" s="74" t="n">
        <v>19</v>
      </c>
      <c r="J238" s="74" t="n">
        <v>17</v>
      </c>
      <c r="K238" s="74" t="n">
        <v>13</v>
      </c>
      <c r="L238" s="74" t="n">
        <v>15</v>
      </c>
      <c r="M238" s="74" t="n">
        <v>13</v>
      </c>
      <c r="N238" s="74" t="n">
        <v>11</v>
      </c>
      <c r="O238" s="74" t="n">
        <v>12</v>
      </c>
      <c r="P238" s="74" t="n">
        <v>3</v>
      </c>
      <c r="Q238" s="74" t="n">
        <v>2</v>
      </c>
      <c r="R238" s="74" t="n">
        <v>0</v>
      </c>
      <c r="S238" s="74" t="n">
        <v>0</v>
      </c>
      <c r="T238" s="74" t="n">
        <v>0</v>
      </c>
      <c r="U238" s="74" t="n">
        <v>0</v>
      </c>
      <c r="V238" s="81" t="n">
        <v>0</v>
      </c>
      <c r="W238" s="81" t="n">
        <v>0</v>
      </c>
      <c r="X238" s="81" t="n">
        <v>0</v>
      </c>
      <c r="Y238" s="81" t="n">
        <v>0</v>
      </c>
      <c r="Z238" s="81" t="n">
        <v>0</v>
      </c>
      <c r="AA238" s="81" t="n">
        <v>0</v>
      </c>
    </row>
    <row r="239" customFormat="false" ht="15" hidden="false" customHeight="true" outlineLevel="0" collapsed="false">
      <c r="A239" s="30" t="s">
        <v>120</v>
      </c>
      <c r="B239" s="76"/>
      <c r="C239" s="76"/>
      <c r="D239" s="76"/>
      <c r="E239" s="76"/>
      <c r="F239" s="76"/>
      <c r="G239" s="76"/>
      <c r="H239" s="76"/>
      <c r="I239" s="74" t="n">
        <v>46</v>
      </c>
      <c r="J239" s="74" t="n">
        <v>40</v>
      </c>
      <c r="K239" s="74" t="n">
        <v>35</v>
      </c>
      <c r="L239" s="74" t="n">
        <v>34</v>
      </c>
      <c r="M239" s="74" t="n">
        <v>34</v>
      </c>
      <c r="N239" s="74" t="n">
        <v>29</v>
      </c>
      <c r="O239" s="74" t="n">
        <v>29</v>
      </c>
      <c r="P239" s="74" t="n">
        <v>30</v>
      </c>
      <c r="Q239" s="74" t="n">
        <v>8</v>
      </c>
      <c r="R239" s="74" t="n">
        <v>6</v>
      </c>
      <c r="S239" s="74" t="n">
        <v>2</v>
      </c>
      <c r="T239" s="74" t="n">
        <v>0</v>
      </c>
      <c r="U239" s="74" t="n">
        <v>0</v>
      </c>
      <c r="V239" s="81" t="n">
        <v>0</v>
      </c>
      <c r="W239" s="81" t="n">
        <v>0</v>
      </c>
      <c r="X239" s="81" t="n">
        <v>0</v>
      </c>
      <c r="Y239" s="81" t="n">
        <v>0</v>
      </c>
      <c r="Z239" s="81" t="n">
        <v>0</v>
      </c>
      <c r="AA239" s="81" t="n">
        <v>0</v>
      </c>
    </row>
    <row r="240" customFormat="false" ht="15" hidden="false" customHeight="true" outlineLevel="0" collapsed="false">
      <c r="A240" s="30" t="s">
        <v>121</v>
      </c>
      <c r="B240" s="76"/>
      <c r="C240" s="76"/>
      <c r="D240" s="76"/>
      <c r="E240" s="76"/>
      <c r="F240" s="76"/>
      <c r="G240" s="76"/>
      <c r="H240" s="76"/>
      <c r="I240" s="76"/>
      <c r="J240" s="74" t="n">
        <v>20</v>
      </c>
      <c r="K240" s="74" t="n">
        <v>18</v>
      </c>
      <c r="L240" s="74" t="n">
        <v>18</v>
      </c>
      <c r="M240" s="74" t="n">
        <v>17</v>
      </c>
      <c r="N240" s="74" t="n">
        <v>17</v>
      </c>
      <c r="O240" s="74" t="n">
        <v>16</v>
      </c>
      <c r="P240" s="74" t="n">
        <v>15</v>
      </c>
      <c r="Q240" s="74" t="n">
        <v>14</v>
      </c>
      <c r="R240" s="74" t="n">
        <v>2</v>
      </c>
      <c r="S240" s="74" t="n">
        <v>3</v>
      </c>
      <c r="T240" s="74" t="n">
        <v>0</v>
      </c>
      <c r="U240" s="74" t="n">
        <v>1</v>
      </c>
      <c r="V240" s="81" t="n">
        <v>0</v>
      </c>
      <c r="W240" s="81" t="n">
        <v>0</v>
      </c>
      <c r="X240" s="81" t="n">
        <v>0</v>
      </c>
      <c r="Y240" s="81" t="n">
        <v>0</v>
      </c>
      <c r="Z240" s="81" t="n">
        <v>0</v>
      </c>
      <c r="AA240" s="81" t="n">
        <v>0</v>
      </c>
    </row>
    <row r="241" customFormat="false" ht="15" hidden="false" customHeight="true" outlineLevel="0" collapsed="false">
      <c r="A241" s="30" t="s">
        <v>122</v>
      </c>
      <c r="B241" s="76"/>
      <c r="C241" s="76"/>
      <c r="D241" s="76"/>
      <c r="E241" s="76"/>
      <c r="F241" s="76"/>
      <c r="G241" s="76"/>
      <c r="H241" s="76"/>
      <c r="I241" s="76"/>
      <c r="J241" s="76"/>
      <c r="K241" s="74" t="n">
        <v>23</v>
      </c>
      <c r="L241" s="74" t="n">
        <v>21</v>
      </c>
      <c r="M241" s="74" t="n">
        <v>20</v>
      </c>
      <c r="N241" s="74" t="n">
        <v>20</v>
      </c>
      <c r="O241" s="74" t="n">
        <v>19</v>
      </c>
      <c r="P241" s="74" t="n">
        <v>19</v>
      </c>
      <c r="Q241" s="74" t="n">
        <v>18</v>
      </c>
      <c r="R241" s="74" t="n">
        <v>20</v>
      </c>
      <c r="S241" s="74" t="n">
        <v>3</v>
      </c>
      <c r="T241" s="74" t="n">
        <v>2</v>
      </c>
      <c r="U241" s="74" t="n">
        <v>2</v>
      </c>
      <c r="V241" s="81" t="n">
        <v>0</v>
      </c>
      <c r="W241" s="81" t="n">
        <v>0</v>
      </c>
      <c r="X241" s="81" t="n">
        <v>0</v>
      </c>
      <c r="Y241" s="81" t="n">
        <v>0</v>
      </c>
      <c r="Z241" s="81" t="n">
        <v>0</v>
      </c>
      <c r="AA241" s="81" t="n">
        <v>0</v>
      </c>
    </row>
    <row r="242" customFormat="false" ht="15" hidden="false" customHeight="true" outlineLevel="0" collapsed="false">
      <c r="A242" s="30" t="s">
        <v>123</v>
      </c>
      <c r="B242" s="76"/>
      <c r="C242" s="76"/>
      <c r="D242" s="76"/>
      <c r="E242" s="76"/>
      <c r="F242" s="76"/>
      <c r="G242" s="76"/>
      <c r="H242" s="76"/>
      <c r="I242" s="76"/>
      <c r="J242" s="76"/>
      <c r="K242" s="76"/>
      <c r="L242" s="74" t="n">
        <v>30</v>
      </c>
      <c r="M242" s="74" t="n">
        <v>25</v>
      </c>
      <c r="N242" s="74" t="n">
        <v>26</v>
      </c>
      <c r="O242" s="74" t="n">
        <v>25</v>
      </c>
      <c r="P242" s="74" t="n">
        <v>25</v>
      </c>
      <c r="Q242" s="74" t="n">
        <v>23</v>
      </c>
      <c r="R242" s="74" t="n">
        <v>24</v>
      </c>
      <c r="S242" s="74" t="n">
        <v>24</v>
      </c>
      <c r="T242" s="74" t="n">
        <v>2</v>
      </c>
      <c r="U242" s="74" t="n">
        <v>0</v>
      </c>
      <c r="V242" s="81" t="n">
        <v>0</v>
      </c>
      <c r="W242" s="81" t="n">
        <v>0</v>
      </c>
      <c r="X242" s="81" t="n">
        <v>0</v>
      </c>
      <c r="Y242" s="81" t="n">
        <v>0</v>
      </c>
      <c r="Z242" s="81" t="n">
        <v>0</v>
      </c>
      <c r="AA242" s="81" t="n">
        <v>0</v>
      </c>
    </row>
    <row r="243" customFormat="false" ht="15" hidden="false" customHeight="true" outlineLevel="0" collapsed="false">
      <c r="A243" s="30" t="s">
        <v>124</v>
      </c>
      <c r="B243" s="76"/>
      <c r="C243" s="76"/>
      <c r="D243" s="76"/>
      <c r="E243" s="76"/>
      <c r="F243" s="76"/>
      <c r="G243" s="76"/>
      <c r="H243" s="76"/>
      <c r="I243" s="76"/>
      <c r="J243" s="76"/>
      <c r="K243" s="76"/>
      <c r="L243" s="76"/>
      <c r="M243" s="74" t="n">
        <v>18</v>
      </c>
      <c r="N243" s="74" t="n">
        <v>16</v>
      </c>
      <c r="O243" s="74" t="n">
        <v>16</v>
      </c>
      <c r="P243" s="74" t="n">
        <v>17</v>
      </c>
      <c r="Q243" s="74" t="n">
        <v>16</v>
      </c>
      <c r="R243" s="74" t="n">
        <v>12</v>
      </c>
      <c r="S243" s="74" t="n">
        <v>12</v>
      </c>
      <c r="T243" s="74" t="n">
        <v>13</v>
      </c>
      <c r="U243" s="74" t="n">
        <v>2</v>
      </c>
      <c r="V243" s="81" t="n">
        <v>1</v>
      </c>
      <c r="W243" s="81" t="n">
        <v>0</v>
      </c>
      <c r="X243" s="81" t="n">
        <v>0</v>
      </c>
      <c r="Y243" s="81" t="n">
        <v>0</v>
      </c>
      <c r="Z243" s="81" t="n">
        <v>0</v>
      </c>
      <c r="AA243" s="81" t="n">
        <v>0</v>
      </c>
    </row>
    <row r="244" customFormat="false" ht="15" hidden="false" customHeight="true" outlineLevel="0" collapsed="false">
      <c r="A244" s="30" t="s">
        <v>125</v>
      </c>
      <c r="B244" s="76"/>
      <c r="C244" s="76"/>
      <c r="D244" s="76"/>
      <c r="E244" s="76"/>
      <c r="F244" s="76"/>
      <c r="G244" s="76"/>
      <c r="H244" s="76"/>
      <c r="I244" s="76"/>
      <c r="J244" s="76"/>
      <c r="K244" s="76"/>
      <c r="L244" s="76"/>
      <c r="M244" s="76"/>
      <c r="N244" s="74" t="n">
        <v>18</v>
      </c>
      <c r="O244" s="74" t="n">
        <v>17</v>
      </c>
      <c r="P244" s="74" t="n">
        <v>17</v>
      </c>
      <c r="Q244" s="74" t="n">
        <v>17</v>
      </c>
      <c r="R244" s="74" t="n">
        <v>18</v>
      </c>
      <c r="S244" s="74" t="n">
        <v>17</v>
      </c>
      <c r="T244" s="74" t="n">
        <v>14</v>
      </c>
      <c r="U244" s="74" t="n">
        <v>14</v>
      </c>
      <c r="V244" s="81" t="n">
        <v>3</v>
      </c>
      <c r="W244" s="81" t="n">
        <v>2</v>
      </c>
      <c r="X244" s="81" t="n">
        <v>1</v>
      </c>
      <c r="Y244" s="81" t="n">
        <v>0</v>
      </c>
      <c r="Z244" s="81" t="n">
        <v>0</v>
      </c>
      <c r="AA244" s="81" t="n">
        <v>0</v>
      </c>
    </row>
    <row r="245" customFormat="false" ht="15" hidden="false" customHeight="true" outlineLevel="0" collapsed="false">
      <c r="A245" s="30" t="s">
        <v>126</v>
      </c>
      <c r="B245" s="76"/>
      <c r="C245" s="76"/>
      <c r="D245" s="76"/>
      <c r="E245" s="76"/>
      <c r="F245" s="76"/>
      <c r="G245" s="76"/>
      <c r="H245" s="76"/>
      <c r="I245" s="76"/>
      <c r="J245" s="76"/>
      <c r="K245" s="76"/>
      <c r="L245" s="76"/>
      <c r="M245" s="76"/>
      <c r="N245" s="76"/>
      <c r="O245" s="74" t="n">
        <v>16</v>
      </c>
      <c r="P245" s="74" t="n">
        <v>12</v>
      </c>
      <c r="Q245" s="74" t="n">
        <v>12</v>
      </c>
      <c r="R245" s="74" t="n">
        <v>12</v>
      </c>
      <c r="S245" s="74" t="n">
        <v>12</v>
      </c>
      <c r="T245" s="74" t="n">
        <v>10</v>
      </c>
      <c r="U245" s="74" t="n">
        <v>11</v>
      </c>
      <c r="V245" s="81" t="n">
        <v>11</v>
      </c>
      <c r="W245" s="81" t="n">
        <v>2</v>
      </c>
      <c r="X245" s="81" t="n">
        <v>1</v>
      </c>
      <c r="Y245" s="81" t="n">
        <v>0</v>
      </c>
      <c r="Z245" s="81" t="n">
        <v>0</v>
      </c>
      <c r="AA245" s="81" t="n">
        <v>0</v>
      </c>
    </row>
    <row r="246" customFormat="false" ht="15" hidden="false" customHeight="true" outlineLevel="0" collapsed="false">
      <c r="A246" s="30" t="s">
        <v>127</v>
      </c>
      <c r="B246" s="76"/>
      <c r="C246" s="76"/>
      <c r="D246" s="76"/>
      <c r="E246" s="76"/>
      <c r="F246" s="76"/>
      <c r="G246" s="76"/>
      <c r="H246" s="76"/>
      <c r="I246" s="76"/>
      <c r="J246" s="76"/>
      <c r="K246" s="76"/>
      <c r="L246" s="76"/>
      <c r="M246" s="76"/>
      <c r="N246" s="76"/>
      <c r="O246" s="76"/>
      <c r="P246" s="74" t="n">
        <v>21</v>
      </c>
      <c r="Q246" s="74" t="n">
        <v>20</v>
      </c>
      <c r="R246" s="74" t="n">
        <v>21</v>
      </c>
      <c r="S246" s="74" t="n">
        <v>20</v>
      </c>
      <c r="T246" s="74" t="n">
        <v>18</v>
      </c>
      <c r="U246" s="74" t="n">
        <v>20</v>
      </c>
      <c r="V246" s="81" t="n">
        <v>19</v>
      </c>
      <c r="W246" s="81" t="n">
        <v>20</v>
      </c>
      <c r="X246" s="81" t="n">
        <v>4</v>
      </c>
      <c r="Y246" s="81" t="n">
        <v>2</v>
      </c>
      <c r="Z246" s="81" t="n">
        <v>1</v>
      </c>
      <c r="AA246" s="81" t="n">
        <v>0</v>
      </c>
    </row>
    <row r="247" customFormat="false" ht="15" hidden="false" customHeight="true" outlineLevel="0" collapsed="false">
      <c r="A247" s="30" t="s">
        <v>129</v>
      </c>
      <c r="B247" s="76"/>
      <c r="C247" s="76"/>
      <c r="D247" s="76"/>
      <c r="E247" s="76"/>
      <c r="F247" s="76"/>
      <c r="G247" s="76"/>
      <c r="H247" s="76"/>
      <c r="I247" s="76"/>
      <c r="J247" s="76"/>
      <c r="K247" s="76"/>
      <c r="L247" s="76"/>
      <c r="M247" s="76"/>
      <c r="N247" s="76"/>
      <c r="O247" s="76"/>
      <c r="P247" s="76"/>
      <c r="Q247" s="76"/>
      <c r="R247" s="74" t="n">
        <v>36</v>
      </c>
      <c r="S247" s="74" t="n">
        <v>34</v>
      </c>
      <c r="T247" s="74" t="n">
        <v>29</v>
      </c>
      <c r="U247" s="74" t="n">
        <v>31</v>
      </c>
      <c r="V247" s="81" t="n">
        <v>30</v>
      </c>
      <c r="W247" s="81" t="n">
        <v>28</v>
      </c>
      <c r="X247" s="81" t="n">
        <v>27</v>
      </c>
      <c r="Y247" s="81" t="n">
        <v>28</v>
      </c>
      <c r="Z247" s="81" t="n">
        <v>6</v>
      </c>
      <c r="AA247" s="81" t="n">
        <v>3</v>
      </c>
    </row>
    <row r="248" customFormat="false" ht="15" hidden="false" customHeight="true" outlineLevel="0" collapsed="false">
      <c r="A248" s="30" t="s">
        <v>130</v>
      </c>
      <c r="B248" s="76"/>
      <c r="C248" s="76"/>
      <c r="D248" s="76"/>
      <c r="E248" s="76"/>
      <c r="F248" s="76"/>
      <c r="G248" s="76"/>
      <c r="H248" s="76"/>
      <c r="I248" s="76"/>
      <c r="J248" s="76"/>
      <c r="K248" s="76"/>
      <c r="L248" s="76"/>
      <c r="M248" s="76"/>
      <c r="N248" s="76"/>
      <c r="O248" s="76"/>
      <c r="P248" s="76"/>
      <c r="Q248" s="76"/>
      <c r="R248" s="76"/>
      <c r="S248" s="74" t="n">
        <v>43</v>
      </c>
      <c r="T248" s="74" t="n">
        <v>38</v>
      </c>
      <c r="U248" s="74" t="n">
        <v>33</v>
      </c>
      <c r="V248" s="81" t="n">
        <v>31</v>
      </c>
      <c r="W248" s="81" t="n">
        <v>31</v>
      </c>
      <c r="X248" s="81" t="n">
        <v>29</v>
      </c>
      <c r="Y248" s="81" t="n">
        <v>28</v>
      </c>
      <c r="Z248" s="81" t="n">
        <v>28</v>
      </c>
      <c r="AA248" s="81" t="n">
        <v>6</v>
      </c>
    </row>
    <row r="249" customFormat="false" ht="15" hidden="false" customHeight="true" outlineLevel="0" collapsed="false">
      <c r="A249" s="30" t="s">
        <v>131</v>
      </c>
      <c r="B249" s="76"/>
      <c r="C249" s="76"/>
      <c r="D249" s="76"/>
      <c r="E249" s="76"/>
      <c r="F249" s="76"/>
      <c r="G249" s="76"/>
      <c r="H249" s="76"/>
      <c r="I249" s="76"/>
      <c r="J249" s="76"/>
      <c r="K249" s="76"/>
      <c r="L249" s="76"/>
      <c r="M249" s="76"/>
      <c r="N249" s="76"/>
      <c r="O249" s="76"/>
      <c r="P249" s="76"/>
      <c r="Q249" s="76"/>
      <c r="R249" s="76"/>
      <c r="S249" s="76"/>
      <c r="T249" s="74" t="n">
        <v>10</v>
      </c>
      <c r="U249" s="74" t="n">
        <v>9</v>
      </c>
      <c r="V249" s="81" t="n">
        <v>8</v>
      </c>
      <c r="W249" s="81" t="n">
        <v>8</v>
      </c>
      <c r="X249" s="81" t="n">
        <v>8</v>
      </c>
      <c r="Y249" s="81" t="n">
        <v>7</v>
      </c>
      <c r="Z249" s="81" t="n">
        <v>7</v>
      </c>
      <c r="AA249" s="81" t="n">
        <v>7</v>
      </c>
    </row>
    <row r="250" customFormat="false" ht="15" hidden="false" customHeight="true" outlineLevel="0" collapsed="false">
      <c r="A250" s="30" t="s">
        <v>132</v>
      </c>
      <c r="B250" s="76"/>
      <c r="C250" s="76"/>
      <c r="D250" s="76"/>
      <c r="E250" s="76"/>
      <c r="F250" s="76"/>
      <c r="G250" s="76"/>
      <c r="H250" s="76"/>
      <c r="I250" s="76"/>
      <c r="J250" s="76"/>
      <c r="K250" s="76"/>
      <c r="L250" s="76"/>
      <c r="M250" s="76"/>
      <c r="N250" s="76"/>
      <c r="O250" s="76"/>
      <c r="P250" s="76"/>
      <c r="Q250" s="76"/>
      <c r="R250" s="76"/>
      <c r="S250" s="76"/>
      <c r="T250" s="76"/>
      <c r="U250" s="74" t="n">
        <v>51</v>
      </c>
      <c r="V250" s="81" t="n">
        <v>43</v>
      </c>
      <c r="W250" s="81" t="n">
        <v>40</v>
      </c>
      <c r="X250" s="81" t="n">
        <v>38</v>
      </c>
      <c r="Y250" s="81" t="n">
        <v>37</v>
      </c>
      <c r="Z250" s="81" t="n">
        <v>35</v>
      </c>
      <c r="AA250" s="81" t="n">
        <v>34</v>
      </c>
    </row>
    <row r="251" customFormat="false" ht="15" hidden="false" customHeight="true" outlineLevel="0" collapsed="false">
      <c r="A251" s="82" t="s">
        <v>524</v>
      </c>
      <c r="B251" s="76"/>
      <c r="C251" s="76"/>
      <c r="D251" s="76"/>
      <c r="E251" s="76"/>
      <c r="F251" s="76"/>
      <c r="G251" s="76"/>
      <c r="H251" s="76"/>
      <c r="I251" s="76"/>
      <c r="J251" s="76"/>
      <c r="K251" s="76"/>
      <c r="L251" s="76"/>
      <c r="M251" s="76"/>
      <c r="N251" s="76"/>
      <c r="O251" s="76"/>
      <c r="P251" s="76"/>
      <c r="Q251" s="76"/>
      <c r="R251" s="76"/>
      <c r="S251" s="76"/>
      <c r="T251" s="76"/>
      <c r="U251" s="76"/>
      <c r="V251" s="81" t="n">
        <v>35</v>
      </c>
      <c r="W251" s="81" t="n">
        <v>29</v>
      </c>
      <c r="X251" s="81" t="n">
        <v>28</v>
      </c>
      <c r="Y251" s="81" t="n">
        <v>26</v>
      </c>
      <c r="Z251" s="81" t="n">
        <v>26</v>
      </c>
      <c r="AA251" s="81" t="n">
        <v>24</v>
      </c>
    </row>
    <row r="252" customFormat="false" ht="15" hidden="false" customHeight="true" outlineLevel="0" collapsed="false">
      <c r="A252" s="82" t="s">
        <v>525</v>
      </c>
      <c r="B252" s="76"/>
      <c r="C252" s="76"/>
      <c r="D252" s="76"/>
      <c r="E252" s="76"/>
      <c r="F252" s="76"/>
      <c r="G252" s="76"/>
      <c r="H252" s="76"/>
      <c r="I252" s="76"/>
      <c r="J252" s="76"/>
      <c r="K252" s="76"/>
      <c r="L252" s="76"/>
      <c r="M252" s="76"/>
      <c r="N252" s="76"/>
      <c r="O252" s="76"/>
      <c r="P252" s="76"/>
      <c r="Q252" s="76"/>
      <c r="R252" s="76"/>
      <c r="S252" s="76"/>
      <c r="T252" s="76"/>
      <c r="U252" s="76"/>
      <c r="V252" s="76"/>
      <c r="W252" s="81" t="n">
        <v>35</v>
      </c>
      <c r="X252" s="81" t="n">
        <v>29</v>
      </c>
      <c r="Y252" s="81" t="n">
        <v>28</v>
      </c>
      <c r="Z252" s="81" t="n">
        <v>26</v>
      </c>
      <c r="AA252" s="81" t="n">
        <v>26</v>
      </c>
    </row>
    <row r="253" customFormat="false" ht="15" hidden="false" customHeight="true" outlineLevel="0" collapsed="false">
      <c r="A253" s="82" t="s">
        <v>526</v>
      </c>
      <c r="B253" s="76"/>
      <c r="C253" s="76"/>
      <c r="D253" s="76"/>
      <c r="E253" s="76"/>
      <c r="F253" s="76"/>
      <c r="G253" s="76"/>
      <c r="H253" s="76"/>
      <c r="I253" s="76"/>
      <c r="J253" s="76"/>
      <c r="K253" s="76"/>
      <c r="L253" s="76"/>
      <c r="M253" s="76"/>
      <c r="N253" s="76"/>
      <c r="O253" s="76"/>
      <c r="P253" s="76"/>
      <c r="Q253" s="76"/>
      <c r="R253" s="76"/>
      <c r="S253" s="76"/>
      <c r="T253" s="76"/>
      <c r="U253" s="76"/>
      <c r="V253" s="76"/>
      <c r="W253" s="76"/>
      <c r="X253" s="81" t="n">
        <v>35</v>
      </c>
      <c r="Y253" s="81" t="n">
        <v>29</v>
      </c>
      <c r="Z253" s="81" t="n">
        <v>28</v>
      </c>
      <c r="AA253" s="81" t="n">
        <v>26</v>
      </c>
    </row>
    <row r="254" customFormat="false" ht="15" hidden="false" customHeight="true" outlineLevel="0" collapsed="false">
      <c r="A254" s="82" t="s">
        <v>527</v>
      </c>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81" t="n">
        <v>35</v>
      </c>
      <c r="Z254" s="81" t="n">
        <v>29</v>
      </c>
      <c r="AA254" s="81" t="n">
        <v>28</v>
      </c>
    </row>
    <row r="255" customFormat="false" ht="15" hidden="false" customHeight="true" outlineLevel="0" collapsed="false">
      <c r="A255" s="82" t="s">
        <v>528</v>
      </c>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81" t="n">
        <v>35</v>
      </c>
      <c r="AA255" s="81" t="n">
        <v>29</v>
      </c>
    </row>
    <row r="256" customFormat="false" ht="15" hidden="false" customHeight="true" outlineLevel="0" collapsed="false">
      <c r="A256" s="82" t="s">
        <v>529</v>
      </c>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c r="AA256" s="81" t="n">
        <v>35</v>
      </c>
    </row>
    <row r="257" customFormat="false" ht="15" hidden="false" customHeight="true" outlineLevel="0" collapsed="false">
      <c r="A257" s="34" t="s">
        <v>514</v>
      </c>
      <c r="B257" s="79"/>
      <c r="C257" s="79"/>
      <c r="D257" s="79"/>
      <c r="E257" s="79"/>
      <c r="F257" s="79" t="n">
        <v>30</v>
      </c>
      <c r="G257" s="79" t="n">
        <v>71</v>
      </c>
      <c r="H257" s="79" t="n">
        <v>82</v>
      </c>
      <c r="I257" s="79" t="n">
        <v>121</v>
      </c>
      <c r="J257" s="79" t="n">
        <v>131</v>
      </c>
      <c r="K257" s="79" t="n">
        <v>136</v>
      </c>
      <c r="L257" s="79" t="n">
        <v>169</v>
      </c>
      <c r="M257" s="79" t="n">
        <v>176</v>
      </c>
      <c r="N257" s="79" t="n">
        <v>176</v>
      </c>
      <c r="O257" s="79" t="n">
        <v>161</v>
      </c>
      <c r="P257" s="79" t="n">
        <v>165</v>
      </c>
      <c r="Q257" s="79" t="n">
        <v>131</v>
      </c>
      <c r="R257" s="79" t="n">
        <v>151</v>
      </c>
      <c r="S257" s="79" t="n">
        <v>170</v>
      </c>
      <c r="T257" s="79" t="n">
        <v>136</v>
      </c>
      <c r="U257" s="79" t="n">
        <v>174</v>
      </c>
      <c r="V257" s="79" t="n">
        <v>183</v>
      </c>
      <c r="W257" s="79" t="n">
        <v>196</v>
      </c>
      <c r="X257" s="79" t="n">
        <v>200</v>
      </c>
      <c r="Y257" s="79" t="n">
        <v>221</v>
      </c>
      <c r="Z257" s="79" t="n">
        <v>221</v>
      </c>
      <c r="AA257" s="79" t="n">
        <v>218</v>
      </c>
    </row>
    <row r="259" customFormat="false" ht="19.5" hidden="false" customHeight="true" outlineLevel="0" collapsed="false">
      <c r="A259" s="65" t="s">
        <v>414</v>
      </c>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row>
    <row r="260" customFormat="false" ht="15" hidden="false" customHeight="true" outlineLevel="0" collapsed="false">
      <c r="A260" s="80" t="s">
        <v>533</v>
      </c>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row>
    <row r="261" customFormat="false" ht="15" hidden="false" customHeight="true" outlineLevel="0" collapsed="false">
      <c r="A261" s="12" t="s">
        <v>513</v>
      </c>
      <c r="B261" s="12" t="s">
        <v>113</v>
      </c>
      <c r="C261" s="12" t="s">
        <v>114</v>
      </c>
      <c r="D261" s="12" t="s">
        <v>115</v>
      </c>
      <c r="E261" s="12" t="s">
        <v>116</v>
      </c>
      <c r="F261" s="12" t="s">
        <v>117</v>
      </c>
      <c r="G261" s="12" t="s">
        <v>118</v>
      </c>
      <c r="H261" s="12" t="s">
        <v>119</v>
      </c>
      <c r="I261" s="12" t="s">
        <v>120</v>
      </c>
      <c r="J261" s="12" t="s">
        <v>121</v>
      </c>
      <c r="K261" s="12" t="s">
        <v>122</v>
      </c>
      <c r="L261" s="12" t="s">
        <v>123</v>
      </c>
      <c r="M261" s="12" t="s">
        <v>124</v>
      </c>
      <c r="N261" s="12" t="s">
        <v>125</v>
      </c>
      <c r="O261" s="12" t="s">
        <v>126</v>
      </c>
      <c r="P261" s="12" t="s">
        <v>127</v>
      </c>
      <c r="Q261" s="12" t="s">
        <v>128</v>
      </c>
      <c r="R261" s="12" t="s">
        <v>129</v>
      </c>
      <c r="S261" s="12" t="s">
        <v>130</v>
      </c>
      <c r="T261" s="12" t="s">
        <v>131</v>
      </c>
      <c r="U261" s="12" t="s">
        <v>132</v>
      </c>
      <c r="V261" s="12" t="s">
        <v>518</v>
      </c>
      <c r="W261" s="12" t="s">
        <v>519</v>
      </c>
      <c r="X261" s="12" t="s">
        <v>520</v>
      </c>
      <c r="Y261" s="12" t="s">
        <v>521</v>
      </c>
      <c r="Z261" s="12" t="s">
        <v>522</v>
      </c>
      <c r="AA261" s="12" t="s">
        <v>523</v>
      </c>
    </row>
    <row r="262" customFormat="false" ht="15" hidden="false" customHeight="true" outlineLevel="0" collapsed="false">
      <c r="A262" s="30" t="s">
        <v>117</v>
      </c>
      <c r="B262" s="76"/>
      <c r="C262" s="76"/>
      <c r="D262" s="76"/>
      <c r="E262" s="76"/>
      <c r="F262" s="74" t="n">
        <v>22</v>
      </c>
      <c r="G262" s="74" t="n">
        <v>20</v>
      </c>
      <c r="H262" s="74" t="n">
        <v>19</v>
      </c>
      <c r="I262" s="74" t="n">
        <v>15</v>
      </c>
      <c r="J262" s="74" t="n">
        <v>8</v>
      </c>
      <c r="K262" s="74" t="n">
        <v>7</v>
      </c>
      <c r="L262" s="74" t="n">
        <v>6</v>
      </c>
      <c r="M262" s="74" t="n">
        <v>1</v>
      </c>
      <c r="N262" s="74" t="n">
        <v>0</v>
      </c>
      <c r="O262" s="74" t="n">
        <v>0</v>
      </c>
      <c r="P262" s="74" t="n">
        <v>0</v>
      </c>
      <c r="Q262" s="74" t="n">
        <v>0</v>
      </c>
      <c r="R262" s="74" t="n">
        <v>0</v>
      </c>
      <c r="S262" s="74" t="n">
        <v>0</v>
      </c>
      <c r="T262" s="74" t="n">
        <v>0</v>
      </c>
      <c r="U262" s="74" t="n">
        <v>0</v>
      </c>
      <c r="V262" s="81" t="n">
        <v>0</v>
      </c>
      <c r="W262" s="81" t="n">
        <v>0</v>
      </c>
      <c r="X262" s="81" t="n">
        <v>0</v>
      </c>
      <c r="Y262" s="81" t="n">
        <v>0</v>
      </c>
      <c r="Z262" s="81" t="n">
        <v>0</v>
      </c>
      <c r="AA262" s="81" t="n">
        <v>0</v>
      </c>
    </row>
    <row r="263" customFormat="false" ht="15" hidden="false" customHeight="true" outlineLevel="0" collapsed="false">
      <c r="A263" s="30" t="s">
        <v>118</v>
      </c>
      <c r="B263" s="76"/>
      <c r="C263" s="76"/>
      <c r="D263" s="76"/>
      <c r="E263" s="76"/>
      <c r="F263" s="76"/>
      <c r="G263" s="74" t="n">
        <v>19</v>
      </c>
      <c r="H263" s="74" t="n">
        <v>16</v>
      </c>
      <c r="I263" s="74" t="n">
        <v>17</v>
      </c>
      <c r="J263" s="74" t="n">
        <v>17</v>
      </c>
      <c r="K263" s="74" t="n">
        <v>2</v>
      </c>
      <c r="L263" s="74" t="n">
        <v>1</v>
      </c>
      <c r="M263" s="74" t="n">
        <v>1</v>
      </c>
      <c r="N263" s="74" t="n">
        <v>1</v>
      </c>
      <c r="O263" s="74" t="n">
        <v>2</v>
      </c>
      <c r="P263" s="74" t="n">
        <v>1</v>
      </c>
      <c r="Q263" s="74" t="n">
        <v>0</v>
      </c>
      <c r="R263" s="74" t="n">
        <v>0</v>
      </c>
      <c r="S263" s="74" t="n">
        <v>1</v>
      </c>
      <c r="T263" s="74" t="n">
        <v>1</v>
      </c>
      <c r="U263" s="74" t="n">
        <v>1</v>
      </c>
      <c r="V263" s="81" t="n">
        <v>1</v>
      </c>
      <c r="W263" s="81" t="n">
        <v>1</v>
      </c>
      <c r="X263" s="81" t="n">
        <v>1</v>
      </c>
      <c r="Y263" s="81" t="n">
        <v>1</v>
      </c>
      <c r="Z263" s="81" t="n">
        <v>1</v>
      </c>
      <c r="AA263" s="81" t="n">
        <v>1</v>
      </c>
    </row>
    <row r="264" customFormat="false" ht="15" hidden="false" customHeight="true" outlineLevel="0" collapsed="false">
      <c r="A264" s="30" t="s">
        <v>120</v>
      </c>
      <c r="B264" s="76"/>
      <c r="C264" s="76"/>
      <c r="D264" s="76"/>
      <c r="E264" s="76"/>
      <c r="F264" s="76"/>
      <c r="G264" s="76"/>
      <c r="H264" s="76"/>
      <c r="I264" s="74" t="n">
        <v>22</v>
      </c>
      <c r="J264" s="74" t="n">
        <v>20</v>
      </c>
      <c r="K264" s="74" t="n">
        <v>19</v>
      </c>
      <c r="L264" s="74" t="n">
        <v>20</v>
      </c>
      <c r="M264" s="74" t="n">
        <v>5</v>
      </c>
      <c r="N264" s="74" t="n">
        <v>1</v>
      </c>
      <c r="O264" s="74" t="n">
        <v>1</v>
      </c>
      <c r="P264" s="74" t="n">
        <v>0</v>
      </c>
      <c r="Q264" s="74" t="n">
        <v>0</v>
      </c>
      <c r="R264" s="74" t="n">
        <v>0</v>
      </c>
      <c r="S264" s="74" t="n">
        <v>0</v>
      </c>
      <c r="T264" s="74" t="n">
        <v>0</v>
      </c>
      <c r="U264" s="74" t="n">
        <v>1</v>
      </c>
      <c r="V264" s="81" t="n">
        <v>0</v>
      </c>
      <c r="W264" s="81" t="n">
        <v>0</v>
      </c>
      <c r="X264" s="81" t="n">
        <v>0</v>
      </c>
      <c r="Y264" s="81" t="n">
        <v>0</v>
      </c>
      <c r="Z264" s="81" t="n">
        <v>0</v>
      </c>
      <c r="AA264" s="81" t="n">
        <v>0</v>
      </c>
    </row>
    <row r="265" customFormat="false" ht="15" hidden="false" customHeight="true" outlineLevel="0" collapsed="false">
      <c r="A265" s="30" t="s">
        <v>121</v>
      </c>
      <c r="B265" s="76"/>
      <c r="C265" s="76"/>
      <c r="D265" s="76"/>
      <c r="E265" s="76"/>
      <c r="F265" s="76"/>
      <c r="G265" s="76"/>
      <c r="H265" s="76"/>
      <c r="I265" s="76"/>
      <c r="J265" s="74" t="n">
        <v>18</v>
      </c>
      <c r="K265" s="74" t="n">
        <v>17</v>
      </c>
      <c r="L265" s="74" t="n">
        <v>16</v>
      </c>
      <c r="M265" s="74" t="n">
        <v>15</v>
      </c>
      <c r="N265" s="74" t="n">
        <v>6</v>
      </c>
      <c r="O265" s="74" t="n">
        <v>6</v>
      </c>
      <c r="P265" s="74" t="n">
        <v>2</v>
      </c>
      <c r="Q265" s="74" t="n">
        <v>0</v>
      </c>
      <c r="R265" s="74" t="n">
        <v>0</v>
      </c>
      <c r="S265" s="74" t="n">
        <v>0</v>
      </c>
      <c r="T265" s="74" t="n">
        <v>0</v>
      </c>
      <c r="U265" s="74" t="n">
        <v>1</v>
      </c>
      <c r="V265" s="81" t="n">
        <v>2</v>
      </c>
      <c r="W265" s="81" t="n">
        <v>1</v>
      </c>
      <c r="X265" s="81" t="n">
        <v>1</v>
      </c>
      <c r="Y265" s="81" t="n">
        <v>1</v>
      </c>
      <c r="Z265" s="81" t="n">
        <v>1</v>
      </c>
      <c r="AA265" s="81" t="n">
        <v>1</v>
      </c>
    </row>
    <row r="266" customFormat="false" ht="15" hidden="false" customHeight="true" outlineLevel="0" collapsed="false">
      <c r="A266" s="30" t="s">
        <v>123</v>
      </c>
      <c r="B266" s="76"/>
      <c r="C266" s="76"/>
      <c r="D266" s="76"/>
      <c r="E266" s="76"/>
      <c r="F266" s="76"/>
      <c r="G266" s="76"/>
      <c r="H266" s="76"/>
      <c r="I266" s="76"/>
      <c r="J266" s="76"/>
      <c r="K266" s="76"/>
      <c r="L266" s="74" t="n">
        <v>23</v>
      </c>
      <c r="M266" s="74" t="n">
        <v>20</v>
      </c>
      <c r="N266" s="74" t="n">
        <v>19</v>
      </c>
      <c r="O266" s="74" t="n">
        <v>18</v>
      </c>
      <c r="P266" s="74" t="n">
        <v>8</v>
      </c>
      <c r="Q266" s="74" t="n">
        <v>3</v>
      </c>
      <c r="R266" s="74" t="n">
        <v>3</v>
      </c>
      <c r="S266" s="74" t="n">
        <v>0</v>
      </c>
      <c r="T266" s="74" t="n">
        <v>0</v>
      </c>
      <c r="U266" s="74" t="n">
        <v>0</v>
      </c>
      <c r="V266" s="81" t="n">
        <v>0</v>
      </c>
      <c r="W266" s="81" t="n">
        <v>0</v>
      </c>
      <c r="X266" s="81" t="n">
        <v>0</v>
      </c>
      <c r="Y266" s="81" t="n">
        <v>0</v>
      </c>
      <c r="Z266" s="81" t="n">
        <v>0</v>
      </c>
      <c r="AA266" s="81" t="n">
        <v>0</v>
      </c>
    </row>
    <row r="267" customFormat="false" ht="15" hidden="false" customHeight="true" outlineLevel="0" collapsed="false">
      <c r="A267" s="30" t="s">
        <v>124</v>
      </c>
      <c r="B267" s="76"/>
      <c r="C267" s="76"/>
      <c r="D267" s="76"/>
      <c r="E267" s="76"/>
      <c r="F267" s="76"/>
      <c r="G267" s="76"/>
      <c r="H267" s="76"/>
      <c r="I267" s="76"/>
      <c r="J267" s="76"/>
      <c r="K267" s="76"/>
      <c r="L267" s="76"/>
      <c r="M267" s="74" t="n">
        <v>11</v>
      </c>
      <c r="N267" s="74" t="n">
        <v>9</v>
      </c>
      <c r="O267" s="74" t="n">
        <v>10</v>
      </c>
      <c r="P267" s="74" t="n">
        <v>10</v>
      </c>
      <c r="Q267" s="74" t="n">
        <v>4</v>
      </c>
      <c r="R267" s="74" t="n">
        <v>4</v>
      </c>
      <c r="S267" s="74" t="n">
        <v>4</v>
      </c>
      <c r="T267" s="74" t="n">
        <v>0</v>
      </c>
      <c r="U267" s="74" t="n">
        <v>0</v>
      </c>
      <c r="V267" s="81" t="n">
        <v>0</v>
      </c>
      <c r="W267" s="81" t="n">
        <v>0</v>
      </c>
      <c r="X267" s="81" t="n">
        <v>0</v>
      </c>
      <c r="Y267" s="81" t="n">
        <v>0</v>
      </c>
      <c r="Z267" s="81" t="n">
        <v>0</v>
      </c>
      <c r="AA267" s="81" t="n">
        <v>0</v>
      </c>
    </row>
    <row r="268" customFormat="false" ht="15" hidden="false" customHeight="true" outlineLevel="0" collapsed="false">
      <c r="A268" s="30" t="s">
        <v>126</v>
      </c>
      <c r="B268" s="76"/>
      <c r="C268" s="76"/>
      <c r="D268" s="76"/>
      <c r="E268" s="76"/>
      <c r="F268" s="76"/>
      <c r="G268" s="76"/>
      <c r="H268" s="76"/>
      <c r="I268" s="76"/>
      <c r="J268" s="76"/>
      <c r="K268" s="76"/>
      <c r="L268" s="76"/>
      <c r="M268" s="76"/>
      <c r="N268" s="76"/>
      <c r="O268" s="74" t="n">
        <v>21</v>
      </c>
      <c r="P268" s="74" t="n">
        <v>20</v>
      </c>
      <c r="Q268" s="74" t="n">
        <v>20</v>
      </c>
      <c r="R268" s="74" t="n">
        <v>19</v>
      </c>
      <c r="S268" s="74" t="n">
        <v>6</v>
      </c>
      <c r="T268" s="74" t="n">
        <v>1</v>
      </c>
      <c r="U268" s="74" t="n">
        <v>1</v>
      </c>
      <c r="V268" s="81" t="n">
        <v>0</v>
      </c>
      <c r="W268" s="81" t="n">
        <v>0</v>
      </c>
      <c r="X268" s="81" t="n">
        <v>0</v>
      </c>
      <c r="Y268" s="81" t="n">
        <v>0</v>
      </c>
      <c r="Z268" s="81" t="n">
        <v>0</v>
      </c>
      <c r="AA268" s="81" t="n">
        <v>0</v>
      </c>
    </row>
    <row r="269" customFormat="false" ht="15" hidden="false" customHeight="true" outlineLevel="0" collapsed="false">
      <c r="A269" s="30" t="s">
        <v>127</v>
      </c>
      <c r="B269" s="76"/>
      <c r="C269" s="76"/>
      <c r="D269" s="76"/>
      <c r="E269" s="76"/>
      <c r="F269" s="76"/>
      <c r="G269" s="76"/>
      <c r="H269" s="76"/>
      <c r="I269" s="76"/>
      <c r="J269" s="76"/>
      <c r="K269" s="76"/>
      <c r="L269" s="76"/>
      <c r="M269" s="76"/>
      <c r="N269" s="76"/>
      <c r="O269" s="76"/>
      <c r="P269" s="74" t="n">
        <v>13</v>
      </c>
      <c r="Q269" s="74" t="n">
        <v>13</v>
      </c>
      <c r="R269" s="74" t="n">
        <v>13</v>
      </c>
      <c r="S269" s="74" t="n">
        <v>13</v>
      </c>
      <c r="T269" s="74" t="n">
        <v>3</v>
      </c>
      <c r="U269" s="74" t="n">
        <v>3</v>
      </c>
      <c r="V269" s="81" t="n">
        <v>2</v>
      </c>
      <c r="W269" s="81" t="n">
        <v>0</v>
      </c>
      <c r="X269" s="81" t="n">
        <v>0</v>
      </c>
      <c r="Y269" s="81" t="n">
        <v>0</v>
      </c>
      <c r="Z269" s="81" t="n">
        <v>0</v>
      </c>
      <c r="AA269" s="81" t="n">
        <v>0</v>
      </c>
    </row>
    <row r="270" customFormat="false" ht="15" hidden="false" customHeight="true" outlineLevel="0" collapsed="false">
      <c r="A270" s="30" t="s">
        <v>129</v>
      </c>
      <c r="B270" s="76"/>
      <c r="C270" s="76"/>
      <c r="D270" s="76"/>
      <c r="E270" s="76"/>
      <c r="F270" s="76"/>
      <c r="G270" s="76"/>
      <c r="H270" s="76"/>
      <c r="I270" s="76"/>
      <c r="J270" s="76"/>
      <c r="K270" s="76"/>
      <c r="L270" s="76"/>
      <c r="M270" s="76"/>
      <c r="N270" s="76"/>
      <c r="O270" s="76"/>
      <c r="P270" s="76"/>
      <c r="Q270" s="76"/>
      <c r="R270" s="74" t="n">
        <v>16</v>
      </c>
      <c r="S270" s="74" t="n">
        <v>13</v>
      </c>
      <c r="T270" s="74" t="n">
        <v>10</v>
      </c>
      <c r="U270" s="74" t="n">
        <v>12</v>
      </c>
      <c r="V270" s="81" t="n">
        <v>4</v>
      </c>
      <c r="W270" s="81" t="n">
        <v>3</v>
      </c>
      <c r="X270" s="81" t="n">
        <v>2</v>
      </c>
      <c r="Y270" s="81" t="n">
        <v>0</v>
      </c>
      <c r="Z270" s="81" t="n">
        <v>0</v>
      </c>
      <c r="AA270" s="81" t="n">
        <v>0</v>
      </c>
    </row>
    <row r="271" customFormat="false" ht="15" hidden="false" customHeight="true" outlineLevel="0" collapsed="false">
      <c r="A271" s="30" t="s">
        <v>130</v>
      </c>
      <c r="B271" s="76"/>
      <c r="C271" s="76"/>
      <c r="D271" s="76"/>
      <c r="E271" s="76"/>
      <c r="F271" s="76"/>
      <c r="G271" s="76"/>
      <c r="H271" s="76"/>
      <c r="I271" s="76"/>
      <c r="J271" s="76"/>
      <c r="K271" s="76"/>
      <c r="L271" s="76"/>
      <c r="M271" s="76"/>
      <c r="N271" s="76"/>
      <c r="O271" s="76"/>
      <c r="P271" s="76"/>
      <c r="Q271" s="76"/>
      <c r="R271" s="76"/>
      <c r="S271" s="74" t="n">
        <v>13</v>
      </c>
      <c r="T271" s="74" t="n">
        <v>12</v>
      </c>
      <c r="U271" s="74" t="n">
        <v>12</v>
      </c>
      <c r="V271" s="81" t="n">
        <v>11</v>
      </c>
      <c r="W271" s="81" t="n">
        <v>4</v>
      </c>
      <c r="X271" s="81" t="n">
        <v>3</v>
      </c>
      <c r="Y271" s="81" t="n">
        <v>2</v>
      </c>
      <c r="Z271" s="81" t="n">
        <v>0</v>
      </c>
      <c r="AA271" s="81" t="n">
        <v>0</v>
      </c>
    </row>
    <row r="272" customFormat="false" ht="15" hidden="false" customHeight="true" outlineLevel="0" collapsed="false">
      <c r="A272" s="30" t="s">
        <v>132</v>
      </c>
      <c r="B272" s="76"/>
      <c r="C272" s="76"/>
      <c r="D272" s="76"/>
      <c r="E272" s="76"/>
      <c r="F272" s="76"/>
      <c r="G272" s="76"/>
      <c r="H272" s="76"/>
      <c r="I272" s="76"/>
      <c r="J272" s="76"/>
      <c r="K272" s="76"/>
      <c r="L272" s="76"/>
      <c r="M272" s="76"/>
      <c r="N272" s="76"/>
      <c r="O272" s="76"/>
      <c r="P272" s="76"/>
      <c r="Q272" s="76"/>
      <c r="R272" s="76"/>
      <c r="S272" s="76"/>
      <c r="T272" s="76"/>
      <c r="U272" s="74" t="n">
        <v>14</v>
      </c>
      <c r="V272" s="81" t="n">
        <v>12</v>
      </c>
      <c r="W272" s="81" t="n">
        <v>12</v>
      </c>
      <c r="X272" s="81" t="n">
        <v>12</v>
      </c>
      <c r="Y272" s="81" t="n">
        <v>4</v>
      </c>
      <c r="Z272" s="81" t="n">
        <v>3</v>
      </c>
      <c r="AA272" s="81" t="n">
        <v>2</v>
      </c>
    </row>
    <row r="273" customFormat="false" ht="15" hidden="false" customHeight="true" outlineLevel="0" collapsed="false">
      <c r="A273" s="82" t="s">
        <v>524</v>
      </c>
      <c r="B273" s="76"/>
      <c r="C273" s="76"/>
      <c r="D273" s="76"/>
      <c r="E273" s="76"/>
      <c r="F273" s="76"/>
      <c r="G273" s="76"/>
      <c r="H273" s="76"/>
      <c r="I273" s="76"/>
      <c r="J273" s="76"/>
      <c r="K273" s="76"/>
      <c r="L273" s="76"/>
      <c r="M273" s="76"/>
      <c r="N273" s="76"/>
      <c r="O273" s="76"/>
      <c r="P273" s="76"/>
      <c r="Q273" s="76"/>
      <c r="R273" s="76"/>
      <c r="S273" s="76"/>
      <c r="T273" s="76"/>
      <c r="U273" s="76"/>
      <c r="V273" s="81" t="n">
        <v>14</v>
      </c>
      <c r="W273" s="81" t="n">
        <v>12</v>
      </c>
      <c r="X273" s="81" t="n">
        <v>12</v>
      </c>
      <c r="Y273" s="81" t="n">
        <v>12</v>
      </c>
      <c r="Z273" s="81" t="n">
        <v>4</v>
      </c>
      <c r="AA273" s="81" t="n">
        <v>3</v>
      </c>
    </row>
    <row r="274" customFormat="false" ht="15" hidden="false" customHeight="true" outlineLevel="0" collapsed="false">
      <c r="A274" s="82" t="s">
        <v>525</v>
      </c>
      <c r="B274" s="76"/>
      <c r="C274" s="76"/>
      <c r="D274" s="76"/>
      <c r="E274" s="76"/>
      <c r="F274" s="76"/>
      <c r="G274" s="76"/>
      <c r="H274" s="76"/>
      <c r="I274" s="76"/>
      <c r="J274" s="76"/>
      <c r="K274" s="76"/>
      <c r="L274" s="76"/>
      <c r="M274" s="76"/>
      <c r="N274" s="76"/>
      <c r="O274" s="76"/>
      <c r="P274" s="76"/>
      <c r="Q274" s="76"/>
      <c r="R274" s="76"/>
      <c r="S274" s="76"/>
      <c r="T274" s="76"/>
      <c r="U274" s="76"/>
      <c r="V274" s="76"/>
      <c r="W274" s="81" t="n">
        <v>14</v>
      </c>
      <c r="X274" s="81" t="n">
        <v>12</v>
      </c>
      <c r="Y274" s="81" t="n">
        <v>12</v>
      </c>
      <c r="Z274" s="81" t="n">
        <v>12</v>
      </c>
      <c r="AA274" s="81" t="n">
        <v>4</v>
      </c>
    </row>
    <row r="275" customFormat="false" ht="15" hidden="false" customHeight="true" outlineLevel="0" collapsed="false">
      <c r="A275" s="82" t="s">
        <v>526</v>
      </c>
      <c r="B275" s="76"/>
      <c r="C275" s="76"/>
      <c r="D275" s="76"/>
      <c r="E275" s="76"/>
      <c r="F275" s="76"/>
      <c r="G275" s="76"/>
      <c r="H275" s="76"/>
      <c r="I275" s="76"/>
      <c r="J275" s="76"/>
      <c r="K275" s="76"/>
      <c r="L275" s="76"/>
      <c r="M275" s="76"/>
      <c r="N275" s="76"/>
      <c r="O275" s="76"/>
      <c r="P275" s="76"/>
      <c r="Q275" s="76"/>
      <c r="R275" s="76"/>
      <c r="S275" s="76"/>
      <c r="T275" s="76"/>
      <c r="U275" s="76"/>
      <c r="V275" s="76"/>
      <c r="W275" s="76"/>
      <c r="X275" s="81" t="n">
        <v>14</v>
      </c>
      <c r="Y275" s="81" t="n">
        <v>12</v>
      </c>
      <c r="Z275" s="81" t="n">
        <v>12</v>
      </c>
      <c r="AA275" s="81" t="n">
        <v>12</v>
      </c>
    </row>
    <row r="276" customFormat="false" ht="15" hidden="false" customHeight="true" outlineLevel="0" collapsed="false">
      <c r="A276" s="82" t="s">
        <v>527</v>
      </c>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81" t="n">
        <v>14</v>
      </c>
      <c r="Z276" s="81" t="n">
        <v>12</v>
      </c>
      <c r="AA276" s="81" t="n">
        <v>12</v>
      </c>
    </row>
    <row r="277" customFormat="false" ht="15" hidden="false" customHeight="true" outlineLevel="0" collapsed="false">
      <c r="A277" s="82" t="s">
        <v>528</v>
      </c>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81" t="n">
        <v>14</v>
      </c>
      <c r="AA277" s="81" t="n">
        <v>12</v>
      </c>
    </row>
    <row r="278" customFormat="false" ht="15" hidden="false" customHeight="true" outlineLevel="0" collapsed="false">
      <c r="A278" s="82" t="s">
        <v>529</v>
      </c>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c r="AA278" s="81" t="n">
        <v>14</v>
      </c>
    </row>
    <row r="279" customFormat="false" ht="15" hidden="false" customHeight="true" outlineLevel="0" collapsed="false">
      <c r="A279" s="34" t="s">
        <v>514</v>
      </c>
      <c r="B279" s="79"/>
      <c r="C279" s="79"/>
      <c r="D279" s="79"/>
      <c r="E279" s="79"/>
      <c r="F279" s="79" t="n">
        <v>22</v>
      </c>
      <c r="G279" s="79" t="n">
        <v>39</v>
      </c>
      <c r="H279" s="79" t="n">
        <v>35</v>
      </c>
      <c r="I279" s="79" t="n">
        <v>54</v>
      </c>
      <c r="J279" s="79" t="n">
        <v>63</v>
      </c>
      <c r="K279" s="79" t="n">
        <v>45</v>
      </c>
      <c r="L279" s="79" t="n">
        <v>66</v>
      </c>
      <c r="M279" s="79" t="n">
        <v>53</v>
      </c>
      <c r="N279" s="79" t="n">
        <v>36</v>
      </c>
      <c r="O279" s="79" t="n">
        <v>58</v>
      </c>
      <c r="P279" s="79" t="n">
        <v>54</v>
      </c>
      <c r="Q279" s="79" t="n">
        <v>40</v>
      </c>
      <c r="R279" s="79" t="n">
        <v>55</v>
      </c>
      <c r="S279" s="79" t="n">
        <v>50</v>
      </c>
      <c r="T279" s="79" t="n">
        <v>27</v>
      </c>
      <c r="U279" s="79" t="n">
        <v>45</v>
      </c>
      <c r="V279" s="79" t="n">
        <v>48</v>
      </c>
      <c r="W279" s="79" t="n">
        <v>48</v>
      </c>
      <c r="X279" s="79" t="n">
        <v>58</v>
      </c>
      <c r="Y279" s="79" t="n">
        <v>59</v>
      </c>
      <c r="Z279" s="79" t="n">
        <v>60</v>
      </c>
      <c r="AA279" s="79" t="n">
        <v>62</v>
      </c>
    </row>
    <row r="281" customFormat="false" ht="45" hidden="false" customHeight="true" outlineLevel="0" collapsed="false">
      <c r="A281" s="65" t="s">
        <v>415</v>
      </c>
      <c r="B281" s="65"/>
      <c r="C281" s="65"/>
      <c r="D281" s="65"/>
      <c r="E281" s="65"/>
      <c r="F281" s="65"/>
      <c r="G281" s="65"/>
      <c r="H281" s="65"/>
      <c r="I281" s="65"/>
    </row>
    <row r="282" customFormat="false" ht="15" hidden="false" customHeight="true" outlineLevel="0" collapsed="false">
      <c r="A282" s="29" t="s">
        <v>272</v>
      </c>
      <c r="B282" s="29"/>
      <c r="C282" s="29"/>
      <c r="D282" s="29"/>
      <c r="E282" s="29"/>
      <c r="F282" s="29"/>
      <c r="G282" s="29"/>
      <c r="H282" s="29"/>
      <c r="I282" s="29"/>
    </row>
    <row r="284" customFormat="false" ht="45" hidden="false" customHeight="true" outlineLevel="0" collapsed="false">
      <c r="A284" s="65" t="s">
        <v>416</v>
      </c>
      <c r="B284" s="65"/>
      <c r="C284" s="65"/>
      <c r="D284" s="65"/>
      <c r="E284" s="65"/>
      <c r="F284" s="65"/>
      <c r="G284" s="65"/>
      <c r="H284" s="65"/>
      <c r="I284" s="65"/>
    </row>
    <row r="285" customFormat="false" ht="15" hidden="false" customHeight="true" outlineLevel="0" collapsed="false">
      <c r="A285" s="29" t="s">
        <v>272</v>
      </c>
      <c r="B285" s="29"/>
      <c r="C285" s="29"/>
      <c r="D285" s="29"/>
      <c r="E285" s="29"/>
      <c r="F285" s="29"/>
      <c r="G285" s="29"/>
      <c r="H285" s="29"/>
      <c r="I285" s="29"/>
    </row>
    <row r="287" customFormat="false" ht="19.5" hidden="false" customHeight="true" outlineLevel="0" collapsed="false">
      <c r="A287" s="65" t="s">
        <v>417</v>
      </c>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row>
    <row r="288" customFormat="false" ht="15" hidden="false" customHeight="true" outlineLevel="0" collapsed="false">
      <c r="A288" s="80" t="s">
        <v>537</v>
      </c>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c r="AA288" s="80"/>
    </row>
    <row r="289" customFormat="false" ht="15" hidden="false" customHeight="true" outlineLevel="0" collapsed="false">
      <c r="A289" s="12" t="s">
        <v>513</v>
      </c>
      <c r="B289" s="12" t="s">
        <v>113</v>
      </c>
      <c r="C289" s="12" t="s">
        <v>114</v>
      </c>
      <c r="D289" s="12" t="s">
        <v>115</v>
      </c>
      <c r="E289" s="12" t="s">
        <v>116</v>
      </c>
      <c r="F289" s="12" t="s">
        <v>117</v>
      </c>
      <c r="G289" s="12" t="s">
        <v>118</v>
      </c>
      <c r="H289" s="12" t="s">
        <v>119</v>
      </c>
      <c r="I289" s="12" t="s">
        <v>120</v>
      </c>
      <c r="J289" s="12" t="s">
        <v>121</v>
      </c>
      <c r="K289" s="12" t="s">
        <v>122</v>
      </c>
      <c r="L289" s="12" t="s">
        <v>123</v>
      </c>
      <c r="M289" s="12" t="s">
        <v>124</v>
      </c>
      <c r="N289" s="12" t="s">
        <v>125</v>
      </c>
      <c r="O289" s="12" t="s">
        <v>126</v>
      </c>
      <c r="P289" s="12" t="s">
        <v>127</v>
      </c>
      <c r="Q289" s="12" t="s">
        <v>128</v>
      </c>
      <c r="R289" s="12" t="s">
        <v>129</v>
      </c>
      <c r="S289" s="12" t="s">
        <v>130</v>
      </c>
      <c r="T289" s="12" t="s">
        <v>131</v>
      </c>
      <c r="U289" s="12" t="s">
        <v>132</v>
      </c>
      <c r="V289" s="12" t="s">
        <v>518</v>
      </c>
      <c r="W289" s="12" t="s">
        <v>519</v>
      </c>
      <c r="X289" s="12" t="s">
        <v>520</v>
      </c>
      <c r="Y289" s="12" t="s">
        <v>521</v>
      </c>
      <c r="Z289" s="12" t="s">
        <v>522</v>
      </c>
      <c r="AA289" s="12" t="s">
        <v>523</v>
      </c>
    </row>
    <row r="290" customFormat="false" ht="15" hidden="false" customHeight="true" outlineLevel="0" collapsed="false">
      <c r="A290" s="30" t="s">
        <v>114</v>
      </c>
      <c r="B290" s="76"/>
      <c r="C290" s="74" t="n">
        <v>53</v>
      </c>
      <c r="D290" s="74" t="n">
        <v>40</v>
      </c>
      <c r="E290" s="74" t="n">
        <v>37</v>
      </c>
      <c r="F290" s="74" t="n">
        <v>37</v>
      </c>
      <c r="G290" s="74" t="n">
        <v>35</v>
      </c>
      <c r="H290" s="74" t="n">
        <v>5</v>
      </c>
      <c r="I290" s="74" t="n">
        <v>5</v>
      </c>
      <c r="J290" s="74" t="n">
        <v>5</v>
      </c>
      <c r="K290" s="74" t="n">
        <v>2</v>
      </c>
      <c r="L290" s="74" t="n">
        <v>1</v>
      </c>
      <c r="M290" s="74" t="n">
        <v>2</v>
      </c>
      <c r="N290" s="74" t="n">
        <v>0</v>
      </c>
      <c r="O290" s="74" t="n">
        <v>0</v>
      </c>
      <c r="P290" s="74" t="n">
        <v>0</v>
      </c>
      <c r="Q290" s="74" t="n">
        <v>0</v>
      </c>
      <c r="R290" s="74" t="n">
        <v>0</v>
      </c>
      <c r="S290" s="74" t="n">
        <v>0</v>
      </c>
      <c r="T290" s="74" t="n">
        <v>0</v>
      </c>
      <c r="U290" s="74" t="n">
        <v>0</v>
      </c>
      <c r="V290" s="81" t="n">
        <v>0</v>
      </c>
      <c r="W290" s="81" t="n">
        <v>0</v>
      </c>
      <c r="X290" s="81" t="n">
        <v>0</v>
      </c>
      <c r="Y290" s="81" t="n">
        <v>0</v>
      </c>
      <c r="Z290" s="81" t="n">
        <v>0</v>
      </c>
      <c r="AA290" s="81" t="n">
        <v>0</v>
      </c>
    </row>
    <row r="291" customFormat="false" ht="15" hidden="false" customHeight="true" outlineLevel="0" collapsed="false">
      <c r="A291" s="30" t="s">
        <v>115</v>
      </c>
      <c r="B291" s="76"/>
      <c r="C291" s="76"/>
      <c r="D291" s="74" t="n">
        <v>44</v>
      </c>
      <c r="E291" s="74" t="n">
        <v>38</v>
      </c>
      <c r="F291" s="74" t="n">
        <v>38</v>
      </c>
      <c r="G291" s="74" t="n">
        <v>37</v>
      </c>
      <c r="H291" s="74" t="n">
        <v>36</v>
      </c>
      <c r="I291" s="74" t="n">
        <v>8</v>
      </c>
      <c r="J291" s="74" t="n">
        <v>6</v>
      </c>
      <c r="K291" s="74" t="n">
        <v>3</v>
      </c>
      <c r="L291" s="74" t="n">
        <v>0</v>
      </c>
      <c r="M291" s="74" t="n">
        <v>2</v>
      </c>
      <c r="N291" s="74" t="n">
        <v>1</v>
      </c>
      <c r="O291" s="74" t="n">
        <v>1</v>
      </c>
      <c r="P291" s="74" t="n">
        <v>0</v>
      </c>
      <c r="Q291" s="74" t="n">
        <v>0</v>
      </c>
      <c r="R291" s="74" t="n">
        <v>0</v>
      </c>
      <c r="S291" s="74" t="n">
        <v>0</v>
      </c>
      <c r="T291" s="74" t="n">
        <v>0</v>
      </c>
      <c r="U291" s="74" t="n">
        <v>0</v>
      </c>
      <c r="V291" s="81" t="n">
        <v>0</v>
      </c>
      <c r="W291" s="81" t="n">
        <v>0</v>
      </c>
      <c r="X291" s="81" t="n">
        <v>0</v>
      </c>
      <c r="Y291" s="81" t="n">
        <v>0</v>
      </c>
      <c r="Z291" s="81" t="n">
        <v>0</v>
      </c>
      <c r="AA291" s="81" t="n">
        <v>0</v>
      </c>
    </row>
    <row r="292" customFormat="false" ht="15" hidden="false" customHeight="true" outlineLevel="0" collapsed="false">
      <c r="A292" s="30" t="s">
        <v>116</v>
      </c>
      <c r="B292" s="76"/>
      <c r="C292" s="76"/>
      <c r="D292" s="76"/>
      <c r="E292" s="74" t="n">
        <v>2</v>
      </c>
      <c r="F292" s="74" t="n">
        <v>2</v>
      </c>
      <c r="G292" s="74" t="n">
        <v>1</v>
      </c>
      <c r="H292" s="74" t="n">
        <v>0</v>
      </c>
      <c r="I292" s="74" t="n">
        <v>0</v>
      </c>
      <c r="J292" s="74" t="n">
        <v>0</v>
      </c>
      <c r="K292" s="74" t="n">
        <v>0</v>
      </c>
      <c r="L292" s="74" t="n">
        <v>0</v>
      </c>
      <c r="M292" s="74" t="n">
        <v>0</v>
      </c>
      <c r="N292" s="74" t="n">
        <v>0</v>
      </c>
      <c r="O292" s="74" t="n">
        <v>1</v>
      </c>
      <c r="P292" s="74" t="n">
        <v>1</v>
      </c>
      <c r="Q292" s="74" t="n">
        <v>0</v>
      </c>
      <c r="R292" s="74" t="n">
        <v>1</v>
      </c>
      <c r="S292" s="74" t="n">
        <v>0</v>
      </c>
      <c r="T292" s="74" t="n">
        <v>0</v>
      </c>
      <c r="U292" s="74" t="n">
        <v>0</v>
      </c>
      <c r="V292" s="81" t="n">
        <v>0</v>
      </c>
      <c r="W292" s="81" t="n">
        <v>0</v>
      </c>
      <c r="X292" s="81" t="n">
        <v>0</v>
      </c>
      <c r="Y292" s="81" t="n">
        <v>0</v>
      </c>
      <c r="Z292" s="81" t="n">
        <v>0</v>
      </c>
      <c r="AA292" s="81" t="n">
        <v>0</v>
      </c>
    </row>
    <row r="293" customFormat="false" ht="15" hidden="false" customHeight="true" outlineLevel="0" collapsed="false">
      <c r="A293" s="30" t="s">
        <v>117</v>
      </c>
      <c r="B293" s="76"/>
      <c r="C293" s="76"/>
      <c r="D293" s="76"/>
      <c r="E293" s="76"/>
      <c r="F293" s="74" t="n">
        <v>38</v>
      </c>
      <c r="G293" s="74" t="n">
        <v>31</v>
      </c>
      <c r="H293" s="74" t="n">
        <v>25</v>
      </c>
      <c r="I293" s="74" t="n">
        <v>29</v>
      </c>
      <c r="J293" s="74" t="n">
        <v>30</v>
      </c>
      <c r="K293" s="74" t="n">
        <v>5</v>
      </c>
      <c r="L293" s="74" t="n">
        <v>6</v>
      </c>
      <c r="M293" s="74" t="n">
        <v>5</v>
      </c>
      <c r="N293" s="74" t="n">
        <v>3</v>
      </c>
      <c r="O293" s="74" t="n">
        <v>2</v>
      </c>
      <c r="P293" s="74" t="n">
        <v>2</v>
      </c>
      <c r="Q293" s="74" t="n">
        <v>0</v>
      </c>
      <c r="R293" s="74" t="n">
        <v>1</v>
      </c>
      <c r="S293" s="74" t="n">
        <v>0</v>
      </c>
      <c r="T293" s="74" t="n">
        <v>0</v>
      </c>
      <c r="U293" s="74" t="n">
        <v>1</v>
      </c>
      <c r="V293" s="81" t="n">
        <v>0</v>
      </c>
      <c r="W293" s="81" t="n">
        <v>0</v>
      </c>
      <c r="X293" s="81" t="n">
        <v>0</v>
      </c>
      <c r="Y293" s="81" t="n">
        <v>0</v>
      </c>
      <c r="Z293" s="81" t="n">
        <v>0</v>
      </c>
      <c r="AA293" s="81" t="n">
        <v>0</v>
      </c>
    </row>
    <row r="294" customFormat="false" ht="15" hidden="false" customHeight="true" outlineLevel="0" collapsed="false">
      <c r="A294" s="30" t="s">
        <v>118</v>
      </c>
      <c r="B294" s="76"/>
      <c r="C294" s="76"/>
      <c r="D294" s="76"/>
      <c r="E294" s="76"/>
      <c r="F294" s="76"/>
      <c r="G294" s="74" t="n">
        <v>18</v>
      </c>
      <c r="H294" s="74" t="n">
        <v>14</v>
      </c>
      <c r="I294" s="74" t="n">
        <v>12</v>
      </c>
      <c r="J294" s="74" t="n">
        <v>12</v>
      </c>
      <c r="K294" s="74" t="n">
        <v>12</v>
      </c>
      <c r="L294" s="74" t="n">
        <v>3</v>
      </c>
      <c r="M294" s="74" t="n">
        <v>4</v>
      </c>
      <c r="N294" s="74" t="n">
        <v>2</v>
      </c>
      <c r="O294" s="74" t="n">
        <v>2</v>
      </c>
      <c r="P294" s="74" t="n">
        <v>1</v>
      </c>
      <c r="Q294" s="74" t="n">
        <v>2</v>
      </c>
      <c r="R294" s="74" t="n">
        <v>0</v>
      </c>
      <c r="S294" s="74" t="n">
        <v>0</v>
      </c>
      <c r="T294" s="74" t="n">
        <v>0</v>
      </c>
      <c r="U294" s="74" t="n">
        <v>0</v>
      </c>
      <c r="V294" s="81" t="n">
        <v>0</v>
      </c>
      <c r="W294" s="81" t="n">
        <v>0</v>
      </c>
      <c r="X294" s="81" t="n">
        <v>0</v>
      </c>
      <c r="Y294" s="81" t="n">
        <v>0</v>
      </c>
      <c r="Z294" s="81" t="n">
        <v>0</v>
      </c>
      <c r="AA294" s="81" t="n">
        <v>0</v>
      </c>
    </row>
    <row r="295" customFormat="false" ht="15" hidden="false" customHeight="true" outlineLevel="0" collapsed="false">
      <c r="A295" s="30" t="s">
        <v>119</v>
      </c>
      <c r="B295" s="76"/>
      <c r="C295" s="76"/>
      <c r="D295" s="76"/>
      <c r="E295" s="76"/>
      <c r="F295" s="76"/>
      <c r="G295" s="76"/>
      <c r="H295" s="74" t="n">
        <v>4</v>
      </c>
      <c r="I295" s="74" t="n">
        <v>3</v>
      </c>
      <c r="J295" s="74" t="n">
        <v>3</v>
      </c>
      <c r="K295" s="74" t="n">
        <v>0</v>
      </c>
      <c r="L295" s="74" t="n">
        <v>3</v>
      </c>
      <c r="M295" s="74" t="n">
        <v>3</v>
      </c>
      <c r="N295" s="74" t="n">
        <v>0</v>
      </c>
      <c r="O295" s="74" t="n">
        <v>0</v>
      </c>
      <c r="P295" s="74" t="n">
        <v>1</v>
      </c>
      <c r="Q295" s="74" t="n">
        <v>0</v>
      </c>
      <c r="R295" s="74" t="n">
        <v>0</v>
      </c>
      <c r="S295" s="74" t="n">
        <v>0</v>
      </c>
      <c r="T295" s="74" t="n">
        <v>0</v>
      </c>
      <c r="U295" s="74" t="n">
        <v>0</v>
      </c>
      <c r="V295" s="81" t="n">
        <v>0</v>
      </c>
      <c r="W295" s="81" t="n">
        <v>0</v>
      </c>
      <c r="X295" s="81" t="n">
        <v>0</v>
      </c>
      <c r="Y295" s="81" t="n">
        <v>0</v>
      </c>
      <c r="Z295" s="81" t="n">
        <v>0</v>
      </c>
      <c r="AA295" s="81" t="n">
        <v>0</v>
      </c>
    </row>
    <row r="296" customFormat="false" ht="15" hidden="false" customHeight="true" outlineLevel="0" collapsed="false">
      <c r="A296" s="30" t="s">
        <v>120</v>
      </c>
      <c r="B296" s="76"/>
      <c r="C296" s="76"/>
      <c r="D296" s="76"/>
      <c r="E296" s="76"/>
      <c r="F296" s="76"/>
      <c r="G296" s="76"/>
      <c r="H296" s="76"/>
      <c r="I296" s="74" t="n">
        <v>19</v>
      </c>
      <c r="J296" s="74" t="n">
        <v>14</v>
      </c>
      <c r="K296" s="74" t="n">
        <v>10</v>
      </c>
      <c r="L296" s="74" t="n">
        <v>12</v>
      </c>
      <c r="M296" s="74" t="n">
        <v>12</v>
      </c>
      <c r="N296" s="74" t="n">
        <v>3</v>
      </c>
      <c r="O296" s="74" t="n">
        <v>2</v>
      </c>
      <c r="P296" s="74" t="n">
        <v>1</v>
      </c>
      <c r="Q296" s="74" t="n">
        <v>0</v>
      </c>
      <c r="R296" s="74" t="n">
        <v>1</v>
      </c>
      <c r="S296" s="74" t="n">
        <v>1</v>
      </c>
      <c r="T296" s="74" t="n">
        <v>0</v>
      </c>
      <c r="U296" s="74" t="n">
        <v>0</v>
      </c>
      <c r="V296" s="81" t="n">
        <v>0</v>
      </c>
      <c r="W296" s="81" t="n">
        <v>0</v>
      </c>
      <c r="X296" s="81" t="n">
        <v>0</v>
      </c>
      <c r="Y296" s="81" t="n">
        <v>0</v>
      </c>
      <c r="Z296" s="81" t="n">
        <v>0</v>
      </c>
      <c r="AA296" s="81" t="n">
        <v>0</v>
      </c>
    </row>
    <row r="297" customFormat="false" ht="15" hidden="false" customHeight="true" outlineLevel="0" collapsed="false">
      <c r="A297" s="30" t="s">
        <v>121</v>
      </c>
      <c r="B297" s="76"/>
      <c r="C297" s="76"/>
      <c r="D297" s="76"/>
      <c r="E297" s="76"/>
      <c r="F297" s="76"/>
      <c r="G297" s="76"/>
      <c r="H297" s="76"/>
      <c r="I297" s="76"/>
      <c r="J297" s="74" t="n">
        <v>21</v>
      </c>
      <c r="K297" s="74" t="n">
        <v>12</v>
      </c>
      <c r="L297" s="74" t="n">
        <v>16</v>
      </c>
      <c r="M297" s="74" t="n">
        <v>16</v>
      </c>
      <c r="N297" s="74" t="n">
        <v>12</v>
      </c>
      <c r="O297" s="74" t="n">
        <v>6</v>
      </c>
      <c r="P297" s="74" t="n">
        <v>7</v>
      </c>
      <c r="Q297" s="74" t="n">
        <v>4</v>
      </c>
      <c r="R297" s="74" t="n">
        <v>1</v>
      </c>
      <c r="S297" s="74" t="n">
        <v>0</v>
      </c>
      <c r="T297" s="74" t="n">
        <v>0</v>
      </c>
      <c r="U297" s="74" t="n">
        <v>0</v>
      </c>
      <c r="V297" s="81" t="n">
        <v>0</v>
      </c>
      <c r="W297" s="81" t="n">
        <v>0</v>
      </c>
      <c r="X297" s="81" t="n">
        <v>0</v>
      </c>
      <c r="Y297" s="81" t="n">
        <v>0</v>
      </c>
      <c r="Z297" s="81" t="n">
        <v>0</v>
      </c>
      <c r="AA297" s="81" t="n">
        <v>0</v>
      </c>
    </row>
    <row r="298" customFormat="false" ht="15" hidden="false" customHeight="true" outlineLevel="0" collapsed="false">
      <c r="A298" s="30" t="s">
        <v>122</v>
      </c>
      <c r="B298" s="76"/>
      <c r="C298" s="76"/>
      <c r="D298" s="76"/>
      <c r="E298" s="76"/>
      <c r="F298" s="76"/>
      <c r="G298" s="76"/>
      <c r="H298" s="76"/>
      <c r="I298" s="76"/>
      <c r="J298" s="76"/>
      <c r="K298" s="74" t="n">
        <v>7</v>
      </c>
      <c r="L298" s="74" t="n">
        <v>6</v>
      </c>
      <c r="M298" s="74" t="n">
        <v>6</v>
      </c>
      <c r="N298" s="74" t="n">
        <v>1</v>
      </c>
      <c r="O298" s="74" t="n">
        <v>5</v>
      </c>
      <c r="P298" s="74" t="n">
        <v>5</v>
      </c>
      <c r="Q298" s="74" t="n">
        <v>0</v>
      </c>
      <c r="R298" s="74" t="n">
        <v>0</v>
      </c>
      <c r="S298" s="74" t="n">
        <v>1</v>
      </c>
      <c r="T298" s="74" t="n">
        <v>0</v>
      </c>
      <c r="U298" s="74" t="n">
        <v>0</v>
      </c>
      <c r="V298" s="81" t="n">
        <v>0</v>
      </c>
      <c r="W298" s="81" t="n">
        <v>0</v>
      </c>
      <c r="X298" s="81" t="n">
        <v>0</v>
      </c>
      <c r="Y298" s="81" t="n">
        <v>0</v>
      </c>
      <c r="Z298" s="81" t="n">
        <v>0</v>
      </c>
      <c r="AA298" s="81" t="n">
        <v>0</v>
      </c>
    </row>
    <row r="299" customFormat="false" ht="15" hidden="false" customHeight="true" outlineLevel="0" collapsed="false">
      <c r="A299" s="30" t="s">
        <v>123</v>
      </c>
      <c r="B299" s="76"/>
      <c r="C299" s="76"/>
      <c r="D299" s="76"/>
      <c r="E299" s="76"/>
      <c r="F299" s="76"/>
      <c r="G299" s="76"/>
      <c r="H299" s="76"/>
      <c r="I299" s="76"/>
      <c r="J299" s="76"/>
      <c r="K299" s="76"/>
      <c r="L299" s="74" t="n">
        <v>28</v>
      </c>
      <c r="M299" s="74" t="n">
        <v>26</v>
      </c>
      <c r="N299" s="74" t="n">
        <v>21</v>
      </c>
      <c r="O299" s="74" t="n">
        <v>22</v>
      </c>
      <c r="P299" s="74" t="n">
        <v>22</v>
      </c>
      <c r="Q299" s="74" t="n">
        <v>6</v>
      </c>
      <c r="R299" s="74" t="n">
        <v>8</v>
      </c>
      <c r="S299" s="74" t="n">
        <v>7</v>
      </c>
      <c r="T299" s="74" t="n">
        <v>1</v>
      </c>
      <c r="U299" s="74" t="n">
        <v>4</v>
      </c>
      <c r="V299" s="81" t="n">
        <v>3</v>
      </c>
      <c r="W299" s="81" t="n">
        <v>1</v>
      </c>
      <c r="X299" s="81" t="n">
        <v>0</v>
      </c>
      <c r="Y299" s="81" t="n">
        <v>0</v>
      </c>
      <c r="Z299" s="81" t="n">
        <v>0</v>
      </c>
      <c r="AA299" s="81" t="n">
        <v>0</v>
      </c>
    </row>
    <row r="300" customFormat="false" ht="15" hidden="false" customHeight="true" outlineLevel="0" collapsed="false">
      <c r="A300" s="30" t="s">
        <v>124</v>
      </c>
      <c r="B300" s="76"/>
      <c r="C300" s="76"/>
      <c r="D300" s="76"/>
      <c r="E300" s="76"/>
      <c r="F300" s="76"/>
      <c r="G300" s="76"/>
      <c r="H300" s="76"/>
      <c r="I300" s="76"/>
      <c r="J300" s="76"/>
      <c r="K300" s="76"/>
      <c r="L300" s="76"/>
      <c r="M300" s="74" t="n">
        <v>20</v>
      </c>
      <c r="N300" s="74" t="n">
        <v>15</v>
      </c>
      <c r="O300" s="74" t="n">
        <v>15</v>
      </c>
      <c r="P300" s="74" t="n">
        <v>15</v>
      </c>
      <c r="Q300" s="74" t="n">
        <v>16</v>
      </c>
      <c r="R300" s="74" t="n">
        <v>4</v>
      </c>
      <c r="S300" s="74" t="n">
        <v>3</v>
      </c>
      <c r="T300" s="74" t="n">
        <v>4</v>
      </c>
      <c r="U300" s="74" t="n">
        <v>1</v>
      </c>
      <c r="V300" s="81" t="n">
        <v>1</v>
      </c>
      <c r="W300" s="81" t="n">
        <v>1</v>
      </c>
      <c r="X300" s="81" t="n">
        <v>0</v>
      </c>
      <c r="Y300" s="81" t="n">
        <v>0</v>
      </c>
      <c r="Z300" s="81" t="n">
        <v>0</v>
      </c>
      <c r="AA300" s="81" t="n">
        <v>0</v>
      </c>
    </row>
    <row r="301" customFormat="false" ht="15" hidden="false" customHeight="true" outlineLevel="0" collapsed="false">
      <c r="A301" s="30" t="s">
        <v>126</v>
      </c>
      <c r="B301" s="76"/>
      <c r="C301" s="76"/>
      <c r="D301" s="76"/>
      <c r="E301" s="76"/>
      <c r="F301" s="76"/>
      <c r="G301" s="76"/>
      <c r="H301" s="76"/>
      <c r="I301" s="76"/>
      <c r="J301" s="76"/>
      <c r="K301" s="76"/>
      <c r="L301" s="76"/>
      <c r="M301" s="76"/>
      <c r="N301" s="76"/>
      <c r="O301" s="74" t="n">
        <v>33</v>
      </c>
      <c r="P301" s="74" t="n">
        <v>27</v>
      </c>
      <c r="Q301" s="74" t="n">
        <v>21</v>
      </c>
      <c r="R301" s="74" t="n">
        <v>24</v>
      </c>
      <c r="S301" s="74" t="n">
        <v>23</v>
      </c>
      <c r="T301" s="74" t="n">
        <v>4</v>
      </c>
      <c r="U301" s="74" t="n">
        <v>4</v>
      </c>
      <c r="V301" s="81" t="n">
        <v>3</v>
      </c>
      <c r="W301" s="81" t="n">
        <v>1</v>
      </c>
      <c r="X301" s="81" t="n">
        <v>1</v>
      </c>
      <c r="Y301" s="81" t="n">
        <v>1</v>
      </c>
      <c r="Z301" s="81" t="n">
        <v>0</v>
      </c>
      <c r="AA301" s="81" t="n">
        <v>0</v>
      </c>
    </row>
    <row r="302" customFormat="false" ht="15" hidden="false" customHeight="true" outlineLevel="0" collapsed="false">
      <c r="A302" s="30" t="s">
        <v>127</v>
      </c>
      <c r="B302" s="76"/>
      <c r="C302" s="76"/>
      <c r="D302" s="76"/>
      <c r="E302" s="76"/>
      <c r="F302" s="76"/>
      <c r="G302" s="76"/>
      <c r="H302" s="76"/>
      <c r="I302" s="76"/>
      <c r="J302" s="76"/>
      <c r="K302" s="76"/>
      <c r="L302" s="76"/>
      <c r="M302" s="76"/>
      <c r="N302" s="76"/>
      <c r="O302" s="76"/>
      <c r="P302" s="74" t="n">
        <v>22</v>
      </c>
      <c r="Q302" s="74" t="n">
        <v>18</v>
      </c>
      <c r="R302" s="74" t="n">
        <v>18</v>
      </c>
      <c r="S302" s="74" t="n">
        <v>18</v>
      </c>
      <c r="T302" s="74" t="n">
        <v>15</v>
      </c>
      <c r="U302" s="74" t="n">
        <v>5</v>
      </c>
      <c r="V302" s="81" t="n">
        <v>4</v>
      </c>
      <c r="W302" s="81" t="n">
        <v>3</v>
      </c>
      <c r="X302" s="81" t="n">
        <v>1</v>
      </c>
      <c r="Y302" s="81" t="n">
        <v>1</v>
      </c>
      <c r="Z302" s="81" t="n">
        <v>1</v>
      </c>
      <c r="AA302" s="81" t="n">
        <v>0</v>
      </c>
    </row>
    <row r="303" customFormat="false" ht="15" hidden="false" customHeight="true" outlineLevel="0" collapsed="false">
      <c r="A303" s="30" t="s">
        <v>129</v>
      </c>
      <c r="B303" s="76"/>
      <c r="C303" s="76"/>
      <c r="D303" s="76"/>
      <c r="E303" s="76"/>
      <c r="F303" s="76"/>
      <c r="G303" s="76"/>
      <c r="H303" s="76"/>
      <c r="I303" s="76"/>
      <c r="J303" s="76"/>
      <c r="K303" s="76"/>
      <c r="L303" s="76"/>
      <c r="M303" s="76"/>
      <c r="N303" s="76"/>
      <c r="O303" s="76"/>
      <c r="P303" s="76"/>
      <c r="Q303" s="76"/>
      <c r="R303" s="74" t="n">
        <v>39</v>
      </c>
      <c r="S303" s="74" t="n">
        <v>37</v>
      </c>
      <c r="T303" s="74" t="n">
        <v>31</v>
      </c>
      <c r="U303" s="74" t="n">
        <v>33</v>
      </c>
      <c r="V303" s="81" t="n">
        <v>33</v>
      </c>
      <c r="W303" s="81" t="n">
        <v>9</v>
      </c>
      <c r="X303" s="81" t="n">
        <v>7</v>
      </c>
      <c r="Y303" s="81" t="n">
        <v>6</v>
      </c>
      <c r="Z303" s="81" t="n">
        <v>2</v>
      </c>
      <c r="AA303" s="81" t="n">
        <v>2</v>
      </c>
    </row>
    <row r="304" customFormat="false" ht="15" hidden="false" customHeight="true" outlineLevel="0" collapsed="false">
      <c r="A304" s="30" t="s">
        <v>130</v>
      </c>
      <c r="B304" s="76"/>
      <c r="C304" s="76"/>
      <c r="D304" s="76"/>
      <c r="E304" s="76"/>
      <c r="F304" s="76"/>
      <c r="G304" s="76"/>
      <c r="H304" s="76"/>
      <c r="I304" s="76"/>
      <c r="J304" s="76"/>
      <c r="K304" s="76"/>
      <c r="L304" s="76"/>
      <c r="M304" s="76"/>
      <c r="N304" s="76"/>
      <c r="O304" s="76"/>
      <c r="P304" s="76"/>
      <c r="Q304" s="76"/>
      <c r="R304" s="76"/>
      <c r="S304" s="74" t="n">
        <v>18</v>
      </c>
      <c r="T304" s="74" t="n">
        <v>16</v>
      </c>
      <c r="U304" s="74" t="n">
        <v>14</v>
      </c>
      <c r="V304" s="81" t="n">
        <v>14</v>
      </c>
      <c r="W304" s="81" t="n">
        <v>14</v>
      </c>
      <c r="X304" s="81" t="n">
        <v>4</v>
      </c>
      <c r="Y304" s="81" t="n">
        <v>3</v>
      </c>
      <c r="Z304" s="81" t="n">
        <v>2</v>
      </c>
      <c r="AA304" s="81" t="n">
        <v>1</v>
      </c>
    </row>
    <row r="305" customFormat="false" ht="15" hidden="false" customHeight="true" outlineLevel="0" collapsed="false">
      <c r="A305" s="30" t="s">
        <v>132</v>
      </c>
      <c r="B305" s="76"/>
      <c r="C305" s="76"/>
      <c r="D305" s="76"/>
      <c r="E305" s="76"/>
      <c r="F305" s="76"/>
      <c r="G305" s="76"/>
      <c r="H305" s="76"/>
      <c r="I305" s="76"/>
      <c r="J305" s="76"/>
      <c r="K305" s="76"/>
      <c r="L305" s="76"/>
      <c r="M305" s="76"/>
      <c r="N305" s="76"/>
      <c r="O305" s="76"/>
      <c r="P305" s="76"/>
      <c r="Q305" s="76"/>
      <c r="R305" s="76"/>
      <c r="S305" s="76"/>
      <c r="T305" s="76"/>
      <c r="U305" s="74" t="n">
        <v>32</v>
      </c>
      <c r="V305" s="81" t="n">
        <v>25</v>
      </c>
      <c r="W305" s="81" t="n">
        <v>23</v>
      </c>
      <c r="X305" s="81" t="n">
        <v>23</v>
      </c>
      <c r="Y305" s="81" t="n">
        <v>23</v>
      </c>
      <c r="Z305" s="81" t="n">
        <v>6</v>
      </c>
      <c r="AA305" s="81" t="n">
        <v>5</v>
      </c>
    </row>
    <row r="306" customFormat="false" ht="15" hidden="false" customHeight="true" outlineLevel="0" collapsed="false">
      <c r="A306" s="82" t="s">
        <v>524</v>
      </c>
      <c r="B306" s="76"/>
      <c r="C306" s="76"/>
      <c r="D306" s="76"/>
      <c r="E306" s="76"/>
      <c r="F306" s="76"/>
      <c r="G306" s="76"/>
      <c r="H306" s="76"/>
      <c r="I306" s="76"/>
      <c r="J306" s="76"/>
      <c r="K306" s="76"/>
      <c r="L306" s="76"/>
      <c r="M306" s="76"/>
      <c r="N306" s="76"/>
      <c r="O306" s="76"/>
      <c r="P306" s="76"/>
      <c r="Q306" s="76"/>
      <c r="R306" s="76"/>
      <c r="S306" s="76"/>
      <c r="T306" s="76"/>
      <c r="U306" s="76"/>
      <c r="V306" s="81" t="n">
        <v>30</v>
      </c>
      <c r="W306" s="81" t="n">
        <v>24</v>
      </c>
      <c r="X306" s="81" t="n">
        <v>22</v>
      </c>
      <c r="Y306" s="81" t="n">
        <v>21</v>
      </c>
      <c r="Z306" s="81" t="n">
        <v>22</v>
      </c>
      <c r="AA306" s="81" t="n">
        <v>6</v>
      </c>
    </row>
    <row r="307" customFormat="false" ht="15" hidden="false" customHeight="true" outlineLevel="0" collapsed="false">
      <c r="A307" s="82" t="s">
        <v>525</v>
      </c>
      <c r="B307" s="76"/>
      <c r="C307" s="76"/>
      <c r="D307" s="76"/>
      <c r="E307" s="76"/>
      <c r="F307" s="76"/>
      <c r="G307" s="76"/>
      <c r="H307" s="76"/>
      <c r="I307" s="76"/>
      <c r="J307" s="76"/>
      <c r="K307" s="76"/>
      <c r="L307" s="76"/>
      <c r="M307" s="76"/>
      <c r="N307" s="76"/>
      <c r="O307" s="76"/>
      <c r="P307" s="76"/>
      <c r="Q307" s="76"/>
      <c r="R307" s="76"/>
      <c r="S307" s="76"/>
      <c r="T307" s="76"/>
      <c r="U307" s="76"/>
      <c r="V307" s="76"/>
      <c r="W307" s="81" t="n">
        <v>30</v>
      </c>
      <c r="X307" s="81" t="n">
        <v>24</v>
      </c>
      <c r="Y307" s="81" t="n">
        <v>22</v>
      </c>
      <c r="Z307" s="81" t="n">
        <v>21</v>
      </c>
      <c r="AA307" s="81" t="n">
        <v>22</v>
      </c>
    </row>
    <row r="308" customFormat="false" ht="15" hidden="false" customHeight="true" outlineLevel="0" collapsed="false">
      <c r="A308" s="82" t="s">
        <v>526</v>
      </c>
      <c r="B308" s="76"/>
      <c r="C308" s="76"/>
      <c r="D308" s="76"/>
      <c r="E308" s="76"/>
      <c r="F308" s="76"/>
      <c r="G308" s="76"/>
      <c r="H308" s="76"/>
      <c r="I308" s="76"/>
      <c r="J308" s="76"/>
      <c r="K308" s="76"/>
      <c r="L308" s="76"/>
      <c r="M308" s="76"/>
      <c r="N308" s="76"/>
      <c r="O308" s="76"/>
      <c r="P308" s="76"/>
      <c r="Q308" s="76"/>
      <c r="R308" s="76"/>
      <c r="S308" s="76"/>
      <c r="T308" s="76"/>
      <c r="U308" s="76"/>
      <c r="V308" s="76"/>
      <c r="W308" s="76"/>
      <c r="X308" s="81" t="n">
        <v>30</v>
      </c>
      <c r="Y308" s="81" t="n">
        <v>24</v>
      </c>
      <c r="Z308" s="81" t="n">
        <v>22</v>
      </c>
      <c r="AA308" s="81" t="n">
        <v>21</v>
      </c>
    </row>
    <row r="309" customFormat="false" ht="15" hidden="false" customHeight="true" outlineLevel="0" collapsed="false">
      <c r="A309" s="82" t="s">
        <v>527</v>
      </c>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81" t="n">
        <v>30</v>
      </c>
      <c r="Z309" s="81" t="n">
        <v>24</v>
      </c>
      <c r="AA309" s="81" t="n">
        <v>22</v>
      </c>
    </row>
    <row r="310" customFormat="false" ht="15" hidden="false" customHeight="true" outlineLevel="0" collapsed="false">
      <c r="A310" s="82" t="s">
        <v>528</v>
      </c>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81" t="n">
        <v>30</v>
      </c>
      <c r="AA310" s="81" t="n">
        <v>24</v>
      </c>
    </row>
    <row r="311" customFormat="false" ht="15" hidden="false" customHeight="true" outlineLevel="0" collapsed="false">
      <c r="A311" s="82" t="s">
        <v>529</v>
      </c>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c r="AA311" s="81" t="n">
        <v>30</v>
      </c>
    </row>
    <row r="312" customFormat="false" ht="15" hidden="false" customHeight="true" outlineLevel="0" collapsed="false">
      <c r="A312" s="34" t="s">
        <v>514</v>
      </c>
      <c r="B312" s="79"/>
      <c r="C312" s="79" t="n">
        <v>53</v>
      </c>
      <c r="D312" s="79" t="n">
        <v>84</v>
      </c>
      <c r="E312" s="79" t="n">
        <v>77</v>
      </c>
      <c r="F312" s="79" t="n">
        <v>115</v>
      </c>
      <c r="G312" s="79" t="n">
        <v>122</v>
      </c>
      <c r="H312" s="79" t="n">
        <v>84</v>
      </c>
      <c r="I312" s="79" t="n">
        <v>76</v>
      </c>
      <c r="J312" s="79" t="n">
        <v>91</v>
      </c>
      <c r="K312" s="79" t="n">
        <v>51</v>
      </c>
      <c r="L312" s="79" t="n">
        <v>75</v>
      </c>
      <c r="M312" s="79" t="n">
        <v>96</v>
      </c>
      <c r="N312" s="79" t="n">
        <v>58</v>
      </c>
      <c r="O312" s="79" t="n">
        <v>89</v>
      </c>
      <c r="P312" s="79" t="n">
        <v>104</v>
      </c>
      <c r="Q312" s="79" t="n">
        <v>67</v>
      </c>
      <c r="R312" s="79" t="n">
        <v>97</v>
      </c>
      <c r="S312" s="79" t="n">
        <v>108</v>
      </c>
      <c r="T312" s="79" t="n">
        <v>71</v>
      </c>
      <c r="U312" s="79" t="n">
        <v>94</v>
      </c>
      <c r="V312" s="79" t="n">
        <v>114</v>
      </c>
      <c r="W312" s="79" t="n">
        <v>105</v>
      </c>
      <c r="X312" s="79" t="n">
        <v>112</v>
      </c>
      <c r="Y312" s="79" t="n">
        <v>131</v>
      </c>
      <c r="Z312" s="79" t="n">
        <v>130</v>
      </c>
      <c r="AA312" s="79" t="n">
        <v>133</v>
      </c>
    </row>
    <row r="314" customFormat="false" ht="19.5" hidden="false" customHeight="true" outlineLevel="0" collapsed="false">
      <c r="A314" s="65" t="s">
        <v>418</v>
      </c>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row>
    <row r="315" customFormat="false" ht="15" hidden="false" customHeight="true" outlineLevel="0" collapsed="false">
      <c r="A315" s="80" t="s">
        <v>538</v>
      </c>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c r="AA315" s="80"/>
    </row>
    <row r="316" customFormat="false" ht="15" hidden="false" customHeight="true" outlineLevel="0" collapsed="false">
      <c r="A316" s="12" t="s">
        <v>513</v>
      </c>
      <c r="B316" s="12" t="s">
        <v>113</v>
      </c>
      <c r="C316" s="12" t="s">
        <v>114</v>
      </c>
      <c r="D316" s="12" t="s">
        <v>115</v>
      </c>
      <c r="E316" s="12" t="s">
        <v>116</v>
      </c>
      <c r="F316" s="12" t="s">
        <v>117</v>
      </c>
      <c r="G316" s="12" t="s">
        <v>118</v>
      </c>
      <c r="H316" s="12" t="s">
        <v>119</v>
      </c>
      <c r="I316" s="12" t="s">
        <v>120</v>
      </c>
      <c r="J316" s="12" t="s">
        <v>121</v>
      </c>
      <c r="K316" s="12" t="s">
        <v>122</v>
      </c>
      <c r="L316" s="12" t="s">
        <v>123</v>
      </c>
      <c r="M316" s="12" t="s">
        <v>124</v>
      </c>
      <c r="N316" s="12" t="s">
        <v>125</v>
      </c>
      <c r="O316" s="12" t="s">
        <v>126</v>
      </c>
      <c r="P316" s="12" t="s">
        <v>127</v>
      </c>
      <c r="Q316" s="12" t="s">
        <v>128</v>
      </c>
      <c r="R316" s="12" t="s">
        <v>129</v>
      </c>
      <c r="S316" s="12" t="s">
        <v>130</v>
      </c>
      <c r="T316" s="12" t="s">
        <v>131</v>
      </c>
      <c r="U316" s="12" t="s">
        <v>132</v>
      </c>
      <c r="V316" s="12" t="s">
        <v>518</v>
      </c>
      <c r="W316" s="12" t="s">
        <v>519</v>
      </c>
      <c r="X316" s="12" t="s">
        <v>520</v>
      </c>
      <c r="Y316" s="12" t="s">
        <v>521</v>
      </c>
      <c r="Z316" s="12" t="s">
        <v>522</v>
      </c>
      <c r="AA316" s="12" t="s">
        <v>523</v>
      </c>
    </row>
    <row r="317" customFormat="false" ht="15" hidden="false" customHeight="true" outlineLevel="0" collapsed="false">
      <c r="A317" s="30" t="s">
        <v>116</v>
      </c>
      <c r="B317" s="76"/>
      <c r="C317" s="76"/>
      <c r="D317" s="76"/>
      <c r="E317" s="74" t="n">
        <v>10</v>
      </c>
      <c r="F317" s="74" t="n">
        <v>10</v>
      </c>
      <c r="G317" s="74" t="n">
        <v>9</v>
      </c>
      <c r="H317" s="74" t="n">
        <v>8</v>
      </c>
      <c r="I317" s="74" t="n">
        <v>1</v>
      </c>
      <c r="J317" s="74" t="n">
        <v>1</v>
      </c>
      <c r="K317" s="74" t="n">
        <v>1</v>
      </c>
      <c r="L317" s="74" t="n">
        <v>0</v>
      </c>
      <c r="M317" s="74" t="n">
        <v>0</v>
      </c>
      <c r="N317" s="74" t="n">
        <v>0</v>
      </c>
      <c r="O317" s="74" t="n">
        <v>0</v>
      </c>
      <c r="P317" s="74" t="n">
        <v>0</v>
      </c>
      <c r="Q317" s="74" t="n">
        <v>0</v>
      </c>
      <c r="R317" s="74" t="n">
        <v>0</v>
      </c>
      <c r="S317" s="74" t="n">
        <v>0</v>
      </c>
      <c r="T317" s="74" t="n">
        <v>0</v>
      </c>
      <c r="U317" s="74" t="n">
        <v>0</v>
      </c>
      <c r="V317" s="81" t="n">
        <v>0</v>
      </c>
      <c r="W317" s="81" t="n">
        <v>0</v>
      </c>
      <c r="X317" s="81" t="n">
        <v>0</v>
      </c>
      <c r="Y317" s="81" t="n">
        <v>0</v>
      </c>
      <c r="Z317" s="81" t="n">
        <v>0</v>
      </c>
      <c r="AA317" s="81" t="n">
        <v>0</v>
      </c>
    </row>
    <row r="318" customFormat="false" ht="15" hidden="false" customHeight="true" outlineLevel="0" collapsed="false">
      <c r="A318" s="30" t="s">
        <v>117</v>
      </c>
      <c r="B318" s="76"/>
      <c r="C318" s="76"/>
      <c r="D318" s="76"/>
      <c r="E318" s="76"/>
      <c r="F318" s="74" t="n">
        <v>12</v>
      </c>
      <c r="G318" s="74" t="n">
        <v>9</v>
      </c>
      <c r="H318" s="74" t="n">
        <v>8</v>
      </c>
      <c r="I318" s="74" t="n">
        <v>8</v>
      </c>
      <c r="J318" s="74" t="n">
        <v>2</v>
      </c>
      <c r="K318" s="74" t="n">
        <v>2</v>
      </c>
      <c r="L318" s="74" t="n">
        <v>3</v>
      </c>
      <c r="M318" s="74" t="n">
        <v>1</v>
      </c>
      <c r="N318" s="74" t="n">
        <v>0</v>
      </c>
      <c r="O318" s="74" t="n">
        <v>0</v>
      </c>
      <c r="P318" s="74" t="n">
        <v>0</v>
      </c>
      <c r="Q318" s="74" t="n">
        <v>0</v>
      </c>
      <c r="R318" s="74" t="n">
        <v>0</v>
      </c>
      <c r="S318" s="74" t="n">
        <v>0</v>
      </c>
      <c r="T318" s="74" t="n">
        <v>0</v>
      </c>
      <c r="U318" s="74" t="n">
        <v>0</v>
      </c>
      <c r="V318" s="81" t="n">
        <v>0</v>
      </c>
      <c r="W318" s="81" t="n">
        <v>0</v>
      </c>
      <c r="X318" s="81" t="n">
        <v>0</v>
      </c>
      <c r="Y318" s="81" t="n">
        <v>0</v>
      </c>
      <c r="Z318" s="81" t="n">
        <v>0</v>
      </c>
      <c r="AA318" s="81" t="n">
        <v>0</v>
      </c>
    </row>
    <row r="319" customFormat="false" ht="15" hidden="false" customHeight="true" outlineLevel="0" collapsed="false">
      <c r="A319" s="30" t="s">
        <v>118</v>
      </c>
      <c r="B319" s="76"/>
      <c r="C319" s="76"/>
      <c r="D319" s="76"/>
      <c r="E319" s="76"/>
      <c r="F319" s="76"/>
      <c r="G319" s="74" t="n">
        <v>13</v>
      </c>
      <c r="H319" s="74" t="n">
        <v>7</v>
      </c>
      <c r="I319" s="74" t="n">
        <v>8</v>
      </c>
      <c r="J319" s="74" t="n">
        <v>6</v>
      </c>
      <c r="K319" s="74" t="n">
        <v>0</v>
      </c>
      <c r="L319" s="74" t="n">
        <v>0</v>
      </c>
      <c r="M319" s="74" t="n">
        <v>0</v>
      </c>
      <c r="N319" s="74" t="n">
        <v>0</v>
      </c>
      <c r="O319" s="74" t="n">
        <v>0</v>
      </c>
      <c r="P319" s="74" t="n">
        <v>0</v>
      </c>
      <c r="Q319" s="74" t="n">
        <v>0</v>
      </c>
      <c r="R319" s="74" t="n">
        <v>0</v>
      </c>
      <c r="S319" s="74" t="n">
        <v>0</v>
      </c>
      <c r="T319" s="74" t="n">
        <v>0</v>
      </c>
      <c r="U319" s="74" t="n">
        <v>0</v>
      </c>
      <c r="V319" s="81" t="n">
        <v>0</v>
      </c>
      <c r="W319" s="81" t="n">
        <v>0</v>
      </c>
      <c r="X319" s="81" t="n">
        <v>0</v>
      </c>
      <c r="Y319" s="81" t="n">
        <v>0</v>
      </c>
      <c r="Z319" s="81" t="n">
        <v>0</v>
      </c>
      <c r="AA319" s="81" t="n">
        <v>0</v>
      </c>
    </row>
    <row r="320" customFormat="false" ht="15" hidden="false" customHeight="true" outlineLevel="0" collapsed="false">
      <c r="A320" s="30" t="s">
        <v>120</v>
      </c>
      <c r="B320" s="76"/>
      <c r="C320" s="76"/>
      <c r="D320" s="76"/>
      <c r="E320" s="76"/>
      <c r="F320" s="76"/>
      <c r="G320" s="76"/>
      <c r="H320" s="76"/>
      <c r="I320" s="74" t="n">
        <v>17</v>
      </c>
      <c r="J320" s="74" t="n">
        <v>13</v>
      </c>
      <c r="K320" s="74" t="n">
        <v>12</v>
      </c>
      <c r="L320" s="74" t="n">
        <v>12</v>
      </c>
      <c r="M320" s="74" t="n">
        <v>0</v>
      </c>
      <c r="N320" s="74" t="n">
        <v>0</v>
      </c>
      <c r="O320" s="74" t="n">
        <v>0</v>
      </c>
      <c r="P320" s="74" t="n">
        <v>0</v>
      </c>
      <c r="Q320" s="74" t="n">
        <v>1</v>
      </c>
      <c r="R320" s="74" t="n">
        <v>1</v>
      </c>
      <c r="S320" s="74" t="n">
        <v>2</v>
      </c>
      <c r="T320" s="74" t="n">
        <v>0</v>
      </c>
      <c r="U320" s="74" t="n">
        <v>1</v>
      </c>
      <c r="V320" s="81" t="n">
        <v>1</v>
      </c>
      <c r="W320" s="81" t="n">
        <v>1</v>
      </c>
      <c r="X320" s="81" t="n">
        <v>1</v>
      </c>
      <c r="Y320" s="81" t="n">
        <v>1</v>
      </c>
      <c r="Z320" s="81" t="n">
        <v>1</v>
      </c>
      <c r="AA320" s="81" t="n">
        <v>1</v>
      </c>
    </row>
    <row r="321" customFormat="false" ht="15" hidden="false" customHeight="true" outlineLevel="0" collapsed="false">
      <c r="A321" s="30" t="s">
        <v>121</v>
      </c>
      <c r="B321" s="76"/>
      <c r="C321" s="76"/>
      <c r="D321" s="76"/>
      <c r="E321" s="76"/>
      <c r="F321" s="76"/>
      <c r="G321" s="76"/>
      <c r="H321" s="76"/>
      <c r="I321" s="76"/>
      <c r="J321" s="74" t="n">
        <v>9</v>
      </c>
      <c r="K321" s="74" t="n">
        <v>5</v>
      </c>
      <c r="L321" s="74" t="n">
        <v>4</v>
      </c>
      <c r="M321" s="74" t="n">
        <v>4</v>
      </c>
      <c r="N321" s="74" t="n">
        <v>0</v>
      </c>
      <c r="O321" s="74" t="n">
        <v>0</v>
      </c>
      <c r="P321" s="74" t="n">
        <v>1</v>
      </c>
      <c r="Q321" s="74" t="n">
        <v>1</v>
      </c>
      <c r="R321" s="74" t="n">
        <v>1</v>
      </c>
      <c r="S321" s="74" t="n">
        <v>0</v>
      </c>
      <c r="T321" s="74" t="n">
        <v>0</v>
      </c>
      <c r="U321" s="74" t="n">
        <v>1</v>
      </c>
      <c r="V321" s="81" t="n">
        <v>1</v>
      </c>
      <c r="W321" s="81" t="n">
        <v>1</v>
      </c>
      <c r="X321" s="81" t="n">
        <v>1</v>
      </c>
      <c r="Y321" s="81" t="n">
        <v>1</v>
      </c>
      <c r="Z321" s="81" t="n">
        <v>1</v>
      </c>
      <c r="AA321" s="81" t="n">
        <v>1</v>
      </c>
    </row>
    <row r="322" customFormat="false" ht="15" hidden="false" customHeight="true" outlineLevel="0" collapsed="false">
      <c r="A322" s="30" t="s">
        <v>123</v>
      </c>
      <c r="B322" s="76"/>
      <c r="C322" s="76"/>
      <c r="D322" s="76"/>
      <c r="E322" s="76"/>
      <c r="F322" s="76"/>
      <c r="G322" s="76"/>
      <c r="H322" s="76"/>
      <c r="I322" s="76"/>
      <c r="J322" s="76"/>
      <c r="K322" s="76"/>
      <c r="L322" s="74" t="n">
        <v>15</v>
      </c>
      <c r="M322" s="74" t="n">
        <v>13</v>
      </c>
      <c r="N322" s="74" t="n">
        <v>11</v>
      </c>
      <c r="O322" s="74" t="n">
        <v>12</v>
      </c>
      <c r="P322" s="74" t="n">
        <v>1</v>
      </c>
      <c r="Q322" s="74" t="n">
        <v>2</v>
      </c>
      <c r="R322" s="74" t="n">
        <v>1</v>
      </c>
      <c r="S322" s="74" t="n">
        <v>0</v>
      </c>
      <c r="T322" s="74" t="n">
        <v>0</v>
      </c>
      <c r="U322" s="74" t="n">
        <v>0</v>
      </c>
      <c r="V322" s="81" t="n">
        <v>0</v>
      </c>
      <c r="W322" s="81" t="n">
        <v>0</v>
      </c>
      <c r="X322" s="81" t="n">
        <v>0</v>
      </c>
      <c r="Y322" s="81" t="n">
        <v>0</v>
      </c>
      <c r="Z322" s="81" t="n">
        <v>0</v>
      </c>
      <c r="AA322" s="81" t="n">
        <v>0</v>
      </c>
    </row>
    <row r="323" customFormat="false" ht="15" hidden="false" customHeight="true" outlineLevel="0" collapsed="false">
      <c r="A323" s="30" t="s">
        <v>124</v>
      </c>
      <c r="B323" s="76"/>
      <c r="C323" s="76"/>
      <c r="D323" s="76"/>
      <c r="E323" s="76"/>
      <c r="F323" s="76"/>
      <c r="G323" s="76"/>
      <c r="H323" s="76"/>
      <c r="I323" s="76"/>
      <c r="J323" s="76"/>
      <c r="K323" s="76"/>
      <c r="L323" s="76"/>
      <c r="M323" s="74" t="n">
        <v>6</v>
      </c>
      <c r="N323" s="74" t="n">
        <v>6</v>
      </c>
      <c r="O323" s="74" t="n">
        <v>6</v>
      </c>
      <c r="P323" s="74" t="n">
        <v>6</v>
      </c>
      <c r="Q323" s="74" t="n">
        <v>0</v>
      </c>
      <c r="R323" s="74" t="n">
        <v>1</v>
      </c>
      <c r="S323" s="74" t="n">
        <v>0</v>
      </c>
      <c r="T323" s="74" t="n">
        <v>1</v>
      </c>
      <c r="U323" s="74" t="n">
        <v>1</v>
      </c>
      <c r="V323" s="81" t="n">
        <v>0</v>
      </c>
      <c r="W323" s="81" t="n">
        <v>1</v>
      </c>
      <c r="X323" s="81" t="n">
        <v>0</v>
      </c>
      <c r="Y323" s="81" t="n">
        <v>0</v>
      </c>
      <c r="Z323" s="81" t="n">
        <v>0</v>
      </c>
      <c r="AA323" s="81" t="n">
        <v>0</v>
      </c>
    </row>
    <row r="324" customFormat="false" ht="15" hidden="false" customHeight="true" outlineLevel="0" collapsed="false">
      <c r="A324" s="30" t="s">
        <v>126</v>
      </c>
      <c r="B324" s="76"/>
      <c r="C324" s="76"/>
      <c r="D324" s="76"/>
      <c r="E324" s="76"/>
      <c r="F324" s="76"/>
      <c r="G324" s="76"/>
      <c r="H324" s="76"/>
      <c r="I324" s="76"/>
      <c r="J324" s="76"/>
      <c r="K324" s="76"/>
      <c r="L324" s="76"/>
      <c r="M324" s="76"/>
      <c r="N324" s="76"/>
      <c r="O324" s="74" t="n">
        <v>9</v>
      </c>
      <c r="P324" s="74" t="n">
        <v>8</v>
      </c>
      <c r="Q324" s="74" t="n">
        <v>7</v>
      </c>
      <c r="R324" s="74" t="n">
        <v>8</v>
      </c>
      <c r="S324" s="74" t="n">
        <v>1</v>
      </c>
      <c r="T324" s="74" t="n">
        <v>2</v>
      </c>
      <c r="U324" s="74" t="n">
        <v>0</v>
      </c>
      <c r="V324" s="81" t="n">
        <v>0</v>
      </c>
      <c r="W324" s="81" t="n">
        <v>0</v>
      </c>
      <c r="X324" s="81" t="n">
        <v>0</v>
      </c>
      <c r="Y324" s="81" t="n">
        <v>0</v>
      </c>
      <c r="Z324" s="81" t="n">
        <v>0</v>
      </c>
      <c r="AA324" s="81" t="n">
        <v>0</v>
      </c>
    </row>
    <row r="325" customFormat="false" ht="15" hidden="false" customHeight="true" outlineLevel="0" collapsed="false">
      <c r="A325" s="30" t="s">
        <v>127</v>
      </c>
      <c r="B325" s="76"/>
      <c r="C325" s="76"/>
      <c r="D325" s="76"/>
      <c r="E325" s="76"/>
      <c r="F325" s="76"/>
      <c r="G325" s="76"/>
      <c r="H325" s="76"/>
      <c r="I325" s="76"/>
      <c r="J325" s="76"/>
      <c r="K325" s="76"/>
      <c r="L325" s="76"/>
      <c r="M325" s="76"/>
      <c r="N325" s="76"/>
      <c r="O325" s="76"/>
      <c r="P325" s="74" t="n">
        <v>8</v>
      </c>
      <c r="Q325" s="74" t="n">
        <v>6</v>
      </c>
      <c r="R325" s="74" t="n">
        <v>6</v>
      </c>
      <c r="S325" s="74" t="n">
        <v>5</v>
      </c>
      <c r="T325" s="74" t="n">
        <v>1</v>
      </c>
      <c r="U325" s="74" t="n">
        <v>1</v>
      </c>
      <c r="V325" s="81" t="n">
        <v>1</v>
      </c>
      <c r="W325" s="81" t="n">
        <v>0</v>
      </c>
      <c r="X325" s="81" t="n">
        <v>0</v>
      </c>
      <c r="Y325" s="81" t="n">
        <v>0</v>
      </c>
      <c r="Z325" s="81" t="n">
        <v>0</v>
      </c>
      <c r="AA325" s="81" t="n">
        <v>0</v>
      </c>
    </row>
    <row r="326" customFormat="false" ht="15" hidden="false" customHeight="true" outlineLevel="0" collapsed="false">
      <c r="A326" s="30" t="s">
        <v>129</v>
      </c>
      <c r="B326" s="76"/>
      <c r="C326" s="76"/>
      <c r="D326" s="76"/>
      <c r="E326" s="76"/>
      <c r="F326" s="76"/>
      <c r="G326" s="76"/>
      <c r="H326" s="76"/>
      <c r="I326" s="76"/>
      <c r="J326" s="76"/>
      <c r="K326" s="76"/>
      <c r="L326" s="76"/>
      <c r="M326" s="76"/>
      <c r="N326" s="76"/>
      <c r="O326" s="76"/>
      <c r="P326" s="76"/>
      <c r="Q326" s="76"/>
      <c r="R326" s="74" t="n">
        <v>9</v>
      </c>
      <c r="S326" s="74" t="n">
        <v>8</v>
      </c>
      <c r="T326" s="74" t="n">
        <v>7</v>
      </c>
      <c r="U326" s="74" t="n">
        <v>8</v>
      </c>
      <c r="V326" s="81" t="n">
        <v>1</v>
      </c>
      <c r="W326" s="81" t="n">
        <v>1</v>
      </c>
      <c r="X326" s="81" t="n">
        <v>1</v>
      </c>
      <c r="Y326" s="81" t="n">
        <v>0</v>
      </c>
      <c r="Z326" s="81" t="n">
        <v>0</v>
      </c>
      <c r="AA326" s="81" t="n">
        <v>0</v>
      </c>
    </row>
    <row r="327" customFormat="false" ht="15" hidden="false" customHeight="true" outlineLevel="0" collapsed="false">
      <c r="A327" s="30" t="s">
        <v>130</v>
      </c>
      <c r="B327" s="76"/>
      <c r="C327" s="76"/>
      <c r="D327" s="76"/>
      <c r="E327" s="76"/>
      <c r="F327" s="76"/>
      <c r="G327" s="76"/>
      <c r="H327" s="76"/>
      <c r="I327" s="76"/>
      <c r="J327" s="76"/>
      <c r="K327" s="76"/>
      <c r="L327" s="76"/>
      <c r="M327" s="76"/>
      <c r="N327" s="76"/>
      <c r="O327" s="76"/>
      <c r="P327" s="76"/>
      <c r="Q327" s="76"/>
      <c r="R327" s="76"/>
      <c r="S327" s="74" t="n">
        <v>7</v>
      </c>
      <c r="T327" s="74" t="n">
        <v>5</v>
      </c>
      <c r="U327" s="74" t="n">
        <v>6</v>
      </c>
      <c r="V327" s="81" t="n">
        <v>6</v>
      </c>
      <c r="W327" s="81" t="n">
        <v>0</v>
      </c>
      <c r="X327" s="81" t="n">
        <v>1</v>
      </c>
      <c r="Y327" s="81" t="n">
        <v>1</v>
      </c>
      <c r="Z327" s="81" t="n">
        <v>0</v>
      </c>
      <c r="AA327" s="81" t="n">
        <v>0</v>
      </c>
    </row>
    <row r="328" customFormat="false" ht="15" hidden="false" customHeight="true" outlineLevel="0" collapsed="false">
      <c r="A328" s="30" t="s">
        <v>132</v>
      </c>
      <c r="B328" s="76"/>
      <c r="C328" s="76"/>
      <c r="D328" s="76"/>
      <c r="E328" s="76"/>
      <c r="F328" s="76"/>
      <c r="G328" s="76"/>
      <c r="H328" s="76"/>
      <c r="I328" s="76"/>
      <c r="J328" s="76"/>
      <c r="K328" s="76"/>
      <c r="L328" s="76"/>
      <c r="M328" s="76"/>
      <c r="N328" s="76"/>
      <c r="O328" s="76"/>
      <c r="P328" s="76"/>
      <c r="Q328" s="76"/>
      <c r="R328" s="76"/>
      <c r="S328" s="76"/>
      <c r="T328" s="76"/>
      <c r="U328" s="74" t="n">
        <v>18</v>
      </c>
      <c r="V328" s="81" t="n">
        <v>14</v>
      </c>
      <c r="W328" s="81" t="n">
        <v>13</v>
      </c>
      <c r="X328" s="81" t="n">
        <v>12</v>
      </c>
      <c r="Y328" s="81" t="n">
        <v>1</v>
      </c>
      <c r="Z328" s="81" t="n">
        <v>1</v>
      </c>
      <c r="AA328" s="81" t="n">
        <v>1</v>
      </c>
    </row>
    <row r="329" customFormat="false" ht="15" hidden="false" customHeight="true" outlineLevel="0" collapsed="false">
      <c r="A329" s="82" t="s">
        <v>524</v>
      </c>
      <c r="B329" s="76"/>
      <c r="C329" s="76"/>
      <c r="D329" s="76"/>
      <c r="E329" s="76"/>
      <c r="F329" s="76"/>
      <c r="G329" s="76"/>
      <c r="H329" s="76"/>
      <c r="I329" s="76"/>
      <c r="J329" s="76"/>
      <c r="K329" s="76"/>
      <c r="L329" s="76"/>
      <c r="M329" s="76"/>
      <c r="N329" s="76"/>
      <c r="O329" s="76"/>
      <c r="P329" s="76"/>
      <c r="Q329" s="76"/>
      <c r="R329" s="76"/>
      <c r="S329" s="76"/>
      <c r="T329" s="76"/>
      <c r="U329" s="76"/>
      <c r="V329" s="81" t="n">
        <v>11</v>
      </c>
      <c r="W329" s="81" t="n">
        <v>8</v>
      </c>
      <c r="X329" s="81" t="n">
        <v>8</v>
      </c>
      <c r="Y329" s="81" t="n">
        <v>8</v>
      </c>
      <c r="Z329" s="81" t="n">
        <v>1</v>
      </c>
      <c r="AA329" s="81" t="n">
        <v>1</v>
      </c>
    </row>
    <row r="330" customFormat="false" ht="15" hidden="false" customHeight="true" outlineLevel="0" collapsed="false">
      <c r="A330" s="82" t="s">
        <v>525</v>
      </c>
      <c r="B330" s="76"/>
      <c r="C330" s="76"/>
      <c r="D330" s="76"/>
      <c r="E330" s="76"/>
      <c r="F330" s="76"/>
      <c r="G330" s="76"/>
      <c r="H330" s="76"/>
      <c r="I330" s="76"/>
      <c r="J330" s="76"/>
      <c r="K330" s="76"/>
      <c r="L330" s="76"/>
      <c r="M330" s="76"/>
      <c r="N330" s="76"/>
      <c r="O330" s="76"/>
      <c r="P330" s="76"/>
      <c r="Q330" s="76"/>
      <c r="R330" s="76"/>
      <c r="S330" s="76"/>
      <c r="T330" s="76"/>
      <c r="U330" s="76"/>
      <c r="V330" s="76"/>
      <c r="W330" s="81" t="n">
        <v>11</v>
      </c>
      <c r="X330" s="81" t="n">
        <v>8</v>
      </c>
      <c r="Y330" s="81" t="n">
        <v>8</v>
      </c>
      <c r="Z330" s="81" t="n">
        <v>8</v>
      </c>
      <c r="AA330" s="81" t="n">
        <v>1</v>
      </c>
    </row>
    <row r="331" customFormat="false" ht="15" hidden="false" customHeight="true" outlineLevel="0" collapsed="false">
      <c r="A331" s="82" t="s">
        <v>526</v>
      </c>
      <c r="B331" s="76"/>
      <c r="C331" s="76"/>
      <c r="D331" s="76"/>
      <c r="E331" s="76"/>
      <c r="F331" s="76"/>
      <c r="G331" s="76"/>
      <c r="H331" s="76"/>
      <c r="I331" s="76"/>
      <c r="J331" s="76"/>
      <c r="K331" s="76"/>
      <c r="L331" s="76"/>
      <c r="M331" s="76"/>
      <c r="N331" s="76"/>
      <c r="O331" s="76"/>
      <c r="P331" s="76"/>
      <c r="Q331" s="76"/>
      <c r="R331" s="76"/>
      <c r="S331" s="76"/>
      <c r="T331" s="76"/>
      <c r="U331" s="76"/>
      <c r="V331" s="76"/>
      <c r="W331" s="76"/>
      <c r="X331" s="81" t="n">
        <v>11</v>
      </c>
      <c r="Y331" s="81" t="n">
        <v>8</v>
      </c>
      <c r="Z331" s="81" t="n">
        <v>8</v>
      </c>
      <c r="AA331" s="81" t="n">
        <v>8</v>
      </c>
    </row>
    <row r="332" customFormat="false" ht="15" hidden="false" customHeight="true" outlineLevel="0" collapsed="false">
      <c r="A332" s="82" t="s">
        <v>527</v>
      </c>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81" t="n">
        <v>11</v>
      </c>
      <c r="Z332" s="81" t="n">
        <v>8</v>
      </c>
      <c r="AA332" s="81" t="n">
        <v>8</v>
      </c>
    </row>
    <row r="333" customFormat="false" ht="15" hidden="false" customHeight="true" outlineLevel="0" collapsed="false">
      <c r="A333" s="82" t="s">
        <v>528</v>
      </c>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81" t="n">
        <v>11</v>
      </c>
      <c r="AA333" s="81" t="n">
        <v>8</v>
      </c>
    </row>
    <row r="334" customFormat="false" ht="15" hidden="false" customHeight="true" outlineLevel="0" collapsed="false">
      <c r="A334" s="82" t="s">
        <v>529</v>
      </c>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81" t="n">
        <v>11</v>
      </c>
    </row>
    <row r="335" customFormat="false" ht="15" hidden="false" customHeight="true" outlineLevel="0" collapsed="false">
      <c r="A335" s="34" t="s">
        <v>514</v>
      </c>
      <c r="B335" s="79"/>
      <c r="C335" s="79"/>
      <c r="D335" s="79"/>
      <c r="E335" s="79" t="n">
        <v>10</v>
      </c>
      <c r="F335" s="79" t="n">
        <v>22</v>
      </c>
      <c r="G335" s="79" t="n">
        <v>31</v>
      </c>
      <c r="H335" s="79" t="n">
        <v>23</v>
      </c>
      <c r="I335" s="79" t="n">
        <v>34</v>
      </c>
      <c r="J335" s="79" t="n">
        <v>31</v>
      </c>
      <c r="K335" s="79" t="n">
        <v>20</v>
      </c>
      <c r="L335" s="79" t="n">
        <v>34</v>
      </c>
      <c r="M335" s="79" t="n">
        <v>24</v>
      </c>
      <c r="N335" s="79" t="n">
        <v>17</v>
      </c>
      <c r="O335" s="79" t="n">
        <v>27</v>
      </c>
      <c r="P335" s="79" t="n">
        <v>24</v>
      </c>
      <c r="Q335" s="79" t="n">
        <v>17</v>
      </c>
      <c r="R335" s="79" t="n">
        <v>27</v>
      </c>
      <c r="S335" s="79" t="n">
        <v>23</v>
      </c>
      <c r="T335" s="79" t="n">
        <v>16</v>
      </c>
      <c r="U335" s="79" t="n">
        <v>36</v>
      </c>
      <c r="V335" s="79" t="n">
        <v>35</v>
      </c>
      <c r="W335" s="79" t="n">
        <v>37</v>
      </c>
      <c r="X335" s="79" t="n">
        <v>44</v>
      </c>
      <c r="Y335" s="79" t="n">
        <v>39</v>
      </c>
      <c r="Z335" s="79" t="n">
        <v>40</v>
      </c>
      <c r="AA335" s="79" t="n">
        <v>40</v>
      </c>
    </row>
    <row r="337" customFormat="false" ht="45" hidden="false" customHeight="true" outlineLevel="0" collapsed="false">
      <c r="A337" s="65" t="s">
        <v>419</v>
      </c>
      <c r="B337" s="65"/>
      <c r="C337" s="65"/>
      <c r="D337" s="65"/>
      <c r="E337" s="65"/>
      <c r="F337" s="65"/>
      <c r="G337" s="65"/>
      <c r="H337" s="65"/>
      <c r="I337" s="65"/>
    </row>
    <row r="338" customFormat="false" ht="15" hidden="false" customHeight="true" outlineLevel="0" collapsed="false">
      <c r="A338" s="29" t="s">
        <v>272</v>
      </c>
      <c r="B338" s="29"/>
      <c r="C338" s="29"/>
      <c r="D338" s="29"/>
      <c r="E338" s="29"/>
      <c r="F338" s="29"/>
      <c r="G338" s="29"/>
      <c r="H338" s="29"/>
      <c r="I338" s="29"/>
    </row>
    <row r="340" customFormat="false" ht="19.5" hidden="false" customHeight="true" outlineLevel="0" collapsed="false">
      <c r="A340" s="65" t="s">
        <v>420</v>
      </c>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row>
    <row r="341" customFormat="false" ht="15" hidden="false" customHeight="true" outlineLevel="0" collapsed="false">
      <c r="A341" s="80" t="s">
        <v>530</v>
      </c>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c r="AA341" s="80"/>
    </row>
    <row r="342" customFormat="false" ht="15" hidden="false" customHeight="true" outlineLevel="0" collapsed="false">
      <c r="A342" s="12" t="s">
        <v>513</v>
      </c>
      <c r="B342" s="12" t="s">
        <v>113</v>
      </c>
      <c r="C342" s="12" t="s">
        <v>114</v>
      </c>
      <c r="D342" s="12" t="s">
        <v>115</v>
      </c>
      <c r="E342" s="12" t="s">
        <v>116</v>
      </c>
      <c r="F342" s="12" t="s">
        <v>117</v>
      </c>
      <c r="G342" s="12" t="s">
        <v>118</v>
      </c>
      <c r="H342" s="12" t="s">
        <v>119</v>
      </c>
      <c r="I342" s="12" t="s">
        <v>120</v>
      </c>
      <c r="J342" s="12" t="s">
        <v>121</v>
      </c>
      <c r="K342" s="12" t="s">
        <v>122</v>
      </c>
      <c r="L342" s="12" t="s">
        <v>123</v>
      </c>
      <c r="M342" s="12" t="s">
        <v>124</v>
      </c>
      <c r="N342" s="12" t="s">
        <v>125</v>
      </c>
      <c r="O342" s="12" t="s">
        <v>126</v>
      </c>
      <c r="P342" s="12" t="s">
        <v>127</v>
      </c>
      <c r="Q342" s="12" t="s">
        <v>128</v>
      </c>
      <c r="R342" s="12" t="s">
        <v>129</v>
      </c>
      <c r="S342" s="12" t="s">
        <v>130</v>
      </c>
      <c r="T342" s="12" t="s">
        <v>131</v>
      </c>
      <c r="U342" s="12" t="s">
        <v>132</v>
      </c>
      <c r="V342" s="12" t="s">
        <v>518</v>
      </c>
      <c r="W342" s="12" t="s">
        <v>519</v>
      </c>
      <c r="X342" s="12" t="s">
        <v>520</v>
      </c>
      <c r="Y342" s="12" t="s">
        <v>521</v>
      </c>
      <c r="Z342" s="12" t="s">
        <v>522</v>
      </c>
      <c r="AA342" s="12" t="s">
        <v>523</v>
      </c>
    </row>
    <row r="343" customFormat="false" ht="15" hidden="false" customHeight="true" outlineLevel="0" collapsed="false">
      <c r="A343" s="30" t="s">
        <v>113</v>
      </c>
      <c r="B343" s="74" t="n">
        <v>31</v>
      </c>
      <c r="C343" s="74" t="n">
        <v>27</v>
      </c>
      <c r="D343" s="74" t="n">
        <v>27</v>
      </c>
      <c r="E343" s="74" t="n">
        <v>23</v>
      </c>
      <c r="F343" s="74" t="n">
        <v>4</v>
      </c>
      <c r="G343" s="74" t="n">
        <v>3</v>
      </c>
      <c r="H343" s="74" t="n">
        <v>1</v>
      </c>
      <c r="I343" s="74" t="n">
        <v>2</v>
      </c>
      <c r="J343" s="74" t="n">
        <v>1</v>
      </c>
      <c r="K343" s="74" t="n">
        <v>0</v>
      </c>
      <c r="L343" s="74" t="n">
        <v>0</v>
      </c>
      <c r="M343" s="74" t="n">
        <v>0</v>
      </c>
      <c r="N343" s="74" t="n">
        <v>0</v>
      </c>
      <c r="O343" s="74" t="n">
        <v>0</v>
      </c>
      <c r="P343" s="74" t="n">
        <v>0</v>
      </c>
      <c r="Q343" s="74" t="n">
        <v>0</v>
      </c>
      <c r="R343" s="74" t="n">
        <v>0</v>
      </c>
      <c r="S343" s="74" t="n">
        <v>0</v>
      </c>
      <c r="T343" s="74" t="n">
        <v>0</v>
      </c>
      <c r="U343" s="74" t="n">
        <v>0</v>
      </c>
      <c r="V343" s="81" t="n">
        <v>0</v>
      </c>
      <c r="W343" s="81" t="n">
        <v>0</v>
      </c>
      <c r="X343" s="81" t="n">
        <v>0</v>
      </c>
      <c r="Y343" s="81" t="n">
        <v>0</v>
      </c>
      <c r="Z343" s="81" t="n">
        <v>0</v>
      </c>
      <c r="AA343" s="81" t="n">
        <v>0</v>
      </c>
    </row>
    <row r="344" customFormat="false" ht="15" hidden="false" customHeight="true" outlineLevel="0" collapsed="false">
      <c r="A344" s="30" t="s">
        <v>114</v>
      </c>
      <c r="B344" s="76"/>
      <c r="C344" s="74" t="n">
        <v>38</v>
      </c>
      <c r="D344" s="74" t="n">
        <v>32</v>
      </c>
      <c r="E344" s="74" t="n">
        <v>27</v>
      </c>
      <c r="F344" s="74" t="n">
        <v>30</v>
      </c>
      <c r="G344" s="74" t="n">
        <v>6</v>
      </c>
      <c r="H344" s="74" t="n">
        <v>1</v>
      </c>
      <c r="I344" s="74" t="n">
        <v>1</v>
      </c>
      <c r="J344" s="74" t="n">
        <v>0</v>
      </c>
      <c r="K344" s="74" t="n">
        <v>0</v>
      </c>
      <c r="L344" s="74" t="n">
        <v>0</v>
      </c>
      <c r="M344" s="74" t="n">
        <v>0</v>
      </c>
      <c r="N344" s="74" t="n">
        <v>0</v>
      </c>
      <c r="O344" s="74" t="n">
        <v>0</v>
      </c>
      <c r="P344" s="74" t="n">
        <v>0</v>
      </c>
      <c r="Q344" s="74" t="n">
        <v>0</v>
      </c>
      <c r="R344" s="74" t="n">
        <v>0</v>
      </c>
      <c r="S344" s="74" t="n">
        <v>0</v>
      </c>
      <c r="T344" s="74" t="n">
        <v>0</v>
      </c>
      <c r="U344" s="74" t="n">
        <v>0</v>
      </c>
      <c r="V344" s="81" t="n">
        <v>0</v>
      </c>
      <c r="W344" s="81" t="n">
        <v>0</v>
      </c>
      <c r="X344" s="81" t="n">
        <v>0</v>
      </c>
      <c r="Y344" s="81" t="n">
        <v>0</v>
      </c>
      <c r="Z344" s="81" t="n">
        <v>0</v>
      </c>
      <c r="AA344" s="81" t="n">
        <v>0</v>
      </c>
    </row>
    <row r="345" customFormat="false" ht="15" hidden="false" customHeight="true" outlineLevel="0" collapsed="false">
      <c r="A345" s="30" t="s">
        <v>115</v>
      </c>
      <c r="B345" s="76"/>
      <c r="C345" s="76"/>
      <c r="D345" s="74" t="n">
        <v>38</v>
      </c>
      <c r="E345" s="74" t="n">
        <v>29</v>
      </c>
      <c r="F345" s="74" t="n">
        <v>28</v>
      </c>
      <c r="G345" s="74" t="n">
        <v>28</v>
      </c>
      <c r="H345" s="74" t="n">
        <v>4</v>
      </c>
      <c r="I345" s="74" t="n">
        <v>3</v>
      </c>
      <c r="J345" s="74" t="n">
        <v>1</v>
      </c>
      <c r="K345" s="74" t="n">
        <v>1</v>
      </c>
      <c r="L345" s="74" t="n">
        <v>1</v>
      </c>
      <c r="M345" s="74" t="n">
        <v>1</v>
      </c>
      <c r="N345" s="74" t="n">
        <v>0</v>
      </c>
      <c r="O345" s="74" t="n">
        <v>0</v>
      </c>
      <c r="P345" s="74" t="n">
        <v>0</v>
      </c>
      <c r="Q345" s="74" t="n">
        <v>0</v>
      </c>
      <c r="R345" s="74" t="n">
        <v>0</v>
      </c>
      <c r="S345" s="74" t="n">
        <v>0</v>
      </c>
      <c r="T345" s="74" t="n">
        <v>0</v>
      </c>
      <c r="U345" s="74" t="n">
        <v>0</v>
      </c>
      <c r="V345" s="81" t="n">
        <v>0</v>
      </c>
      <c r="W345" s="81" t="n">
        <v>0</v>
      </c>
      <c r="X345" s="81" t="n">
        <v>0</v>
      </c>
      <c r="Y345" s="81" t="n">
        <v>0</v>
      </c>
      <c r="Z345" s="81" t="n">
        <v>0</v>
      </c>
      <c r="AA345" s="81" t="n">
        <v>0</v>
      </c>
    </row>
    <row r="346" customFormat="false" ht="15" hidden="false" customHeight="true" outlineLevel="0" collapsed="false">
      <c r="A346" s="30" t="s">
        <v>116</v>
      </c>
      <c r="B346" s="76"/>
      <c r="C346" s="76"/>
      <c r="D346" s="76"/>
      <c r="E346" s="74" t="n">
        <v>23</v>
      </c>
      <c r="F346" s="74" t="n">
        <v>19</v>
      </c>
      <c r="G346" s="74" t="n">
        <v>17</v>
      </c>
      <c r="H346" s="74" t="n">
        <v>16</v>
      </c>
      <c r="I346" s="74" t="n">
        <v>1</v>
      </c>
      <c r="J346" s="74" t="n">
        <v>2</v>
      </c>
      <c r="K346" s="74" t="n">
        <v>1</v>
      </c>
      <c r="L346" s="74" t="n">
        <v>0</v>
      </c>
      <c r="M346" s="74" t="n">
        <v>0</v>
      </c>
      <c r="N346" s="74" t="n">
        <v>0</v>
      </c>
      <c r="O346" s="74" t="n">
        <v>0</v>
      </c>
      <c r="P346" s="74" t="n">
        <v>0</v>
      </c>
      <c r="Q346" s="74" t="n">
        <v>0</v>
      </c>
      <c r="R346" s="74" t="n">
        <v>0</v>
      </c>
      <c r="S346" s="74" t="n">
        <v>0</v>
      </c>
      <c r="T346" s="74" t="n">
        <v>0</v>
      </c>
      <c r="U346" s="74" t="n">
        <v>0</v>
      </c>
      <c r="V346" s="81" t="n">
        <v>0</v>
      </c>
      <c r="W346" s="81" t="n">
        <v>0</v>
      </c>
      <c r="X346" s="81" t="n">
        <v>0</v>
      </c>
      <c r="Y346" s="81" t="n">
        <v>0</v>
      </c>
      <c r="Z346" s="81" t="n">
        <v>0</v>
      </c>
      <c r="AA346" s="81" t="n">
        <v>0</v>
      </c>
    </row>
    <row r="347" customFormat="false" ht="15" hidden="false" customHeight="true" outlineLevel="0" collapsed="false">
      <c r="A347" s="30" t="s">
        <v>117</v>
      </c>
      <c r="B347" s="76"/>
      <c r="C347" s="76"/>
      <c r="D347" s="76"/>
      <c r="E347" s="76"/>
      <c r="F347" s="74" t="n">
        <v>42</v>
      </c>
      <c r="G347" s="74" t="n">
        <v>34</v>
      </c>
      <c r="H347" s="74" t="n">
        <v>30</v>
      </c>
      <c r="I347" s="74" t="n">
        <v>32</v>
      </c>
      <c r="J347" s="74" t="n">
        <v>10</v>
      </c>
      <c r="K347" s="74" t="n">
        <v>3</v>
      </c>
      <c r="L347" s="74" t="n">
        <v>3</v>
      </c>
      <c r="M347" s="74" t="n">
        <v>1</v>
      </c>
      <c r="N347" s="74" t="n">
        <v>1</v>
      </c>
      <c r="O347" s="74" t="n">
        <v>3</v>
      </c>
      <c r="P347" s="74" t="n">
        <v>1</v>
      </c>
      <c r="Q347" s="74" t="n">
        <v>0</v>
      </c>
      <c r="R347" s="74" t="n">
        <v>0</v>
      </c>
      <c r="S347" s="74" t="n">
        <v>0</v>
      </c>
      <c r="T347" s="74" t="n">
        <v>0</v>
      </c>
      <c r="U347" s="74" t="n">
        <v>0</v>
      </c>
      <c r="V347" s="81" t="n">
        <v>0</v>
      </c>
      <c r="W347" s="81" t="n">
        <v>0</v>
      </c>
      <c r="X347" s="81" t="n">
        <v>0</v>
      </c>
      <c r="Y347" s="81" t="n">
        <v>0</v>
      </c>
      <c r="Z347" s="81" t="n">
        <v>0</v>
      </c>
      <c r="AA347" s="81" t="n">
        <v>0</v>
      </c>
    </row>
    <row r="348" customFormat="false" ht="15" hidden="false" customHeight="true" outlineLevel="0" collapsed="false">
      <c r="A348" s="30" t="s">
        <v>118</v>
      </c>
      <c r="B348" s="76"/>
      <c r="C348" s="76"/>
      <c r="D348" s="76"/>
      <c r="E348" s="76"/>
      <c r="F348" s="76"/>
      <c r="G348" s="74" t="n">
        <v>56</v>
      </c>
      <c r="H348" s="74" t="n">
        <v>47</v>
      </c>
      <c r="I348" s="74" t="n">
        <v>43</v>
      </c>
      <c r="J348" s="74" t="n">
        <v>40</v>
      </c>
      <c r="K348" s="74" t="n">
        <v>7</v>
      </c>
      <c r="L348" s="74" t="n">
        <v>3</v>
      </c>
      <c r="M348" s="74" t="n">
        <v>2</v>
      </c>
      <c r="N348" s="74" t="n">
        <v>2</v>
      </c>
      <c r="O348" s="74" t="n">
        <v>1</v>
      </c>
      <c r="P348" s="74" t="n">
        <v>1</v>
      </c>
      <c r="Q348" s="74" t="n">
        <v>1</v>
      </c>
      <c r="R348" s="74" t="n">
        <v>1</v>
      </c>
      <c r="S348" s="74" t="n">
        <v>1</v>
      </c>
      <c r="T348" s="74" t="n">
        <v>0</v>
      </c>
      <c r="U348" s="74" t="n">
        <v>0</v>
      </c>
      <c r="V348" s="81" t="n">
        <v>0</v>
      </c>
      <c r="W348" s="81" t="n">
        <v>0</v>
      </c>
      <c r="X348" s="81" t="n">
        <v>0</v>
      </c>
      <c r="Y348" s="81" t="n">
        <v>0</v>
      </c>
      <c r="Z348" s="81" t="n">
        <v>0</v>
      </c>
      <c r="AA348" s="81" t="n">
        <v>0</v>
      </c>
    </row>
    <row r="349" customFormat="false" ht="15" hidden="false" customHeight="true" outlineLevel="0" collapsed="false">
      <c r="A349" s="30" t="s">
        <v>119</v>
      </c>
      <c r="B349" s="76"/>
      <c r="C349" s="76"/>
      <c r="D349" s="76"/>
      <c r="E349" s="76"/>
      <c r="F349" s="76"/>
      <c r="G349" s="76"/>
      <c r="H349" s="74" t="n">
        <v>28</v>
      </c>
      <c r="I349" s="74" t="n">
        <v>27</v>
      </c>
      <c r="J349" s="74" t="n">
        <v>26</v>
      </c>
      <c r="K349" s="74" t="n">
        <v>23</v>
      </c>
      <c r="L349" s="74" t="n">
        <v>1</v>
      </c>
      <c r="M349" s="74" t="n">
        <v>1</v>
      </c>
      <c r="N349" s="74" t="n">
        <v>2</v>
      </c>
      <c r="O349" s="74" t="n">
        <v>1</v>
      </c>
      <c r="P349" s="74" t="n">
        <v>0</v>
      </c>
      <c r="Q349" s="74" t="n">
        <v>0</v>
      </c>
      <c r="R349" s="74" t="n">
        <v>0</v>
      </c>
      <c r="S349" s="74" t="n">
        <v>0</v>
      </c>
      <c r="T349" s="74" t="n">
        <v>0</v>
      </c>
      <c r="U349" s="74" t="n">
        <v>0</v>
      </c>
      <c r="V349" s="81" t="n">
        <v>0</v>
      </c>
      <c r="W349" s="81" t="n">
        <v>0</v>
      </c>
      <c r="X349" s="81" t="n">
        <v>0</v>
      </c>
      <c r="Y349" s="81" t="n">
        <v>0</v>
      </c>
      <c r="Z349" s="81" t="n">
        <v>0</v>
      </c>
      <c r="AA349" s="81" t="n">
        <v>0</v>
      </c>
    </row>
    <row r="350" customFormat="false" ht="15" hidden="false" customHeight="true" outlineLevel="0" collapsed="false">
      <c r="A350" s="30" t="s">
        <v>120</v>
      </c>
      <c r="B350" s="76"/>
      <c r="C350" s="76"/>
      <c r="D350" s="76"/>
      <c r="E350" s="76"/>
      <c r="F350" s="76"/>
      <c r="G350" s="76"/>
      <c r="H350" s="76"/>
      <c r="I350" s="74" t="n">
        <v>51</v>
      </c>
      <c r="J350" s="74" t="n">
        <v>41</v>
      </c>
      <c r="K350" s="74" t="n">
        <v>31</v>
      </c>
      <c r="L350" s="74" t="n">
        <v>36</v>
      </c>
      <c r="M350" s="74" t="n">
        <v>12</v>
      </c>
      <c r="N350" s="74" t="n">
        <v>2</v>
      </c>
      <c r="O350" s="74" t="n">
        <v>2</v>
      </c>
      <c r="P350" s="74" t="n">
        <v>1</v>
      </c>
      <c r="Q350" s="74" t="n">
        <v>1</v>
      </c>
      <c r="R350" s="74" t="n">
        <v>0</v>
      </c>
      <c r="S350" s="74" t="n">
        <v>0</v>
      </c>
      <c r="T350" s="74" t="n">
        <v>0</v>
      </c>
      <c r="U350" s="74" t="n">
        <v>0</v>
      </c>
      <c r="V350" s="81" t="n">
        <v>0</v>
      </c>
      <c r="W350" s="81" t="n">
        <v>0</v>
      </c>
      <c r="X350" s="81" t="n">
        <v>0</v>
      </c>
      <c r="Y350" s="81" t="n">
        <v>0</v>
      </c>
      <c r="Z350" s="81" t="n">
        <v>0</v>
      </c>
      <c r="AA350" s="81" t="n">
        <v>0</v>
      </c>
    </row>
    <row r="351" customFormat="false" ht="15" hidden="false" customHeight="true" outlineLevel="0" collapsed="false">
      <c r="A351" s="30" t="s">
        <v>121</v>
      </c>
      <c r="B351" s="76"/>
      <c r="C351" s="76"/>
      <c r="D351" s="76"/>
      <c r="E351" s="76"/>
      <c r="F351" s="76"/>
      <c r="G351" s="76"/>
      <c r="H351" s="76"/>
      <c r="I351" s="76"/>
      <c r="J351" s="74" t="n">
        <v>35</v>
      </c>
      <c r="K351" s="74" t="n">
        <v>28</v>
      </c>
      <c r="L351" s="74" t="n">
        <v>29</v>
      </c>
      <c r="M351" s="74" t="n">
        <v>29</v>
      </c>
      <c r="N351" s="74" t="n">
        <v>5</v>
      </c>
      <c r="O351" s="74" t="n">
        <v>3</v>
      </c>
      <c r="P351" s="74" t="n">
        <v>3</v>
      </c>
      <c r="Q351" s="74" t="n">
        <v>2</v>
      </c>
      <c r="R351" s="74" t="n">
        <v>1</v>
      </c>
      <c r="S351" s="74" t="n">
        <v>0</v>
      </c>
      <c r="T351" s="74" t="n">
        <v>0</v>
      </c>
      <c r="U351" s="74" t="n">
        <v>0</v>
      </c>
      <c r="V351" s="81" t="n">
        <v>0</v>
      </c>
      <c r="W351" s="81" t="n">
        <v>0</v>
      </c>
      <c r="X351" s="81" t="n">
        <v>0</v>
      </c>
      <c r="Y351" s="81" t="n">
        <v>0</v>
      </c>
      <c r="Z351" s="81" t="n">
        <v>0</v>
      </c>
      <c r="AA351" s="81" t="n">
        <v>0</v>
      </c>
    </row>
    <row r="352" customFormat="false" ht="15" hidden="false" customHeight="true" outlineLevel="0" collapsed="false">
      <c r="A352" s="30" t="s">
        <v>122</v>
      </c>
      <c r="B352" s="76"/>
      <c r="C352" s="76"/>
      <c r="D352" s="76"/>
      <c r="E352" s="76"/>
      <c r="F352" s="76"/>
      <c r="G352" s="76"/>
      <c r="H352" s="76"/>
      <c r="I352" s="76"/>
      <c r="J352" s="76"/>
      <c r="K352" s="74" t="n">
        <v>26</v>
      </c>
      <c r="L352" s="74" t="n">
        <v>21</v>
      </c>
      <c r="M352" s="74" t="n">
        <v>18</v>
      </c>
      <c r="N352" s="74" t="n">
        <v>19</v>
      </c>
      <c r="O352" s="74" t="n">
        <v>6</v>
      </c>
      <c r="P352" s="74" t="n">
        <v>5</v>
      </c>
      <c r="Q352" s="74" t="n">
        <v>1</v>
      </c>
      <c r="R352" s="74" t="n">
        <v>2</v>
      </c>
      <c r="S352" s="74" t="n">
        <v>0</v>
      </c>
      <c r="T352" s="74" t="n">
        <v>0</v>
      </c>
      <c r="U352" s="74" t="n">
        <v>0</v>
      </c>
      <c r="V352" s="81" t="n">
        <v>0</v>
      </c>
      <c r="W352" s="81" t="n">
        <v>0</v>
      </c>
      <c r="X352" s="81" t="n">
        <v>0</v>
      </c>
      <c r="Y352" s="81" t="n">
        <v>0</v>
      </c>
      <c r="Z352" s="81" t="n">
        <v>0</v>
      </c>
      <c r="AA352" s="81" t="n">
        <v>0</v>
      </c>
    </row>
    <row r="353" customFormat="false" ht="15" hidden="false" customHeight="true" outlineLevel="0" collapsed="false">
      <c r="A353" s="30" t="s">
        <v>123</v>
      </c>
      <c r="B353" s="76"/>
      <c r="C353" s="76"/>
      <c r="D353" s="76"/>
      <c r="E353" s="76"/>
      <c r="F353" s="76"/>
      <c r="G353" s="76"/>
      <c r="H353" s="76"/>
      <c r="I353" s="76"/>
      <c r="J353" s="76"/>
      <c r="K353" s="76"/>
      <c r="L353" s="74" t="n">
        <v>36</v>
      </c>
      <c r="M353" s="74" t="n">
        <v>27</v>
      </c>
      <c r="N353" s="74" t="n">
        <v>20</v>
      </c>
      <c r="O353" s="74" t="n">
        <v>25</v>
      </c>
      <c r="P353" s="74" t="n">
        <v>14</v>
      </c>
      <c r="Q353" s="74" t="n">
        <v>5</v>
      </c>
      <c r="R353" s="74" t="n">
        <v>4</v>
      </c>
      <c r="S353" s="74" t="n">
        <v>4</v>
      </c>
      <c r="T353" s="74" t="n">
        <v>1</v>
      </c>
      <c r="U353" s="74" t="n">
        <v>1</v>
      </c>
      <c r="V353" s="81" t="n">
        <v>0</v>
      </c>
      <c r="W353" s="81" t="n">
        <v>0</v>
      </c>
      <c r="X353" s="81" t="n">
        <v>0</v>
      </c>
      <c r="Y353" s="81" t="n">
        <v>0</v>
      </c>
      <c r="Z353" s="81" t="n">
        <v>0</v>
      </c>
      <c r="AA353" s="81" t="n">
        <v>0</v>
      </c>
    </row>
    <row r="354" customFormat="false" ht="15" hidden="false" customHeight="true" outlineLevel="0" collapsed="false">
      <c r="A354" s="30" t="s">
        <v>124</v>
      </c>
      <c r="B354" s="76"/>
      <c r="C354" s="76"/>
      <c r="D354" s="76"/>
      <c r="E354" s="76"/>
      <c r="F354" s="76"/>
      <c r="G354" s="76"/>
      <c r="H354" s="76"/>
      <c r="I354" s="76"/>
      <c r="J354" s="76"/>
      <c r="K354" s="76"/>
      <c r="L354" s="76"/>
      <c r="M354" s="74" t="n">
        <v>24</v>
      </c>
      <c r="N354" s="74" t="n">
        <v>19</v>
      </c>
      <c r="O354" s="74" t="n">
        <v>18</v>
      </c>
      <c r="P354" s="74" t="n">
        <v>18</v>
      </c>
      <c r="Q354" s="74" t="n">
        <v>4</v>
      </c>
      <c r="R354" s="74" t="n">
        <v>1</v>
      </c>
      <c r="S354" s="74" t="n">
        <v>0</v>
      </c>
      <c r="T354" s="74" t="n">
        <v>0</v>
      </c>
      <c r="U354" s="74" t="n">
        <v>0</v>
      </c>
      <c r="V354" s="81" t="n">
        <v>0</v>
      </c>
      <c r="W354" s="81" t="n">
        <v>0</v>
      </c>
      <c r="X354" s="81" t="n">
        <v>0</v>
      </c>
      <c r="Y354" s="81" t="n">
        <v>0</v>
      </c>
      <c r="Z354" s="81" t="n">
        <v>0</v>
      </c>
      <c r="AA354" s="81" t="n">
        <v>0</v>
      </c>
    </row>
    <row r="355" customFormat="false" ht="15" hidden="false" customHeight="true" outlineLevel="0" collapsed="false">
      <c r="A355" s="30" t="s">
        <v>125</v>
      </c>
      <c r="B355" s="76"/>
      <c r="C355" s="76"/>
      <c r="D355" s="76"/>
      <c r="E355" s="76"/>
      <c r="F355" s="76"/>
      <c r="G355" s="76"/>
      <c r="H355" s="76"/>
      <c r="I355" s="76"/>
      <c r="J355" s="76"/>
      <c r="K355" s="76"/>
      <c r="L355" s="76"/>
      <c r="M355" s="76"/>
      <c r="N355" s="74" t="n">
        <v>14</v>
      </c>
      <c r="O355" s="74" t="n">
        <v>11</v>
      </c>
      <c r="P355" s="74" t="n">
        <v>12</v>
      </c>
      <c r="Q355" s="74" t="n">
        <v>8</v>
      </c>
      <c r="R355" s="74" t="n">
        <v>1</v>
      </c>
      <c r="S355" s="74" t="n">
        <v>0</v>
      </c>
      <c r="T355" s="74" t="n">
        <v>0</v>
      </c>
      <c r="U355" s="74" t="n">
        <v>0</v>
      </c>
      <c r="V355" s="81" t="n">
        <v>0</v>
      </c>
      <c r="W355" s="81" t="n">
        <v>0</v>
      </c>
      <c r="X355" s="81" t="n">
        <v>0</v>
      </c>
      <c r="Y355" s="81" t="n">
        <v>0</v>
      </c>
      <c r="Z355" s="81" t="n">
        <v>0</v>
      </c>
      <c r="AA355" s="81" t="n">
        <v>0</v>
      </c>
    </row>
    <row r="356" customFormat="false" ht="15" hidden="false" customHeight="true" outlineLevel="0" collapsed="false">
      <c r="A356" s="30" t="s">
        <v>126</v>
      </c>
      <c r="B356" s="76"/>
      <c r="C356" s="76"/>
      <c r="D356" s="76"/>
      <c r="E356" s="76"/>
      <c r="F356" s="76"/>
      <c r="G356" s="76"/>
      <c r="H356" s="76"/>
      <c r="I356" s="76"/>
      <c r="J356" s="76"/>
      <c r="K356" s="76"/>
      <c r="L356" s="76"/>
      <c r="M356" s="76"/>
      <c r="N356" s="76"/>
      <c r="O356" s="74" t="n">
        <v>27</v>
      </c>
      <c r="P356" s="74" t="n">
        <v>24</v>
      </c>
      <c r="Q356" s="74" t="n">
        <v>19</v>
      </c>
      <c r="R356" s="74" t="n">
        <v>23</v>
      </c>
      <c r="S356" s="74" t="n">
        <v>6</v>
      </c>
      <c r="T356" s="74" t="n">
        <v>3</v>
      </c>
      <c r="U356" s="74" t="n">
        <v>3</v>
      </c>
      <c r="V356" s="81" t="n">
        <v>2</v>
      </c>
      <c r="W356" s="81" t="n">
        <v>1</v>
      </c>
      <c r="X356" s="81" t="n">
        <v>1</v>
      </c>
      <c r="Y356" s="81" t="n">
        <v>0</v>
      </c>
      <c r="Z356" s="81" t="n">
        <v>0</v>
      </c>
      <c r="AA356" s="81" t="n">
        <v>0</v>
      </c>
    </row>
    <row r="357" customFormat="false" ht="15" hidden="false" customHeight="true" outlineLevel="0" collapsed="false">
      <c r="A357" s="30" t="s">
        <v>127</v>
      </c>
      <c r="B357" s="76"/>
      <c r="C357" s="76"/>
      <c r="D357" s="76"/>
      <c r="E357" s="76"/>
      <c r="F357" s="76"/>
      <c r="G357" s="76"/>
      <c r="H357" s="76"/>
      <c r="I357" s="76"/>
      <c r="J357" s="76"/>
      <c r="K357" s="76"/>
      <c r="L357" s="76"/>
      <c r="M357" s="76"/>
      <c r="N357" s="76"/>
      <c r="O357" s="76"/>
      <c r="P357" s="74" t="n">
        <v>17</v>
      </c>
      <c r="Q357" s="74" t="n">
        <v>12</v>
      </c>
      <c r="R357" s="74" t="n">
        <v>11</v>
      </c>
      <c r="S357" s="74" t="n">
        <v>10</v>
      </c>
      <c r="T357" s="74" t="n">
        <v>3</v>
      </c>
      <c r="U357" s="74" t="n">
        <v>0</v>
      </c>
      <c r="V357" s="81" t="n">
        <v>0</v>
      </c>
      <c r="W357" s="81" t="n">
        <v>0</v>
      </c>
      <c r="X357" s="81" t="n">
        <v>0</v>
      </c>
      <c r="Y357" s="81" t="n">
        <v>0</v>
      </c>
      <c r="Z357" s="81" t="n">
        <v>0</v>
      </c>
      <c r="AA357" s="81" t="n">
        <v>0</v>
      </c>
    </row>
    <row r="358" customFormat="false" ht="15" hidden="false" customHeight="true" outlineLevel="0" collapsed="false">
      <c r="A358" s="30" t="s">
        <v>128</v>
      </c>
      <c r="B358" s="76"/>
      <c r="C358" s="76"/>
      <c r="D358" s="76"/>
      <c r="E358" s="76"/>
      <c r="F358" s="76"/>
      <c r="G358" s="76"/>
      <c r="H358" s="76"/>
      <c r="I358" s="76"/>
      <c r="J358" s="76"/>
      <c r="K358" s="76"/>
      <c r="L358" s="76"/>
      <c r="M358" s="76"/>
      <c r="N358" s="76"/>
      <c r="O358" s="76"/>
      <c r="P358" s="76"/>
      <c r="Q358" s="74" t="n">
        <v>10</v>
      </c>
      <c r="R358" s="74" t="n">
        <v>9</v>
      </c>
      <c r="S358" s="74" t="n">
        <v>9</v>
      </c>
      <c r="T358" s="74" t="n">
        <v>7</v>
      </c>
      <c r="U358" s="74" t="n">
        <v>3</v>
      </c>
      <c r="V358" s="81" t="n">
        <v>1</v>
      </c>
      <c r="W358" s="81" t="n">
        <v>1</v>
      </c>
      <c r="X358" s="81" t="n">
        <v>1</v>
      </c>
      <c r="Y358" s="81" t="n">
        <v>0</v>
      </c>
      <c r="Z358" s="81" t="n">
        <v>0</v>
      </c>
      <c r="AA358" s="81" t="n">
        <v>0</v>
      </c>
    </row>
    <row r="359" customFormat="false" ht="15" hidden="false" customHeight="true" outlineLevel="0" collapsed="false">
      <c r="A359" s="30" t="s">
        <v>129</v>
      </c>
      <c r="B359" s="76"/>
      <c r="C359" s="76"/>
      <c r="D359" s="76"/>
      <c r="E359" s="76"/>
      <c r="F359" s="76"/>
      <c r="G359" s="76"/>
      <c r="H359" s="76"/>
      <c r="I359" s="76"/>
      <c r="J359" s="76"/>
      <c r="K359" s="76"/>
      <c r="L359" s="76"/>
      <c r="M359" s="76"/>
      <c r="N359" s="76"/>
      <c r="O359" s="76"/>
      <c r="P359" s="76"/>
      <c r="Q359" s="76"/>
      <c r="R359" s="74" t="n">
        <v>28</v>
      </c>
      <c r="S359" s="74" t="n">
        <v>23</v>
      </c>
      <c r="T359" s="74" t="n">
        <v>18</v>
      </c>
      <c r="U359" s="74" t="n">
        <v>21</v>
      </c>
      <c r="V359" s="81" t="n">
        <v>5</v>
      </c>
      <c r="W359" s="81" t="n">
        <v>2</v>
      </c>
      <c r="X359" s="81" t="n">
        <v>1</v>
      </c>
      <c r="Y359" s="81" t="n">
        <v>1</v>
      </c>
      <c r="Z359" s="81" t="n">
        <v>0</v>
      </c>
      <c r="AA359" s="81" t="n">
        <v>0</v>
      </c>
    </row>
    <row r="360" customFormat="false" ht="15" hidden="false" customHeight="true" outlineLevel="0" collapsed="false">
      <c r="A360" s="30" t="s">
        <v>130</v>
      </c>
      <c r="B360" s="76"/>
      <c r="C360" s="76"/>
      <c r="D360" s="76"/>
      <c r="E360" s="76"/>
      <c r="F360" s="76"/>
      <c r="G360" s="76"/>
      <c r="H360" s="76"/>
      <c r="I360" s="76"/>
      <c r="J360" s="76"/>
      <c r="K360" s="76"/>
      <c r="L360" s="76"/>
      <c r="M360" s="76"/>
      <c r="N360" s="76"/>
      <c r="O360" s="76"/>
      <c r="P360" s="76"/>
      <c r="Q360" s="76"/>
      <c r="R360" s="76"/>
      <c r="S360" s="74" t="n">
        <v>17</v>
      </c>
      <c r="T360" s="74" t="n">
        <v>16</v>
      </c>
      <c r="U360" s="74" t="n">
        <v>16</v>
      </c>
      <c r="V360" s="81" t="n">
        <v>16</v>
      </c>
      <c r="W360" s="81" t="n">
        <v>4</v>
      </c>
      <c r="X360" s="81" t="n">
        <v>2</v>
      </c>
      <c r="Y360" s="81" t="n">
        <v>1</v>
      </c>
      <c r="Z360" s="81" t="n">
        <v>1</v>
      </c>
      <c r="AA360" s="81" t="n">
        <v>0</v>
      </c>
    </row>
    <row r="361" customFormat="false" ht="15" hidden="false" customHeight="true" outlineLevel="0" collapsed="false">
      <c r="A361" s="30" t="s">
        <v>131</v>
      </c>
      <c r="B361" s="76"/>
      <c r="C361" s="76"/>
      <c r="D361" s="76"/>
      <c r="E361" s="76"/>
      <c r="F361" s="76"/>
      <c r="G361" s="76"/>
      <c r="H361" s="76"/>
      <c r="I361" s="76"/>
      <c r="J361" s="76"/>
      <c r="K361" s="76"/>
      <c r="L361" s="76"/>
      <c r="M361" s="76"/>
      <c r="N361" s="76"/>
      <c r="O361" s="76"/>
      <c r="P361" s="76"/>
      <c r="Q361" s="76"/>
      <c r="R361" s="76"/>
      <c r="S361" s="76"/>
      <c r="T361" s="74" t="n">
        <v>19</v>
      </c>
      <c r="U361" s="74" t="n">
        <v>17</v>
      </c>
      <c r="V361" s="81" t="n">
        <v>15</v>
      </c>
      <c r="W361" s="81" t="n">
        <v>15</v>
      </c>
      <c r="X361" s="81" t="n">
        <v>4</v>
      </c>
      <c r="Y361" s="81" t="n">
        <v>2</v>
      </c>
      <c r="Z361" s="81" t="n">
        <v>1</v>
      </c>
      <c r="AA361" s="81" t="n">
        <v>1</v>
      </c>
    </row>
    <row r="362" customFormat="false" ht="15" hidden="false" customHeight="true" outlineLevel="0" collapsed="false">
      <c r="A362" s="30" t="s">
        <v>132</v>
      </c>
      <c r="B362" s="76"/>
      <c r="C362" s="76"/>
      <c r="D362" s="76"/>
      <c r="E362" s="76"/>
      <c r="F362" s="76"/>
      <c r="G362" s="76"/>
      <c r="H362" s="76"/>
      <c r="I362" s="76"/>
      <c r="J362" s="76"/>
      <c r="K362" s="76"/>
      <c r="L362" s="76"/>
      <c r="M362" s="76"/>
      <c r="N362" s="76"/>
      <c r="O362" s="76"/>
      <c r="P362" s="76"/>
      <c r="Q362" s="76"/>
      <c r="R362" s="76"/>
      <c r="S362" s="76"/>
      <c r="T362" s="76"/>
      <c r="U362" s="74" t="n">
        <v>20</v>
      </c>
      <c r="V362" s="81" t="n">
        <v>16</v>
      </c>
      <c r="W362" s="81" t="n">
        <v>15</v>
      </c>
      <c r="X362" s="81" t="n">
        <v>15</v>
      </c>
      <c r="Y362" s="81" t="n">
        <v>3</v>
      </c>
      <c r="Z362" s="81" t="n">
        <v>1</v>
      </c>
      <c r="AA362" s="81" t="n">
        <v>1</v>
      </c>
    </row>
    <row r="363" customFormat="false" ht="15" hidden="false" customHeight="true" outlineLevel="0" collapsed="false">
      <c r="A363" s="82" t="s">
        <v>524</v>
      </c>
      <c r="B363" s="76"/>
      <c r="C363" s="76"/>
      <c r="D363" s="76"/>
      <c r="E363" s="76"/>
      <c r="F363" s="76"/>
      <c r="G363" s="76"/>
      <c r="H363" s="76"/>
      <c r="I363" s="76"/>
      <c r="J363" s="76"/>
      <c r="K363" s="76"/>
      <c r="L363" s="76"/>
      <c r="M363" s="76"/>
      <c r="N363" s="76"/>
      <c r="O363" s="76"/>
      <c r="P363" s="76"/>
      <c r="Q363" s="76"/>
      <c r="R363" s="76"/>
      <c r="S363" s="76"/>
      <c r="T363" s="76"/>
      <c r="U363" s="76"/>
      <c r="V363" s="81" t="n">
        <v>19</v>
      </c>
      <c r="W363" s="81" t="n">
        <v>16</v>
      </c>
      <c r="X363" s="81" t="n">
        <v>14</v>
      </c>
      <c r="Y363" s="81" t="n">
        <v>14</v>
      </c>
      <c r="Z363" s="81" t="n">
        <v>3</v>
      </c>
      <c r="AA363" s="81" t="n">
        <v>1</v>
      </c>
    </row>
    <row r="364" customFormat="false" ht="15" hidden="false" customHeight="true" outlineLevel="0" collapsed="false">
      <c r="A364" s="82" t="s">
        <v>525</v>
      </c>
      <c r="B364" s="76"/>
      <c r="C364" s="76"/>
      <c r="D364" s="76"/>
      <c r="E364" s="76"/>
      <c r="F364" s="76"/>
      <c r="G364" s="76"/>
      <c r="H364" s="76"/>
      <c r="I364" s="76"/>
      <c r="J364" s="76"/>
      <c r="K364" s="76"/>
      <c r="L364" s="76"/>
      <c r="M364" s="76"/>
      <c r="N364" s="76"/>
      <c r="O364" s="76"/>
      <c r="P364" s="76"/>
      <c r="Q364" s="76"/>
      <c r="R364" s="76"/>
      <c r="S364" s="76"/>
      <c r="T364" s="76"/>
      <c r="U364" s="76"/>
      <c r="V364" s="76"/>
      <c r="W364" s="81" t="n">
        <v>19</v>
      </c>
      <c r="X364" s="81" t="n">
        <v>16</v>
      </c>
      <c r="Y364" s="81" t="n">
        <v>14</v>
      </c>
      <c r="Z364" s="81" t="n">
        <v>14</v>
      </c>
      <c r="AA364" s="81" t="n">
        <v>3</v>
      </c>
    </row>
    <row r="365" customFormat="false" ht="15" hidden="false" customHeight="true" outlineLevel="0" collapsed="false">
      <c r="A365" s="82" t="s">
        <v>526</v>
      </c>
      <c r="B365" s="76"/>
      <c r="C365" s="76"/>
      <c r="D365" s="76"/>
      <c r="E365" s="76"/>
      <c r="F365" s="76"/>
      <c r="G365" s="76"/>
      <c r="H365" s="76"/>
      <c r="I365" s="76"/>
      <c r="J365" s="76"/>
      <c r="K365" s="76"/>
      <c r="L365" s="76"/>
      <c r="M365" s="76"/>
      <c r="N365" s="76"/>
      <c r="O365" s="76"/>
      <c r="P365" s="76"/>
      <c r="Q365" s="76"/>
      <c r="R365" s="76"/>
      <c r="S365" s="76"/>
      <c r="T365" s="76"/>
      <c r="U365" s="76"/>
      <c r="V365" s="76"/>
      <c r="W365" s="76"/>
      <c r="X365" s="81" t="n">
        <v>19</v>
      </c>
      <c r="Y365" s="81" t="n">
        <v>16</v>
      </c>
      <c r="Z365" s="81" t="n">
        <v>14</v>
      </c>
      <c r="AA365" s="81" t="n">
        <v>14</v>
      </c>
    </row>
    <row r="366" customFormat="false" ht="15" hidden="false" customHeight="true" outlineLevel="0" collapsed="false">
      <c r="A366" s="82" t="s">
        <v>527</v>
      </c>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81" t="n">
        <v>19</v>
      </c>
      <c r="Z366" s="81" t="n">
        <v>16</v>
      </c>
      <c r="AA366" s="81" t="n">
        <v>14</v>
      </c>
    </row>
    <row r="367" customFormat="false" ht="15" hidden="false" customHeight="true" outlineLevel="0" collapsed="false">
      <c r="A367" s="82" t="s">
        <v>528</v>
      </c>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81" t="n">
        <v>19</v>
      </c>
      <c r="AA367" s="81" t="n">
        <v>16</v>
      </c>
    </row>
    <row r="368" customFormat="false" ht="15" hidden="false" customHeight="true" outlineLevel="0" collapsed="false">
      <c r="A368" s="82" t="s">
        <v>529</v>
      </c>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81" t="n">
        <v>19</v>
      </c>
    </row>
    <row r="369" customFormat="false" ht="15" hidden="false" customHeight="true" outlineLevel="0" collapsed="false">
      <c r="A369" s="34" t="s">
        <v>514</v>
      </c>
      <c r="B369" s="79" t="n">
        <v>31</v>
      </c>
      <c r="C369" s="79" t="n">
        <v>65</v>
      </c>
      <c r="D369" s="79" t="n">
        <v>97</v>
      </c>
      <c r="E369" s="79" t="n">
        <v>102</v>
      </c>
      <c r="F369" s="79" t="n">
        <v>123</v>
      </c>
      <c r="G369" s="79" t="n">
        <v>144</v>
      </c>
      <c r="H369" s="79" t="n">
        <v>127</v>
      </c>
      <c r="I369" s="79" t="n">
        <v>160</v>
      </c>
      <c r="J369" s="79" t="n">
        <v>156</v>
      </c>
      <c r="K369" s="79" t="n">
        <v>120</v>
      </c>
      <c r="L369" s="79" t="n">
        <v>130</v>
      </c>
      <c r="M369" s="79" t="n">
        <v>115</v>
      </c>
      <c r="N369" s="79" t="n">
        <v>84</v>
      </c>
      <c r="O369" s="79" t="n">
        <v>97</v>
      </c>
      <c r="P369" s="79" t="n">
        <v>96</v>
      </c>
      <c r="Q369" s="79" t="n">
        <v>63</v>
      </c>
      <c r="R369" s="79" t="n">
        <v>81</v>
      </c>
      <c r="S369" s="79" t="n">
        <v>70</v>
      </c>
      <c r="T369" s="79" t="n">
        <v>67</v>
      </c>
      <c r="U369" s="79" t="n">
        <v>81</v>
      </c>
      <c r="V369" s="79" t="n">
        <v>76</v>
      </c>
      <c r="W369" s="79" t="n">
        <v>73</v>
      </c>
      <c r="X369" s="79" t="n">
        <v>72</v>
      </c>
      <c r="Y369" s="79" t="n">
        <v>71</v>
      </c>
      <c r="Z369" s="79" t="n">
        <v>70</v>
      </c>
      <c r="AA369" s="79" t="n">
        <v>70</v>
      </c>
    </row>
    <row r="371" customFormat="false" ht="19.5" hidden="false" customHeight="true" outlineLevel="0" collapsed="false">
      <c r="A371" s="65" t="s">
        <v>421</v>
      </c>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row>
    <row r="372" customFormat="false" ht="15" hidden="false" customHeight="true" outlineLevel="0" collapsed="false">
      <c r="A372" s="80" t="s">
        <v>539</v>
      </c>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row>
    <row r="373" customFormat="false" ht="15" hidden="false" customHeight="true" outlineLevel="0" collapsed="false">
      <c r="A373" s="12" t="s">
        <v>513</v>
      </c>
      <c r="B373" s="12" t="s">
        <v>113</v>
      </c>
      <c r="C373" s="12" t="s">
        <v>114</v>
      </c>
      <c r="D373" s="12" t="s">
        <v>115</v>
      </c>
      <c r="E373" s="12" t="s">
        <v>116</v>
      </c>
      <c r="F373" s="12" t="s">
        <v>117</v>
      </c>
      <c r="G373" s="12" t="s">
        <v>118</v>
      </c>
      <c r="H373" s="12" t="s">
        <v>119</v>
      </c>
      <c r="I373" s="12" t="s">
        <v>120</v>
      </c>
      <c r="J373" s="12" t="s">
        <v>121</v>
      </c>
      <c r="K373" s="12" t="s">
        <v>122</v>
      </c>
      <c r="L373" s="12" t="s">
        <v>123</v>
      </c>
      <c r="M373" s="12" t="s">
        <v>124</v>
      </c>
      <c r="N373" s="12" t="s">
        <v>125</v>
      </c>
      <c r="O373" s="12" t="s">
        <v>126</v>
      </c>
      <c r="P373" s="12" t="s">
        <v>127</v>
      </c>
      <c r="Q373" s="12" t="s">
        <v>128</v>
      </c>
      <c r="R373" s="12" t="s">
        <v>129</v>
      </c>
      <c r="S373" s="12" t="s">
        <v>130</v>
      </c>
      <c r="T373" s="12" t="s">
        <v>131</v>
      </c>
      <c r="U373" s="12" t="s">
        <v>132</v>
      </c>
      <c r="V373" s="12" t="s">
        <v>518</v>
      </c>
      <c r="W373" s="12" t="s">
        <v>519</v>
      </c>
      <c r="X373" s="12" t="s">
        <v>520</v>
      </c>
      <c r="Y373" s="12" t="s">
        <v>521</v>
      </c>
      <c r="Z373" s="12" t="s">
        <v>522</v>
      </c>
      <c r="AA373" s="12" t="s">
        <v>523</v>
      </c>
    </row>
    <row r="374" customFormat="false" ht="15" hidden="false" customHeight="true" outlineLevel="0" collapsed="false">
      <c r="A374" s="30" t="s">
        <v>113</v>
      </c>
      <c r="B374" s="74" t="n">
        <v>22</v>
      </c>
      <c r="C374" s="74" t="n">
        <v>17</v>
      </c>
      <c r="D374" s="74" t="n">
        <v>16</v>
      </c>
      <c r="E374" s="74" t="n">
        <v>16</v>
      </c>
      <c r="F374" s="74" t="n">
        <v>3</v>
      </c>
      <c r="G374" s="74" t="n">
        <v>1</v>
      </c>
      <c r="H374" s="74" t="n">
        <v>0</v>
      </c>
      <c r="I374" s="74" t="n">
        <v>0</v>
      </c>
      <c r="J374" s="74" t="n">
        <v>0</v>
      </c>
      <c r="K374" s="74" t="n">
        <v>0</v>
      </c>
      <c r="L374" s="74" t="n">
        <v>0</v>
      </c>
      <c r="M374" s="74" t="n">
        <v>0</v>
      </c>
      <c r="N374" s="74" t="n">
        <v>0</v>
      </c>
      <c r="O374" s="74" t="n">
        <v>0</v>
      </c>
      <c r="P374" s="74" t="n">
        <v>0</v>
      </c>
      <c r="Q374" s="74" t="n">
        <v>0</v>
      </c>
      <c r="R374" s="74" t="n">
        <v>0</v>
      </c>
      <c r="S374" s="74" t="n">
        <v>0</v>
      </c>
      <c r="T374" s="74" t="n">
        <v>0</v>
      </c>
      <c r="U374" s="74" t="n">
        <v>0</v>
      </c>
      <c r="V374" s="81" t="n">
        <v>0</v>
      </c>
      <c r="W374" s="81" t="n">
        <v>0</v>
      </c>
      <c r="X374" s="81" t="n">
        <v>0</v>
      </c>
      <c r="Y374" s="81" t="n">
        <v>0</v>
      </c>
      <c r="Z374" s="81" t="n">
        <v>0</v>
      </c>
      <c r="AA374" s="81" t="n">
        <v>0</v>
      </c>
    </row>
    <row r="375" customFormat="false" ht="15" hidden="false" customHeight="true" outlineLevel="0" collapsed="false">
      <c r="A375" s="30" t="s">
        <v>114</v>
      </c>
      <c r="B375" s="76"/>
      <c r="C375" s="74" t="n">
        <v>61</v>
      </c>
      <c r="D375" s="74" t="n">
        <v>53</v>
      </c>
      <c r="E375" s="74" t="n">
        <v>41</v>
      </c>
      <c r="F375" s="74" t="n">
        <v>50</v>
      </c>
      <c r="G375" s="74" t="n">
        <v>15</v>
      </c>
      <c r="H375" s="74" t="n">
        <v>3</v>
      </c>
      <c r="I375" s="74" t="n">
        <v>3</v>
      </c>
      <c r="J375" s="74" t="n">
        <v>3</v>
      </c>
      <c r="K375" s="74" t="n">
        <v>0</v>
      </c>
      <c r="L375" s="74" t="n">
        <v>1</v>
      </c>
      <c r="M375" s="74" t="n">
        <v>1</v>
      </c>
      <c r="N375" s="74" t="n">
        <v>0</v>
      </c>
      <c r="O375" s="74" t="n">
        <v>1</v>
      </c>
      <c r="P375" s="74" t="n">
        <v>0</v>
      </c>
      <c r="Q375" s="74" t="n">
        <v>0</v>
      </c>
      <c r="R375" s="74" t="n">
        <v>1</v>
      </c>
      <c r="S375" s="74" t="n">
        <v>1</v>
      </c>
      <c r="T375" s="74" t="n">
        <v>1</v>
      </c>
      <c r="U375" s="74" t="n">
        <v>0</v>
      </c>
      <c r="V375" s="81" t="n">
        <v>0</v>
      </c>
      <c r="W375" s="81" t="n">
        <v>0</v>
      </c>
      <c r="X375" s="81" t="n">
        <v>0</v>
      </c>
      <c r="Y375" s="81" t="n">
        <v>0</v>
      </c>
      <c r="Z375" s="81" t="n">
        <v>0</v>
      </c>
      <c r="AA375" s="81" t="n">
        <v>0</v>
      </c>
    </row>
    <row r="376" customFormat="false" ht="15" hidden="false" customHeight="true" outlineLevel="0" collapsed="false">
      <c r="A376" s="30" t="s">
        <v>115</v>
      </c>
      <c r="B376" s="76"/>
      <c r="C376" s="76"/>
      <c r="D376" s="74" t="n">
        <v>68</v>
      </c>
      <c r="E376" s="74" t="n">
        <v>56</v>
      </c>
      <c r="F376" s="74" t="n">
        <v>53</v>
      </c>
      <c r="G376" s="74" t="n">
        <v>52</v>
      </c>
      <c r="H376" s="74" t="n">
        <v>8</v>
      </c>
      <c r="I376" s="74" t="n">
        <v>7</v>
      </c>
      <c r="J376" s="74" t="n">
        <v>3</v>
      </c>
      <c r="K376" s="74" t="n">
        <v>1</v>
      </c>
      <c r="L376" s="74" t="n">
        <v>0</v>
      </c>
      <c r="M376" s="74" t="n">
        <v>0</v>
      </c>
      <c r="N376" s="74" t="n">
        <v>0</v>
      </c>
      <c r="O376" s="74" t="n">
        <v>0</v>
      </c>
      <c r="P376" s="74" t="n">
        <v>0</v>
      </c>
      <c r="Q376" s="74" t="n">
        <v>1</v>
      </c>
      <c r="R376" s="74" t="n">
        <v>1</v>
      </c>
      <c r="S376" s="74" t="n">
        <v>0</v>
      </c>
      <c r="T376" s="74" t="n">
        <v>1</v>
      </c>
      <c r="U376" s="74" t="n">
        <v>0</v>
      </c>
      <c r="V376" s="81" t="n">
        <v>0</v>
      </c>
      <c r="W376" s="81" t="n">
        <v>0</v>
      </c>
      <c r="X376" s="81" t="n">
        <v>0</v>
      </c>
      <c r="Y376" s="81" t="n">
        <v>0</v>
      </c>
      <c r="Z376" s="81" t="n">
        <v>0</v>
      </c>
      <c r="AA376" s="81" t="n">
        <v>0</v>
      </c>
    </row>
    <row r="377" customFormat="false" ht="15" hidden="false" customHeight="true" outlineLevel="0" collapsed="false">
      <c r="A377" s="30" t="s">
        <v>116</v>
      </c>
      <c r="B377" s="76"/>
      <c r="C377" s="76"/>
      <c r="D377" s="76"/>
      <c r="E377" s="74" t="n">
        <v>32</v>
      </c>
      <c r="F377" s="74" t="n">
        <v>26</v>
      </c>
      <c r="G377" s="74" t="n">
        <v>24</v>
      </c>
      <c r="H377" s="74" t="n">
        <v>20</v>
      </c>
      <c r="I377" s="74" t="n">
        <v>3</v>
      </c>
      <c r="J377" s="74" t="n">
        <v>5</v>
      </c>
      <c r="K377" s="74" t="n">
        <v>1</v>
      </c>
      <c r="L377" s="74" t="n">
        <v>1</v>
      </c>
      <c r="M377" s="74" t="n">
        <v>2</v>
      </c>
      <c r="N377" s="74" t="n">
        <v>0</v>
      </c>
      <c r="O377" s="74" t="n">
        <v>0</v>
      </c>
      <c r="P377" s="74" t="n">
        <v>0</v>
      </c>
      <c r="Q377" s="74" t="n">
        <v>0</v>
      </c>
      <c r="R377" s="74" t="n">
        <v>0</v>
      </c>
      <c r="S377" s="74" t="n">
        <v>0</v>
      </c>
      <c r="T377" s="74" t="n">
        <v>0</v>
      </c>
      <c r="U377" s="74" t="n">
        <v>0</v>
      </c>
      <c r="V377" s="81" t="n">
        <v>0</v>
      </c>
      <c r="W377" s="81" t="n">
        <v>0</v>
      </c>
      <c r="X377" s="81" t="n">
        <v>0</v>
      </c>
      <c r="Y377" s="81" t="n">
        <v>0</v>
      </c>
      <c r="Z377" s="81" t="n">
        <v>0</v>
      </c>
      <c r="AA377" s="81" t="n">
        <v>0</v>
      </c>
    </row>
    <row r="378" customFormat="false" ht="15" hidden="false" customHeight="true" outlineLevel="0" collapsed="false">
      <c r="A378" s="30" t="s">
        <v>117</v>
      </c>
      <c r="B378" s="76"/>
      <c r="C378" s="76"/>
      <c r="D378" s="76"/>
      <c r="E378" s="76"/>
      <c r="F378" s="74" t="n">
        <v>79</v>
      </c>
      <c r="G378" s="74" t="n">
        <v>66</v>
      </c>
      <c r="H378" s="74" t="n">
        <v>48</v>
      </c>
      <c r="I378" s="74" t="n">
        <v>54</v>
      </c>
      <c r="J378" s="74" t="n">
        <v>20</v>
      </c>
      <c r="K378" s="74" t="n">
        <v>6</v>
      </c>
      <c r="L378" s="74" t="n">
        <v>11</v>
      </c>
      <c r="M378" s="74" t="n">
        <v>5</v>
      </c>
      <c r="N378" s="74" t="n">
        <v>2</v>
      </c>
      <c r="O378" s="74" t="n">
        <v>2</v>
      </c>
      <c r="P378" s="74" t="n">
        <v>3</v>
      </c>
      <c r="Q378" s="74" t="n">
        <v>2</v>
      </c>
      <c r="R378" s="74" t="n">
        <v>1</v>
      </c>
      <c r="S378" s="74" t="n">
        <v>1</v>
      </c>
      <c r="T378" s="74" t="n">
        <v>0</v>
      </c>
      <c r="U378" s="74" t="n">
        <v>0</v>
      </c>
      <c r="V378" s="81" t="n">
        <v>0</v>
      </c>
      <c r="W378" s="81" t="n">
        <v>0</v>
      </c>
      <c r="X378" s="81" t="n">
        <v>0</v>
      </c>
      <c r="Y378" s="81" t="n">
        <v>0</v>
      </c>
      <c r="Z378" s="81" t="n">
        <v>0</v>
      </c>
      <c r="AA378" s="81" t="n">
        <v>0</v>
      </c>
    </row>
    <row r="379" customFormat="false" ht="15" hidden="false" customHeight="true" outlineLevel="0" collapsed="false">
      <c r="A379" s="30" t="s">
        <v>118</v>
      </c>
      <c r="B379" s="76"/>
      <c r="C379" s="76"/>
      <c r="D379" s="76"/>
      <c r="E379" s="76"/>
      <c r="F379" s="76"/>
      <c r="G379" s="74" t="n">
        <v>53</v>
      </c>
      <c r="H379" s="74" t="n">
        <v>38</v>
      </c>
      <c r="I379" s="74" t="n">
        <v>35</v>
      </c>
      <c r="J379" s="74" t="n">
        <v>31</v>
      </c>
      <c r="K379" s="74" t="n">
        <v>5</v>
      </c>
      <c r="L379" s="74" t="n">
        <v>3</v>
      </c>
      <c r="M379" s="74" t="n">
        <v>2</v>
      </c>
      <c r="N379" s="74" t="n">
        <v>0</v>
      </c>
      <c r="O379" s="74" t="n">
        <v>0</v>
      </c>
      <c r="P379" s="74" t="n">
        <v>0</v>
      </c>
      <c r="Q379" s="74" t="n">
        <v>0</v>
      </c>
      <c r="R379" s="74" t="n">
        <v>0</v>
      </c>
      <c r="S379" s="74" t="n">
        <v>0</v>
      </c>
      <c r="T379" s="74" t="n">
        <v>0</v>
      </c>
      <c r="U379" s="74" t="n">
        <v>0</v>
      </c>
      <c r="V379" s="81" t="n">
        <v>0</v>
      </c>
      <c r="W379" s="81" t="n">
        <v>0</v>
      </c>
      <c r="X379" s="81" t="n">
        <v>0</v>
      </c>
      <c r="Y379" s="81" t="n">
        <v>0</v>
      </c>
      <c r="Z379" s="81" t="n">
        <v>0</v>
      </c>
      <c r="AA379" s="81" t="n">
        <v>0</v>
      </c>
    </row>
    <row r="380" customFormat="false" ht="15" hidden="false" customHeight="true" outlineLevel="0" collapsed="false">
      <c r="A380" s="30" t="s">
        <v>119</v>
      </c>
      <c r="B380" s="76"/>
      <c r="C380" s="76"/>
      <c r="D380" s="76"/>
      <c r="E380" s="76"/>
      <c r="F380" s="76"/>
      <c r="G380" s="76"/>
      <c r="H380" s="74" t="n">
        <v>29</v>
      </c>
      <c r="I380" s="74" t="n">
        <v>22</v>
      </c>
      <c r="J380" s="74" t="n">
        <v>18</v>
      </c>
      <c r="K380" s="74" t="n">
        <v>16</v>
      </c>
      <c r="L380" s="74" t="n">
        <v>1</v>
      </c>
      <c r="M380" s="74" t="n">
        <v>2</v>
      </c>
      <c r="N380" s="74" t="n">
        <v>2</v>
      </c>
      <c r="O380" s="74" t="n">
        <v>1</v>
      </c>
      <c r="P380" s="74" t="n">
        <v>0</v>
      </c>
      <c r="Q380" s="74" t="n">
        <v>1</v>
      </c>
      <c r="R380" s="74" t="n">
        <v>0</v>
      </c>
      <c r="S380" s="74" t="n">
        <v>0</v>
      </c>
      <c r="T380" s="74" t="n">
        <v>0</v>
      </c>
      <c r="U380" s="74" t="n">
        <v>0</v>
      </c>
      <c r="V380" s="81" t="n">
        <v>0</v>
      </c>
      <c r="W380" s="81" t="n">
        <v>0</v>
      </c>
      <c r="X380" s="81" t="n">
        <v>0</v>
      </c>
      <c r="Y380" s="81" t="n">
        <v>0</v>
      </c>
      <c r="Z380" s="81" t="n">
        <v>0</v>
      </c>
      <c r="AA380" s="81" t="n">
        <v>0</v>
      </c>
    </row>
    <row r="381" customFormat="false" ht="15" hidden="false" customHeight="true" outlineLevel="0" collapsed="false">
      <c r="A381" s="30" t="s">
        <v>120</v>
      </c>
      <c r="B381" s="76"/>
      <c r="C381" s="76"/>
      <c r="D381" s="76"/>
      <c r="E381" s="76"/>
      <c r="F381" s="76"/>
      <c r="G381" s="76"/>
      <c r="H381" s="76"/>
      <c r="I381" s="74" t="n">
        <v>53</v>
      </c>
      <c r="J381" s="74" t="n">
        <v>36</v>
      </c>
      <c r="K381" s="74" t="n">
        <v>31</v>
      </c>
      <c r="L381" s="74" t="n">
        <v>35</v>
      </c>
      <c r="M381" s="74" t="n">
        <v>12</v>
      </c>
      <c r="N381" s="74" t="n">
        <v>2</v>
      </c>
      <c r="O381" s="74" t="n">
        <v>3</v>
      </c>
      <c r="P381" s="74" t="n">
        <v>1</v>
      </c>
      <c r="Q381" s="74" t="n">
        <v>1</v>
      </c>
      <c r="R381" s="74" t="n">
        <v>1</v>
      </c>
      <c r="S381" s="74" t="n">
        <v>1</v>
      </c>
      <c r="T381" s="74" t="n">
        <v>0</v>
      </c>
      <c r="U381" s="74" t="n">
        <v>0</v>
      </c>
      <c r="V381" s="81" t="n">
        <v>0</v>
      </c>
      <c r="W381" s="81" t="n">
        <v>0</v>
      </c>
      <c r="X381" s="81" t="n">
        <v>0</v>
      </c>
      <c r="Y381" s="81" t="n">
        <v>0</v>
      </c>
      <c r="Z381" s="81" t="n">
        <v>0</v>
      </c>
      <c r="AA381" s="81" t="n">
        <v>0</v>
      </c>
    </row>
    <row r="382" customFormat="false" ht="15" hidden="false" customHeight="true" outlineLevel="0" collapsed="false">
      <c r="A382" s="30" t="s">
        <v>121</v>
      </c>
      <c r="B382" s="76"/>
      <c r="C382" s="76"/>
      <c r="D382" s="76"/>
      <c r="E382" s="76"/>
      <c r="F382" s="76"/>
      <c r="G382" s="76"/>
      <c r="H382" s="76"/>
      <c r="I382" s="76"/>
      <c r="J382" s="74" t="n">
        <v>44</v>
      </c>
      <c r="K382" s="74" t="n">
        <v>33</v>
      </c>
      <c r="L382" s="74" t="n">
        <v>33</v>
      </c>
      <c r="M382" s="74" t="n">
        <v>32</v>
      </c>
      <c r="N382" s="74" t="n">
        <v>4</v>
      </c>
      <c r="O382" s="74" t="n">
        <v>6</v>
      </c>
      <c r="P382" s="74" t="n">
        <v>2</v>
      </c>
      <c r="Q382" s="74" t="n">
        <v>1</v>
      </c>
      <c r="R382" s="74" t="n">
        <v>1</v>
      </c>
      <c r="S382" s="74" t="n">
        <v>2</v>
      </c>
      <c r="T382" s="74" t="n">
        <v>1</v>
      </c>
      <c r="U382" s="74" t="n">
        <v>1</v>
      </c>
      <c r="V382" s="81" t="n">
        <v>1</v>
      </c>
      <c r="W382" s="81" t="n">
        <v>1</v>
      </c>
      <c r="X382" s="81" t="n">
        <v>0</v>
      </c>
      <c r="Y382" s="81" t="n">
        <v>0</v>
      </c>
      <c r="Z382" s="81" t="n">
        <v>1</v>
      </c>
      <c r="AA382" s="81" t="n">
        <v>0</v>
      </c>
    </row>
    <row r="383" customFormat="false" ht="15" hidden="false" customHeight="true" outlineLevel="0" collapsed="false">
      <c r="A383" s="30" t="s">
        <v>122</v>
      </c>
      <c r="B383" s="76"/>
      <c r="C383" s="76"/>
      <c r="D383" s="76"/>
      <c r="E383" s="76"/>
      <c r="F383" s="76"/>
      <c r="G383" s="76"/>
      <c r="H383" s="76"/>
      <c r="I383" s="76"/>
      <c r="J383" s="76"/>
      <c r="K383" s="74" t="n">
        <v>20</v>
      </c>
      <c r="L383" s="74" t="n">
        <v>13</v>
      </c>
      <c r="M383" s="74" t="n">
        <v>12</v>
      </c>
      <c r="N383" s="74" t="n">
        <v>11</v>
      </c>
      <c r="O383" s="74" t="n">
        <v>0</v>
      </c>
      <c r="P383" s="74" t="n">
        <v>0</v>
      </c>
      <c r="Q383" s="74" t="n">
        <v>0</v>
      </c>
      <c r="R383" s="74" t="n">
        <v>0</v>
      </c>
      <c r="S383" s="74" t="n">
        <v>0</v>
      </c>
      <c r="T383" s="74" t="n">
        <v>0</v>
      </c>
      <c r="U383" s="74" t="n">
        <v>0</v>
      </c>
      <c r="V383" s="81" t="n">
        <v>0</v>
      </c>
      <c r="W383" s="81" t="n">
        <v>0</v>
      </c>
      <c r="X383" s="81" t="n">
        <v>0</v>
      </c>
      <c r="Y383" s="81" t="n">
        <v>0</v>
      </c>
      <c r="Z383" s="81" t="n">
        <v>0</v>
      </c>
      <c r="AA383" s="81" t="n">
        <v>0</v>
      </c>
    </row>
    <row r="384" customFormat="false" ht="15" hidden="false" customHeight="true" outlineLevel="0" collapsed="false">
      <c r="A384" s="30" t="s">
        <v>123</v>
      </c>
      <c r="B384" s="76"/>
      <c r="C384" s="76"/>
      <c r="D384" s="76"/>
      <c r="E384" s="76"/>
      <c r="F384" s="76"/>
      <c r="G384" s="76"/>
      <c r="H384" s="76"/>
      <c r="I384" s="76"/>
      <c r="J384" s="76"/>
      <c r="K384" s="76"/>
      <c r="L384" s="74" t="n">
        <v>61</v>
      </c>
      <c r="M384" s="74" t="n">
        <v>54</v>
      </c>
      <c r="N384" s="74" t="n">
        <v>42</v>
      </c>
      <c r="O384" s="74" t="n">
        <v>41</v>
      </c>
      <c r="P384" s="74" t="n">
        <v>8</v>
      </c>
      <c r="Q384" s="74" t="n">
        <v>2</v>
      </c>
      <c r="R384" s="74" t="n">
        <v>5</v>
      </c>
      <c r="S384" s="74" t="n">
        <v>2</v>
      </c>
      <c r="T384" s="74" t="n">
        <v>0</v>
      </c>
      <c r="U384" s="74" t="n">
        <v>0</v>
      </c>
      <c r="V384" s="81" t="n">
        <v>0</v>
      </c>
      <c r="W384" s="81" t="n">
        <v>0</v>
      </c>
      <c r="X384" s="81" t="n">
        <v>0</v>
      </c>
      <c r="Y384" s="81" t="n">
        <v>0</v>
      </c>
      <c r="Z384" s="81" t="n">
        <v>0</v>
      </c>
      <c r="AA384" s="81" t="n">
        <v>0</v>
      </c>
    </row>
    <row r="385" customFormat="false" ht="15" hidden="false" customHeight="true" outlineLevel="0" collapsed="false">
      <c r="A385" s="30" t="s">
        <v>124</v>
      </c>
      <c r="B385" s="76"/>
      <c r="C385" s="76"/>
      <c r="D385" s="76"/>
      <c r="E385" s="76"/>
      <c r="F385" s="76"/>
      <c r="G385" s="76"/>
      <c r="H385" s="76"/>
      <c r="I385" s="76"/>
      <c r="J385" s="76"/>
      <c r="K385" s="76"/>
      <c r="L385" s="76"/>
      <c r="M385" s="74" t="n">
        <v>44</v>
      </c>
      <c r="N385" s="74" t="n">
        <v>34</v>
      </c>
      <c r="O385" s="74" t="n">
        <v>31</v>
      </c>
      <c r="P385" s="74" t="n">
        <v>29</v>
      </c>
      <c r="Q385" s="74" t="n">
        <v>10</v>
      </c>
      <c r="R385" s="74" t="n">
        <v>7</v>
      </c>
      <c r="S385" s="74" t="n">
        <v>3</v>
      </c>
      <c r="T385" s="74" t="n">
        <v>1</v>
      </c>
      <c r="U385" s="74" t="n">
        <v>1</v>
      </c>
      <c r="V385" s="81" t="n">
        <v>1</v>
      </c>
      <c r="W385" s="81" t="n">
        <v>1</v>
      </c>
      <c r="X385" s="81" t="n">
        <v>0</v>
      </c>
      <c r="Y385" s="81" t="n">
        <v>0</v>
      </c>
      <c r="Z385" s="81" t="n">
        <v>0</v>
      </c>
      <c r="AA385" s="81" t="n">
        <v>0</v>
      </c>
    </row>
    <row r="386" customFormat="false" ht="15" hidden="false" customHeight="true" outlineLevel="0" collapsed="false">
      <c r="A386" s="30" t="s">
        <v>125</v>
      </c>
      <c r="B386" s="76"/>
      <c r="C386" s="76"/>
      <c r="D386" s="76"/>
      <c r="E386" s="76"/>
      <c r="F386" s="76"/>
      <c r="G386" s="76"/>
      <c r="H386" s="76"/>
      <c r="I386" s="76"/>
      <c r="J386" s="76"/>
      <c r="K386" s="76"/>
      <c r="L386" s="76"/>
      <c r="M386" s="76"/>
      <c r="N386" s="74" t="n">
        <v>19</v>
      </c>
      <c r="O386" s="74" t="n">
        <v>10</v>
      </c>
      <c r="P386" s="74" t="n">
        <v>8</v>
      </c>
      <c r="Q386" s="74" t="n">
        <v>9</v>
      </c>
      <c r="R386" s="74" t="n">
        <v>3</v>
      </c>
      <c r="S386" s="74" t="n">
        <v>2</v>
      </c>
      <c r="T386" s="74" t="n">
        <v>1</v>
      </c>
      <c r="U386" s="74" t="n">
        <v>1</v>
      </c>
      <c r="V386" s="81" t="n">
        <v>0</v>
      </c>
      <c r="W386" s="81" t="n">
        <v>0</v>
      </c>
      <c r="X386" s="81" t="n">
        <v>0</v>
      </c>
      <c r="Y386" s="81" t="n">
        <v>0</v>
      </c>
      <c r="Z386" s="81" t="n">
        <v>0</v>
      </c>
      <c r="AA386" s="81" t="n">
        <v>0</v>
      </c>
    </row>
    <row r="387" customFormat="false" ht="15" hidden="false" customHeight="true" outlineLevel="0" collapsed="false">
      <c r="A387" s="30" t="s">
        <v>126</v>
      </c>
      <c r="B387" s="76"/>
      <c r="C387" s="76"/>
      <c r="D387" s="76"/>
      <c r="E387" s="76"/>
      <c r="F387" s="76"/>
      <c r="G387" s="76"/>
      <c r="H387" s="76"/>
      <c r="I387" s="76"/>
      <c r="J387" s="76"/>
      <c r="K387" s="76"/>
      <c r="L387" s="76"/>
      <c r="M387" s="76"/>
      <c r="N387" s="76"/>
      <c r="O387" s="74" t="n">
        <v>46</v>
      </c>
      <c r="P387" s="74" t="n">
        <v>41</v>
      </c>
      <c r="Q387" s="74" t="n">
        <v>28</v>
      </c>
      <c r="R387" s="74" t="n">
        <v>38</v>
      </c>
      <c r="S387" s="74" t="n">
        <v>15</v>
      </c>
      <c r="T387" s="74" t="n">
        <v>5</v>
      </c>
      <c r="U387" s="74" t="n">
        <v>6</v>
      </c>
      <c r="V387" s="81" t="n">
        <v>3</v>
      </c>
      <c r="W387" s="81" t="n">
        <v>1</v>
      </c>
      <c r="X387" s="81" t="n">
        <v>1</v>
      </c>
      <c r="Y387" s="81" t="n">
        <v>1</v>
      </c>
      <c r="Z387" s="81" t="n">
        <v>1</v>
      </c>
      <c r="AA387" s="81" t="n">
        <v>0</v>
      </c>
    </row>
    <row r="388" customFormat="false" ht="15" hidden="false" customHeight="true" outlineLevel="0" collapsed="false">
      <c r="A388" s="30" t="s">
        <v>127</v>
      </c>
      <c r="B388" s="76"/>
      <c r="C388" s="76"/>
      <c r="D388" s="76"/>
      <c r="E388" s="76"/>
      <c r="F388" s="76"/>
      <c r="G388" s="76"/>
      <c r="H388" s="76"/>
      <c r="I388" s="76"/>
      <c r="J388" s="76"/>
      <c r="K388" s="76"/>
      <c r="L388" s="76"/>
      <c r="M388" s="76"/>
      <c r="N388" s="76"/>
      <c r="O388" s="76"/>
      <c r="P388" s="74" t="n">
        <v>30</v>
      </c>
      <c r="Q388" s="74" t="n">
        <v>24</v>
      </c>
      <c r="R388" s="74" t="n">
        <v>25</v>
      </c>
      <c r="S388" s="74" t="n">
        <v>23</v>
      </c>
      <c r="T388" s="74" t="n">
        <v>4</v>
      </c>
      <c r="U388" s="74" t="n">
        <v>3</v>
      </c>
      <c r="V388" s="81" t="n">
        <v>2</v>
      </c>
      <c r="W388" s="81" t="n">
        <v>1</v>
      </c>
      <c r="X388" s="81" t="n">
        <v>0</v>
      </c>
      <c r="Y388" s="81" t="n">
        <v>0</v>
      </c>
      <c r="Z388" s="81" t="n">
        <v>0</v>
      </c>
      <c r="AA388" s="81" t="n">
        <v>0</v>
      </c>
    </row>
    <row r="389" customFormat="false" ht="15" hidden="false" customHeight="true" outlineLevel="0" collapsed="false">
      <c r="A389" s="30" t="s">
        <v>128</v>
      </c>
      <c r="B389" s="76"/>
      <c r="C389" s="76"/>
      <c r="D389" s="76"/>
      <c r="E389" s="76"/>
      <c r="F389" s="76"/>
      <c r="G389" s="76"/>
      <c r="H389" s="76"/>
      <c r="I389" s="76"/>
      <c r="J389" s="76"/>
      <c r="K389" s="76"/>
      <c r="L389" s="76"/>
      <c r="M389" s="76"/>
      <c r="N389" s="76"/>
      <c r="O389" s="76"/>
      <c r="P389" s="76"/>
      <c r="Q389" s="74" t="n">
        <v>13</v>
      </c>
      <c r="R389" s="74" t="n">
        <v>10</v>
      </c>
      <c r="S389" s="74" t="n">
        <v>10</v>
      </c>
      <c r="T389" s="74" t="n">
        <v>9</v>
      </c>
      <c r="U389" s="74" t="n">
        <v>1</v>
      </c>
      <c r="V389" s="81" t="n">
        <v>0</v>
      </c>
      <c r="W389" s="81" t="n">
        <v>0</v>
      </c>
      <c r="X389" s="81" t="n">
        <v>0</v>
      </c>
      <c r="Y389" s="81" t="n">
        <v>0</v>
      </c>
      <c r="Z389" s="81" t="n">
        <v>0</v>
      </c>
      <c r="AA389" s="81" t="n">
        <v>0</v>
      </c>
    </row>
    <row r="390" customFormat="false" ht="15" hidden="false" customHeight="true" outlineLevel="0" collapsed="false">
      <c r="A390" s="30" t="s">
        <v>129</v>
      </c>
      <c r="B390" s="76"/>
      <c r="C390" s="76"/>
      <c r="D390" s="76"/>
      <c r="E390" s="76"/>
      <c r="F390" s="76"/>
      <c r="G390" s="76"/>
      <c r="H390" s="76"/>
      <c r="I390" s="76"/>
      <c r="J390" s="76"/>
      <c r="K390" s="76"/>
      <c r="L390" s="76"/>
      <c r="M390" s="76"/>
      <c r="N390" s="76"/>
      <c r="O390" s="76"/>
      <c r="P390" s="76"/>
      <c r="Q390" s="76"/>
      <c r="R390" s="74" t="n">
        <v>34</v>
      </c>
      <c r="S390" s="74" t="n">
        <v>24</v>
      </c>
      <c r="T390" s="74" t="n">
        <v>21</v>
      </c>
      <c r="U390" s="74" t="n">
        <v>23</v>
      </c>
      <c r="V390" s="81" t="n">
        <v>5</v>
      </c>
      <c r="W390" s="81" t="n">
        <v>3</v>
      </c>
      <c r="X390" s="81" t="n">
        <v>2</v>
      </c>
      <c r="Y390" s="81" t="n">
        <v>1</v>
      </c>
      <c r="Z390" s="81" t="n">
        <v>0</v>
      </c>
      <c r="AA390" s="81" t="n">
        <v>0</v>
      </c>
    </row>
    <row r="391" customFormat="false" ht="15" hidden="false" customHeight="true" outlineLevel="0" collapsed="false">
      <c r="A391" s="30" t="s">
        <v>130</v>
      </c>
      <c r="B391" s="76"/>
      <c r="C391" s="76"/>
      <c r="D391" s="76"/>
      <c r="E391" s="76"/>
      <c r="F391" s="76"/>
      <c r="G391" s="76"/>
      <c r="H391" s="76"/>
      <c r="I391" s="76"/>
      <c r="J391" s="76"/>
      <c r="K391" s="76"/>
      <c r="L391" s="76"/>
      <c r="M391" s="76"/>
      <c r="N391" s="76"/>
      <c r="O391" s="76"/>
      <c r="P391" s="76"/>
      <c r="Q391" s="76"/>
      <c r="R391" s="76"/>
      <c r="S391" s="74" t="n">
        <v>23</v>
      </c>
      <c r="T391" s="74" t="n">
        <v>15</v>
      </c>
      <c r="U391" s="74" t="n">
        <v>19</v>
      </c>
      <c r="V391" s="81" t="n">
        <v>19</v>
      </c>
      <c r="W391" s="81" t="n">
        <v>4</v>
      </c>
      <c r="X391" s="81" t="n">
        <v>2</v>
      </c>
      <c r="Y391" s="81" t="n">
        <v>2</v>
      </c>
      <c r="Z391" s="81" t="n">
        <v>1</v>
      </c>
      <c r="AA391" s="81" t="n">
        <v>0</v>
      </c>
    </row>
    <row r="392" customFormat="false" ht="15" hidden="false" customHeight="true" outlineLevel="0" collapsed="false">
      <c r="A392" s="30" t="s">
        <v>131</v>
      </c>
      <c r="B392" s="76"/>
      <c r="C392" s="76"/>
      <c r="D392" s="76"/>
      <c r="E392" s="76"/>
      <c r="F392" s="76"/>
      <c r="G392" s="76"/>
      <c r="H392" s="76"/>
      <c r="I392" s="76"/>
      <c r="J392" s="76"/>
      <c r="K392" s="76"/>
      <c r="L392" s="76"/>
      <c r="M392" s="76"/>
      <c r="N392" s="76"/>
      <c r="O392" s="76"/>
      <c r="P392" s="76"/>
      <c r="Q392" s="76"/>
      <c r="R392" s="76"/>
      <c r="S392" s="76"/>
      <c r="T392" s="74" t="n">
        <v>13</v>
      </c>
      <c r="U392" s="74" t="n">
        <v>11</v>
      </c>
      <c r="V392" s="81" t="n">
        <v>9</v>
      </c>
      <c r="W392" s="81" t="n">
        <v>10</v>
      </c>
      <c r="X392" s="81" t="n">
        <v>2</v>
      </c>
      <c r="Y392" s="81" t="n">
        <v>1</v>
      </c>
      <c r="Z392" s="81" t="n">
        <v>1</v>
      </c>
      <c r="AA392" s="81" t="n">
        <v>0</v>
      </c>
    </row>
    <row r="393" customFormat="false" ht="15" hidden="false" customHeight="true" outlineLevel="0" collapsed="false">
      <c r="A393" s="30" t="s">
        <v>132</v>
      </c>
      <c r="B393" s="76"/>
      <c r="C393" s="76"/>
      <c r="D393" s="76"/>
      <c r="E393" s="76"/>
      <c r="F393" s="76"/>
      <c r="G393" s="76"/>
      <c r="H393" s="76"/>
      <c r="I393" s="76"/>
      <c r="J393" s="76"/>
      <c r="K393" s="76"/>
      <c r="L393" s="76"/>
      <c r="M393" s="76"/>
      <c r="N393" s="76"/>
      <c r="O393" s="76"/>
      <c r="P393" s="76"/>
      <c r="Q393" s="76"/>
      <c r="R393" s="76"/>
      <c r="S393" s="76"/>
      <c r="T393" s="76"/>
      <c r="U393" s="74" t="n">
        <v>24</v>
      </c>
      <c r="V393" s="81" t="n">
        <v>19</v>
      </c>
      <c r="W393" s="81" t="n">
        <v>16</v>
      </c>
      <c r="X393" s="81" t="n">
        <v>16</v>
      </c>
      <c r="Y393" s="81" t="n">
        <v>4</v>
      </c>
      <c r="Z393" s="81" t="n">
        <v>2</v>
      </c>
      <c r="AA393" s="81" t="n">
        <v>1</v>
      </c>
    </row>
    <row r="394" customFormat="false" ht="15" hidden="false" customHeight="true" outlineLevel="0" collapsed="false">
      <c r="A394" s="82" t="s">
        <v>524</v>
      </c>
      <c r="B394" s="76"/>
      <c r="C394" s="76"/>
      <c r="D394" s="76"/>
      <c r="E394" s="76"/>
      <c r="F394" s="76"/>
      <c r="G394" s="76"/>
      <c r="H394" s="76"/>
      <c r="I394" s="76"/>
      <c r="J394" s="76"/>
      <c r="K394" s="76"/>
      <c r="L394" s="76"/>
      <c r="M394" s="76"/>
      <c r="N394" s="76"/>
      <c r="O394" s="76"/>
      <c r="P394" s="76"/>
      <c r="Q394" s="76"/>
      <c r="R394" s="76"/>
      <c r="S394" s="76"/>
      <c r="T394" s="76"/>
      <c r="U394" s="76"/>
      <c r="V394" s="81" t="n">
        <v>20</v>
      </c>
      <c r="W394" s="81" t="n">
        <v>16</v>
      </c>
      <c r="X394" s="81" t="n">
        <v>14</v>
      </c>
      <c r="Y394" s="81" t="n">
        <v>14</v>
      </c>
      <c r="Z394" s="81" t="n">
        <v>3</v>
      </c>
      <c r="AA394" s="81" t="n">
        <v>2</v>
      </c>
    </row>
    <row r="395" customFormat="false" ht="15" hidden="false" customHeight="true" outlineLevel="0" collapsed="false">
      <c r="A395" s="82" t="s">
        <v>525</v>
      </c>
      <c r="B395" s="76"/>
      <c r="C395" s="76"/>
      <c r="D395" s="76"/>
      <c r="E395" s="76"/>
      <c r="F395" s="76"/>
      <c r="G395" s="76"/>
      <c r="H395" s="76"/>
      <c r="I395" s="76"/>
      <c r="J395" s="76"/>
      <c r="K395" s="76"/>
      <c r="L395" s="76"/>
      <c r="M395" s="76"/>
      <c r="N395" s="76"/>
      <c r="O395" s="76"/>
      <c r="P395" s="76"/>
      <c r="Q395" s="76"/>
      <c r="R395" s="76"/>
      <c r="S395" s="76"/>
      <c r="T395" s="76"/>
      <c r="U395" s="76"/>
      <c r="V395" s="76"/>
      <c r="W395" s="81" t="n">
        <v>20</v>
      </c>
      <c r="X395" s="81" t="n">
        <v>16</v>
      </c>
      <c r="Y395" s="81" t="n">
        <v>14</v>
      </c>
      <c r="Z395" s="81" t="n">
        <v>14</v>
      </c>
      <c r="AA395" s="81" t="n">
        <v>3</v>
      </c>
    </row>
    <row r="396" customFormat="false" ht="15" hidden="false" customHeight="true" outlineLevel="0" collapsed="false">
      <c r="A396" s="82" t="s">
        <v>526</v>
      </c>
      <c r="B396" s="76"/>
      <c r="C396" s="76"/>
      <c r="D396" s="76"/>
      <c r="E396" s="76"/>
      <c r="F396" s="76"/>
      <c r="G396" s="76"/>
      <c r="H396" s="76"/>
      <c r="I396" s="76"/>
      <c r="J396" s="76"/>
      <c r="K396" s="76"/>
      <c r="L396" s="76"/>
      <c r="M396" s="76"/>
      <c r="N396" s="76"/>
      <c r="O396" s="76"/>
      <c r="P396" s="76"/>
      <c r="Q396" s="76"/>
      <c r="R396" s="76"/>
      <c r="S396" s="76"/>
      <c r="T396" s="76"/>
      <c r="U396" s="76"/>
      <c r="V396" s="76"/>
      <c r="W396" s="76"/>
      <c r="X396" s="81" t="n">
        <v>20</v>
      </c>
      <c r="Y396" s="81" t="n">
        <v>16</v>
      </c>
      <c r="Z396" s="81" t="n">
        <v>14</v>
      </c>
      <c r="AA396" s="81" t="n">
        <v>14</v>
      </c>
    </row>
    <row r="397" customFormat="false" ht="15" hidden="false" customHeight="true" outlineLevel="0" collapsed="false">
      <c r="A397" s="82" t="s">
        <v>527</v>
      </c>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81" t="n">
        <v>20</v>
      </c>
      <c r="Z397" s="81" t="n">
        <v>16</v>
      </c>
      <c r="AA397" s="81" t="n">
        <v>14</v>
      </c>
    </row>
    <row r="398" customFormat="false" ht="15" hidden="false" customHeight="true" outlineLevel="0" collapsed="false">
      <c r="A398" s="82" t="s">
        <v>528</v>
      </c>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81" t="n">
        <v>20</v>
      </c>
      <c r="AA398" s="81" t="n">
        <v>16</v>
      </c>
    </row>
    <row r="399" customFormat="false" ht="15" hidden="false" customHeight="true" outlineLevel="0" collapsed="false">
      <c r="A399" s="82" t="s">
        <v>529</v>
      </c>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81" t="n">
        <v>20</v>
      </c>
    </row>
    <row r="400" customFormat="false" ht="15" hidden="false" customHeight="true" outlineLevel="0" collapsed="false">
      <c r="A400" s="34" t="s">
        <v>514</v>
      </c>
      <c r="B400" s="79" t="n">
        <v>22</v>
      </c>
      <c r="C400" s="79" t="n">
        <v>78</v>
      </c>
      <c r="D400" s="79" t="n">
        <v>137</v>
      </c>
      <c r="E400" s="79" t="n">
        <v>145</v>
      </c>
      <c r="F400" s="79" t="n">
        <v>211</v>
      </c>
      <c r="G400" s="79" t="n">
        <v>211</v>
      </c>
      <c r="H400" s="79" t="n">
        <v>146</v>
      </c>
      <c r="I400" s="79" t="n">
        <v>177</v>
      </c>
      <c r="J400" s="79" t="n">
        <v>160</v>
      </c>
      <c r="K400" s="79" t="n">
        <v>113</v>
      </c>
      <c r="L400" s="79" t="n">
        <v>159</v>
      </c>
      <c r="M400" s="79" t="n">
        <v>166</v>
      </c>
      <c r="N400" s="79" t="n">
        <v>116</v>
      </c>
      <c r="O400" s="79" t="n">
        <v>141</v>
      </c>
      <c r="P400" s="79" t="n">
        <v>122</v>
      </c>
      <c r="Q400" s="79" t="n">
        <v>92</v>
      </c>
      <c r="R400" s="79" t="n">
        <v>127</v>
      </c>
      <c r="S400" s="79" t="n">
        <v>107</v>
      </c>
      <c r="T400" s="79" t="n">
        <v>72</v>
      </c>
      <c r="U400" s="79" t="n">
        <v>90</v>
      </c>
      <c r="V400" s="79" t="n">
        <v>81</v>
      </c>
      <c r="W400" s="79" t="n">
        <v>73</v>
      </c>
      <c r="X400" s="79" t="n">
        <v>75</v>
      </c>
      <c r="Y400" s="79" t="n">
        <v>73</v>
      </c>
      <c r="Z400" s="79" t="n">
        <v>72</v>
      </c>
      <c r="AA400" s="79" t="n">
        <v>72</v>
      </c>
    </row>
    <row r="402" customFormat="false" ht="19.5" hidden="false" customHeight="true" outlineLevel="0" collapsed="false">
      <c r="A402" s="65" t="s">
        <v>422</v>
      </c>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row>
    <row r="403" customFormat="false" ht="15" hidden="false" customHeight="true" outlineLevel="0" collapsed="false">
      <c r="A403" s="80" t="s">
        <v>540</v>
      </c>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c r="AA403" s="80"/>
    </row>
    <row r="404" customFormat="false" ht="15" hidden="false" customHeight="true" outlineLevel="0" collapsed="false">
      <c r="A404" s="12" t="s">
        <v>513</v>
      </c>
      <c r="B404" s="12" t="s">
        <v>113</v>
      </c>
      <c r="C404" s="12" t="s">
        <v>114</v>
      </c>
      <c r="D404" s="12" t="s">
        <v>115</v>
      </c>
      <c r="E404" s="12" t="s">
        <v>116</v>
      </c>
      <c r="F404" s="12" t="s">
        <v>117</v>
      </c>
      <c r="G404" s="12" t="s">
        <v>118</v>
      </c>
      <c r="H404" s="12" t="s">
        <v>119</v>
      </c>
      <c r="I404" s="12" t="s">
        <v>120</v>
      </c>
      <c r="J404" s="12" t="s">
        <v>121</v>
      </c>
      <c r="K404" s="12" t="s">
        <v>122</v>
      </c>
      <c r="L404" s="12" t="s">
        <v>123</v>
      </c>
      <c r="M404" s="12" t="s">
        <v>124</v>
      </c>
      <c r="N404" s="12" t="s">
        <v>125</v>
      </c>
      <c r="O404" s="12" t="s">
        <v>126</v>
      </c>
      <c r="P404" s="12" t="s">
        <v>127</v>
      </c>
      <c r="Q404" s="12" t="s">
        <v>128</v>
      </c>
      <c r="R404" s="12" t="s">
        <v>129</v>
      </c>
      <c r="S404" s="12" t="s">
        <v>130</v>
      </c>
      <c r="T404" s="12" t="s">
        <v>131</v>
      </c>
      <c r="U404" s="12" t="s">
        <v>132</v>
      </c>
      <c r="V404" s="12" t="s">
        <v>518</v>
      </c>
      <c r="W404" s="12" t="s">
        <v>519</v>
      </c>
      <c r="X404" s="12" t="s">
        <v>520</v>
      </c>
      <c r="Y404" s="12" t="s">
        <v>521</v>
      </c>
      <c r="Z404" s="12" t="s">
        <v>522</v>
      </c>
      <c r="AA404" s="12" t="s">
        <v>523</v>
      </c>
    </row>
    <row r="405" customFormat="false" ht="15" hidden="false" customHeight="true" outlineLevel="0" collapsed="false">
      <c r="A405" s="30" t="s">
        <v>114</v>
      </c>
      <c r="B405" s="76"/>
      <c r="C405" s="74" t="n">
        <v>14</v>
      </c>
      <c r="D405" s="74" t="n">
        <v>12</v>
      </c>
      <c r="E405" s="74" t="n">
        <v>12</v>
      </c>
      <c r="F405" s="74" t="n">
        <v>13</v>
      </c>
      <c r="G405" s="74" t="n">
        <v>3</v>
      </c>
      <c r="H405" s="74" t="n">
        <v>2</v>
      </c>
      <c r="I405" s="74" t="n">
        <v>2</v>
      </c>
      <c r="J405" s="74" t="n">
        <v>0</v>
      </c>
      <c r="K405" s="74" t="n">
        <v>0</v>
      </c>
      <c r="L405" s="74" t="n">
        <v>0</v>
      </c>
      <c r="M405" s="74" t="n">
        <v>0</v>
      </c>
      <c r="N405" s="74" t="n">
        <v>0</v>
      </c>
      <c r="O405" s="74" t="n">
        <v>0</v>
      </c>
      <c r="P405" s="74" t="n">
        <v>0</v>
      </c>
      <c r="Q405" s="74" t="n">
        <v>0</v>
      </c>
      <c r="R405" s="74" t="n">
        <v>0</v>
      </c>
      <c r="S405" s="74" t="n">
        <v>0</v>
      </c>
      <c r="T405" s="74" t="n">
        <v>0</v>
      </c>
      <c r="U405" s="74" t="n">
        <v>0</v>
      </c>
      <c r="V405" s="81" t="n">
        <v>0</v>
      </c>
      <c r="W405" s="81" t="n">
        <v>0</v>
      </c>
      <c r="X405" s="81" t="n">
        <v>0</v>
      </c>
      <c r="Y405" s="81" t="n">
        <v>0</v>
      </c>
      <c r="Z405" s="81" t="n">
        <v>0</v>
      </c>
      <c r="AA405" s="81" t="n">
        <v>0</v>
      </c>
    </row>
    <row r="406" customFormat="false" ht="15" hidden="false" customHeight="true" outlineLevel="0" collapsed="false">
      <c r="A406" s="30" t="s">
        <v>115</v>
      </c>
      <c r="B406" s="76"/>
      <c r="C406" s="76"/>
      <c r="D406" s="74" t="n">
        <v>14</v>
      </c>
      <c r="E406" s="74" t="n">
        <v>11</v>
      </c>
      <c r="F406" s="74" t="n">
        <v>9</v>
      </c>
      <c r="G406" s="74" t="n">
        <v>9</v>
      </c>
      <c r="H406" s="74" t="n">
        <v>2</v>
      </c>
      <c r="I406" s="74" t="n">
        <v>1</v>
      </c>
      <c r="J406" s="74" t="n">
        <v>0</v>
      </c>
      <c r="K406" s="74" t="n">
        <v>0</v>
      </c>
      <c r="L406" s="74" t="n">
        <v>0</v>
      </c>
      <c r="M406" s="74" t="n">
        <v>0</v>
      </c>
      <c r="N406" s="74" t="n">
        <v>0</v>
      </c>
      <c r="O406" s="74" t="n">
        <v>0</v>
      </c>
      <c r="P406" s="74" t="n">
        <v>0</v>
      </c>
      <c r="Q406" s="74" t="n">
        <v>0</v>
      </c>
      <c r="R406" s="74" t="n">
        <v>0</v>
      </c>
      <c r="S406" s="74" t="n">
        <v>0</v>
      </c>
      <c r="T406" s="74" t="n">
        <v>0</v>
      </c>
      <c r="U406" s="74" t="n">
        <v>0</v>
      </c>
      <c r="V406" s="81" t="n">
        <v>0</v>
      </c>
      <c r="W406" s="81" t="n">
        <v>0</v>
      </c>
      <c r="X406" s="81" t="n">
        <v>0</v>
      </c>
      <c r="Y406" s="81" t="n">
        <v>0</v>
      </c>
      <c r="Z406" s="81" t="n">
        <v>0</v>
      </c>
      <c r="AA406" s="81" t="n">
        <v>0</v>
      </c>
    </row>
    <row r="407" customFormat="false" ht="15" hidden="false" customHeight="true" outlineLevel="0" collapsed="false">
      <c r="A407" s="30" t="s">
        <v>117</v>
      </c>
      <c r="B407" s="76"/>
      <c r="C407" s="76"/>
      <c r="D407" s="76"/>
      <c r="E407" s="76"/>
      <c r="F407" s="74" t="n">
        <v>11</v>
      </c>
      <c r="G407" s="74" t="n">
        <v>8</v>
      </c>
      <c r="H407" s="74" t="n">
        <v>8</v>
      </c>
      <c r="I407" s="74" t="n">
        <v>7</v>
      </c>
      <c r="J407" s="74" t="n">
        <v>1</v>
      </c>
      <c r="K407" s="74" t="n">
        <v>0</v>
      </c>
      <c r="L407" s="74" t="n">
        <v>0</v>
      </c>
      <c r="M407" s="74" t="n">
        <v>0</v>
      </c>
      <c r="N407" s="74" t="n">
        <v>0</v>
      </c>
      <c r="O407" s="74" t="n">
        <v>0</v>
      </c>
      <c r="P407" s="74" t="n">
        <v>0</v>
      </c>
      <c r="Q407" s="74" t="n">
        <v>0</v>
      </c>
      <c r="R407" s="74" t="n">
        <v>0</v>
      </c>
      <c r="S407" s="74" t="n">
        <v>0</v>
      </c>
      <c r="T407" s="74" t="n">
        <v>0</v>
      </c>
      <c r="U407" s="74" t="n">
        <v>0</v>
      </c>
      <c r="V407" s="81" t="n">
        <v>0</v>
      </c>
      <c r="W407" s="81" t="n">
        <v>0</v>
      </c>
      <c r="X407" s="81" t="n">
        <v>0</v>
      </c>
      <c r="Y407" s="81" t="n">
        <v>0</v>
      </c>
      <c r="Z407" s="81" t="n">
        <v>0</v>
      </c>
      <c r="AA407" s="81" t="n">
        <v>0</v>
      </c>
    </row>
    <row r="408" customFormat="false" ht="15" hidden="false" customHeight="true" outlineLevel="0" collapsed="false">
      <c r="A408" s="30" t="s">
        <v>118</v>
      </c>
      <c r="B408" s="76"/>
      <c r="C408" s="76"/>
      <c r="D408" s="76"/>
      <c r="E408" s="76"/>
      <c r="F408" s="76"/>
      <c r="G408" s="74" t="n">
        <v>5</v>
      </c>
      <c r="H408" s="74" t="n">
        <v>4</v>
      </c>
      <c r="I408" s="74" t="n">
        <v>3</v>
      </c>
      <c r="J408" s="74" t="n">
        <v>3</v>
      </c>
      <c r="K408" s="74" t="n">
        <v>0</v>
      </c>
      <c r="L408" s="74" t="n">
        <v>0</v>
      </c>
      <c r="M408" s="74" t="n">
        <v>0</v>
      </c>
      <c r="N408" s="74" t="n">
        <v>0</v>
      </c>
      <c r="O408" s="74" t="n">
        <v>0</v>
      </c>
      <c r="P408" s="74" t="n">
        <v>0</v>
      </c>
      <c r="Q408" s="74" t="n">
        <v>0</v>
      </c>
      <c r="R408" s="74" t="n">
        <v>0</v>
      </c>
      <c r="S408" s="74" t="n">
        <v>0</v>
      </c>
      <c r="T408" s="74" t="n">
        <v>0</v>
      </c>
      <c r="U408" s="74" t="n">
        <v>0</v>
      </c>
      <c r="V408" s="81" t="n">
        <v>0</v>
      </c>
      <c r="W408" s="81" t="n">
        <v>0</v>
      </c>
      <c r="X408" s="81" t="n">
        <v>0</v>
      </c>
      <c r="Y408" s="81" t="n">
        <v>0</v>
      </c>
      <c r="Z408" s="81" t="n">
        <v>0</v>
      </c>
      <c r="AA408" s="81" t="n">
        <v>0</v>
      </c>
    </row>
    <row r="409" customFormat="false" ht="15" hidden="false" customHeight="true" outlineLevel="0" collapsed="false">
      <c r="A409" s="30" t="s">
        <v>120</v>
      </c>
      <c r="B409" s="76"/>
      <c r="C409" s="76"/>
      <c r="D409" s="76"/>
      <c r="E409" s="76"/>
      <c r="F409" s="76"/>
      <c r="G409" s="76"/>
      <c r="H409" s="76"/>
      <c r="I409" s="74" t="n">
        <v>6</v>
      </c>
      <c r="J409" s="74" t="n">
        <v>5</v>
      </c>
      <c r="K409" s="74" t="n">
        <v>5</v>
      </c>
      <c r="L409" s="74" t="n">
        <v>5</v>
      </c>
      <c r="M409" s="74" t="n">
        <v>1</v>
      </c>
      <c r="N409" s="74" t="n">
        <v>1</v>
      </c>
      <c r="O409" s="74" t="n">
        <v>1</v>
      </c>
      <c r="P409" s="74" t="n">
        <v>1</v>
      </c>
      <c r="Q409" s="74" t="n">
        <v>0</v>
      </c>
      <c r="R409" s="74" t="n">
        <v>0</v>
      </c>
      <c r="S409" s="74" t="n">
        <v>0</v>
      </c>
      <c r="T409" s="74" t="n">
        <v>0</v>
      </c>
      <c r="U409" s="74" t="n">
        <v>0</v>
      </c>
      <c r="V409" s="81" t="n">
        <v>0</v>
      </c>
      <c r="W409" s="81" t="n">
        <v>0</v>
      </c>
      <c r="X409" s="81" t="n">
        <v>0</v>
      </c>
      <c r="Y409" s="81" t="n">
        <v>0</v>
      </c>
      <c r="Z409" s="81" t="n">
        <v>0</v>
      </c>
      <c r="AA409" s="81" t="n">
        <v>0</v>
      </c>
    </row>
    <row r="410" customFormat="false" ht="15" hidden="false" customHeight="true" outlineLevel="0" collapsed="false">
      <c r="A410" s="30" t="s">
        <v>121</v>
      </c>
      <c r="B410" s="76"/>
      <c r="C410" s="76"/>
      <c r="D410" s="76"/>
      <c r="E410" s="76"/>
      <c r="F410" s="76"/>
      <c r="G410" s="76"/>
      <c r="H410" s="76"/>
      <c r="I410" s="76"/>
      <c r="J410" s="74" t="n">
        <v>4</v>
      </c>
      <c r="K410" s="74" t="n">
        <v>3</v>
      </c>
      <c r="L410" s="74" t="n">
        <v>4</v>
      </c>
      <c r="M410" s="74" t="n">
        <v>3</v>
      </c>
      <c r="N410" s="74" t="n">
        <v>0</v>
      </c>
      <c r="O410" s="74" t="n">
        <v>0</v>
      </c>
      <c r="P410" s="74" t="n">
        <v>0</v>
      </c>
      <c r="Q410" s="74" t="n">
        <v>0</v>
      </c>
      <c r="R410" s="74" t="n">
        <v>0</v>
      </c>
      <c r="S410" s="74" t="n">
        <v>0</v>
      </c>
      <c r="T410" s="74" t="n">
        <v>0</v>
      </c>
      <c r="U410" s="74" t="n">
        <v>0</v>
      </c>
      <c r="V410" s="81" t="n">
        <v>0</v>
      </c>
      <c r="W410" s="81" t="n">
        <v>0</v>
      </c>
      <c r="X410" s="81" t="n">
        <v>0</v>
      </c>
      <c r="Y410" s="81" t="n">
        <v>0</v>
      </c>
      <c r="Z410" s="81" t="n">
        <v>0</v>
      </c>
      <c r="AA410" s="81" t="n">
        <v>0</v>
      </c>
    </row>
    <row r="411" customFormat="false" ht="15" hidden="false" customHeight="true" outlineLevel="0" collapsed="false">
      <c r="A411" s="30" t="s">
        <v>123</v>
      </c>
      <c r="B411" s="76"/>
      <c r="C411" s="76"/>
      <c r="D411" s="76"/>
      <c r="E411" s="76"/>
      <c r="F411" s="76"/>
      <c r="G411" s="76"/>
      <c r="H411" s="76"/>
      <c r="I411" s="76"/>
      <c r="J411" s="76"/>
      <c r="K411" s="76"/>
      <c r="L411" s="74" t="n">
        <v>8</v>
      </c>
      <c r="M411" s="74" t="n">
        <v>5</v>
      </c>
      <c r="N411" s="74" t="n">
        <v>4</v>
      </c>
      <c r="O411" s="74" t="n">
        <v>6</v>
      </c>
      <c r="P411" s="74" t="n">
        <v>3</v>
      </c>
      <c r="Q411" s="74" t="n">
        <v>1</v>
      </c>
      <c r="R411" s="74" t="n">
        <v>2</v>
      </c>
      <c r="S411" s="74" t="n">
        <v>1</v>
      </c>
      <c r="T411" s="74" t="n">
        <v>1</v>
      </c>
      <c r="U411" s="74" t="n">
        <v>1</v>
      </c>
      <c r="V411" s="81" t="n">
        <v>1</v>
      </c>
      <c r="W411" s="81" t="n">
        <v>1</v>
      </c>
      <c r="X411" s="81" t="n">
        <v>1</v>
      </c>
      <c r="Y411" s="81" t="n">
        <v>1</v>
      </c>
      <c r="Z411" s="81" t="n">
        <v>1</v>
      </c>
      <c r="AA411" s="81" t="n">
        <v>1</v>
      </c>
    </row>
    <row r="412" customFormat="false" ht="15" hidden="false" customHeight="true" outlineLevel="0" collapsed="false">
      <c r="A412" s="30" t="s">
        <v>124</v>
      </c>
      <c r="B412" s="76"/>
      <c r="C412" s="76"/>
      <c r="D412" s="76"/>
      <c r="E412" s="76"/>
      <c r="F412" s="76"/>
      <c r="G412" s="76"/>
      <c r="H412" s="76"/>
      <c r="I412" s="76"/>
      <c r="J412" s="76"/>
      <c r="K412" s="76"/>
      <c r="L412" s="76"/>
      <c r="M412" s="74" t="n">
        <v>6</v>
      </c>
      <c r="N412" s="74" t="n">
        <v>4</v>
      </c>
      <c r="O412" s="74" t="n">
        <v>3</v>
      </c>
      <c r="P412" s="74" t="n">
        <v>2</v>
      </c>
      <c r="Q412" s="74" t="n">
        <v>1</v>
      </c>
      <c r="R412" s="74" t="n">
        <v>0</v>
      </c>
      <c r="S412" s="74" t="n">
        <v>0</v>
      </c>
      <c r="T412" s="74" t="n">
        <v>0</v>
      </c>
      <c r="U412" s="74" t="n">
        <v>0</v>
      </c>
      <c r="V412" s="81" t="n">
        <v>0</v>
      </c>
      <c r="W412" s="81" t="n">
        <v>0</v>
      </c>
      <c r="X412" s="81" t="n">
        <v>0</v>
      </c>
      <c r="Y412" s="81" t="n">
        <v>0</v>
      </c>
      <c r="Z412" s="81" t="n">
        <v>0</v>
      </c>
      <c r="AA412" s="81" t="n">
        <v>0</v>
      </c>
    </row>
    <row r="413" customFormat="false" ht="15" hidden="false" customHeight="true" outlineLevel="0" collapsed="false">
      <c r="A413" s="30" t="s">
        <v>129</v>
      </c>
      <c r="B413" s="76"/>
      <c r="C413" s="76"/>
      <c r="D413" s="76"/>
      <c r="E413" s="76"/>
      <c r="F413" s="76"/>
      <c r="G413" s="76"/>
      <c r="H413" s="76"/>
      <c r="I413" s="76"/>
      <c r="J413" s="76"/>
      <c r="K413" s="76"/>
      <c r="L413" s="76"/>
      <c r="M413" s="76"/>
      <c r="N413" s="76"/>
      <c r="O413" s="76"/>
      <c r="P413" s="76"/>
      <c r="Q413" s="76"/>
      <c r="R413" s="74" t="n">
        <v>5</v>
      </c>
      <c r="S413" s="74" t="n">
        <v>4</v>
      </c>
      <c r="T413" s="74" t="n">
        <v>3</v>
      </c>
      <c r="U413" s="74" t="n">
        <v>4</v>
      </c>
      <c r="V413" s="81" t="n">
        <v>1</v>
      </c>
      <c r="W413" s="81" t="n">
        <v>0</v>
      </c>
      <c r="X413" s="81" t="n">
        <v>0</v>
      </c>
      <c r="Y413" s="81" t="n">
        <v>0</v>
      </c>
      <c r="Z413" s="81" t="n">
        <v>0</v>
      </c>
      <c r="AA413" s="81" t="n">
        <v>0</v>
      </c>
    </row>
    <row r="414" customFormat="false" ht="15" hidden="false" customHeight="true" outlineLevel="0" collapsed="false">
      <c r="A414" s="30" t="s">
        <v>130</v>
      </c>
      <c r="B414" s="76"/>
      <c r="C414" s="76"/>
      <c r="D414" s="76"/>
      <c r="E414" s="76"/>
      <c r="F414" s="76"/>
      <c r="G414" s="76"/>
      <c r="H414" s="76"/>
      <c r="I414" s="76"/>
      <c r="J414" s="76"/>
      <c r="K414" s="76"/>
      <c r="L414" s="76"/>
      <c r="M414" s="76"/>
      <c r="N414" s="76"/>
      <c r="O414" s="76"/>
      <c r="P414" s="76"/>
      <c r="Q414" s="76"/>
      <c r="R414" s="76"/>
      <c r="S414" s="74" t="n">
        <v>2</v>
      </c>
      <c r="T414" s="74" t="n">
        <v>2</v>
      </c>
      <c r="U414" s="74" t="n">
        <v>2</v>
      </c>
      <c r="V414" s="81" t="n">
        <v>2</v>
      </c>
      <c r="W414" s="81" t="n">
        <v>0</v>
      </c>
      <c r="X414" s="81" t="n">
        <v>0</v>
      </c>
      <c r="Y414" s="81" t="n">
        <v>0</v>
      </c>
      <c r="Z414" s="81" t="n">
        <v>0</v>
      </c>
      <c r="AA414" s="81" t="n">
        <v>0</v>
      </c>
    </row>
    <row r="415" customFormat="false" ht="15" hidden="false" customHeight="true" outlineLevel="0" collapsed="false">
      <c r="A415" s="30" t="s">
        <v>132</v>
      </c>
      <c r="B415" s="76"/>
      <c r="C415" s="76"/>
      <c r="D415" s="76"/>
      <c r="E415" s="76"/>
      <c r="F415" s="76"/>
      <c r="G415" s="76"/>
      <c r="H415" s="76"/>
      <c r="I415" s="76"/>
      <c r="J415" s="76"/>
      <c r="K415" s="76"/>
      <c r="L415" s="76"/>
      <c r="M415" s="76"/>
      <c r="N415" s="76"/>
      <c r="O415" s="76"/>
      <c r="P415" s="76"/>
      <c r="Q415" s="76"/>
      <c r="R415" s="76"/>
      <c r="S415" s="76"/>
      <c r="T415" s="76"/>
      <c r="U415" s="74" t="n">
        <v>5</v>
      </c>
      <c r="V415" s="81" t="n">
        <v>4</v>
      </c>
      <c r="W415" s="81" t="n">
        <v>4</v>
      </c>
      <c r="X415" s="81" t="n">
        <v>4</v>
      </c>
      <c r="Y415" s="81" t="n">
        <v>1</v>
      </c>
      <c r="Z415" s="81" t="n">
        <v>0</v>
      </c>
      <c r="AA415" s="81" t="n">
        <v>0</v>
      </c>
    </row>
    <row r="416" customFormat="false" ht="15" hidden="false" customHeight="true" outlineLevel="0" collapsed="false">
      <c r="A416" s="82" t="s">
        <v>524</v>
      </c>
      <c r="B416" s="76"/>
      <c r="C416" s="76"/>
      <c r="D416" s="76"/>
      <c r="E416" s="76"/>
      <c r="F416" s="76"/>
      <c r="G416" s="76"/>
      <c r="H416" s="76"/>
      <c r="I416" s="76"/>
      <c r="J416" s="76"/>
      <c r="K416" s="76"/>
      <c r="L416" s="76"/>
      <c r="M416" s="76"/>
      <c r="N416" s="76"/>
      <c r="O416" s="76"/>
      <c r="P416" s="76"/>
      <c r="Q416" s="76"/>
      <c r="R416" s="76"/>
      <c r="S416" s="76"/>
      <c r="T416" s="76"/>
      <c r="U416" s="76"/>
      <c r="V416" s="81" t="n">
        <v>4</v>
      </c>
      <c r="W416" s="81" t="n">
        <v>3</v>
      </c>
      <c r="X416" s="81" t="n">
        <v>3</v>
      </c>
      <c r="Y416" s="81" t="n">
        <v>3</v>
      </c>
      <c r="Z416" s="81" t="n">
        <v>1</v>
      </c>
      <c r="AA416" s="81" t="n">
        <v>0</v>
      </c>
    </row>
    <row r="417" customFormat="false" ht="15" hidden="false" customHeight="true" outlineLevel="0" collapsed="false">
      <c r="A417" s="82" t="s">
        <v>525</v>
      </c>
      <c r="B417" s="76"/>
      <c r="C417" s="76"/>
      <c r="D417" s="76"/>
      <c r="E417" s="76"/>
      <c r="F417" s="76"/>
      <c r="G417" s="76"/>
      <c r="H417" s="76"/>
      <c r="I417" s="76"/>
      <c r="J417" s="76"/>
      <c r="K417" s="76"/>
      <c r="L417" s="76"/>
      <c r="M417" s="76"/>
      <c r="N417" s="76"/>
      <c r="O417" s="76"/>
      <c r="P417" s="76"/>
      <c r="Q417" s="76"/>
      <c r="R417" s="76"/>
      <c r="S417" s="76"/>
      <c r="T417" s="76"/>
      <c r="U417" s="76"/>
      <c r="V417" s="76"/>
      <c r="W417" s="81" t="n">
        <v>4</v>
      </c>
      <c r="X417" s="81" t="n">
        <v>3</v>
      </c>
      <c r="Y417" s="81" t="n">
        <v>3</v>
      </c>
      <c r="Z417" s="81" t="n">
        <v>3</v>
      </c>
      <c r="AA417" s="81" t="n">
        <v>1</v>
      </c>
    </row>
    <row r="418" customFormat="false" ht="15" hidden="false" customHeight="true" outlineLevel="0" collapsed="false">
      <c r="A418" s="82" t="s">
        <v>526</v>
      </c>
      <c r="B418" s="76"/>
      <c r="C418" s="76"/>
      <c r="D418" s="76"/>
      <c r="E418" s="76"/>
      <c r="F418" s="76"/>
      <c r="G418" s="76"/>
      <c r="H418" s="76"/>
      <c r="I418" s="76"/>
      <c r="J418" s="76"/>
      <c r="K418" s="76"/>
      <c r="L418" s="76"/>
      <c r="M418" s="76"/>
      <c r="N418" s="76"/>
      <c r="O418" s="76"/>
      <c r="P418" s="76"/>
      <c r="Q418" s="76"/>
      <c r="R418" s="76"/>
      <c r="S418" s="76"/>
      <c r="T418" s="76"/>
      <c r="U418" s="76"/>
      <c r="V418" s="76"/>
      <c r="W418" s="76"/>
      <c r="X418" s="81" t="n">
        <v>4</v>
      </c>
      <c r="Y418" s="81" t="n">
        <v>3</v>
      </c>
      <c r="Z418" s="81" t="n">
        <v>3</v>
      </c>
      <c r="AA418" s="81" t="n">
        <v>3</v>
      </c>
    </row>
    <row r="419" customFormat="false" ht="15" hidden="false" customHeight="true" outlineLevel="0" collapsed="false">
      <c r="A419" s="82" t="s">
        <v>527</v>
      </c>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81" t="n">
        <v>4</v>
      </c>
      <c r="Z419" s="81" t="n">
        <v>3</v>
      </c>
      <c r="AA419" s="81" t="n">
        <v>3</v>
      </c>
    </row>
    <row r="420" customFormat="false" ht="15" hidden="false" customHeight="true" outlineLevel="0" collapsed="false">
      <c r="A420" s="82" t="s">
        <v>528</v>
      </c>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81" t="n">
        <v>4</v>
      </c>
      <c r="AA420" s="81" t="n">
        <v>3</v>
      </c>
    </row>
    <row r="421" customFormat="false" ht="15" hidden="false" customHeight="true" outlineLevel="0" collapsed="false">
      <c r="A421" s="82" t="s">
        <v>529</v>
      </c>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81" t="n">
        <v>4</v>
      </c>
    </row>
    <row r="422" customFormat="false" ht="15" hidden="false" customHeight="true" outlineLevel="0" collapsed="false">
      <c r="A422" s="34" t="s">
        <v>514</v>
      </c>
      <c r="B422" s="79"/>
      <c r="C422" s="79" t="n">
        <v>14</v>
      </c>
      <c r="D422" s="79" t="n">
        <v>26</v>
      </c>
      <c r="E422" s="79" t="n">
        <v>23</v>
      </c>
      <c r="F422" s="79" t="n">
        <v>33</v>
      </c>
      <c r="G422" s="79" t="n">
        <v>25</v>
      </c>
      <c r="H422" s="79" t="n">
        <v>16</v>
      </c>
      <c r="I422" s="79" t="n">
        <v>19</v>
      </c>
      <c r="J422" s="79" t="n">
        <v>13</v>
      </c>
      <c r="K422" s="79" t="n">
        <v>8</v>
      </c>
      <c r="L422" s="79" t="n">
        <v>17</v>
      </c>
      <c r="M422" s="79" t="n">
        <v>15</v>
      </c>
      <c r="N422" s="79" t="n">
        <v>9</v>
      </c>
      <c r="O422" s="79" t="n">
        <v>10</v>
      </c>
      <c r="P422" s="79" t="n">
        <v>6</v>
      </c>
      <c r="Q422" s="79" t="n">
        <v>2</v>
      </c>
      <c r="R422" s="79" t="n">
        <v>7</v>
      </c>
      <c r="S422" s="79" t="n">
        <v>7</v>
      </c>
      <c r="T422" s="79" t="n">
        <v>6</v>
      </c>
      <c r="U422" s="79" t="n">
        <v>12</v>
      </c>
      <c r="V422" s="79" t="n">
        <v>12</v>
      </c>
      <c r="W422" s="79" t="n">
        <v>12</v>
      </c>
      <c r="X422" s="79" t="n">
        <v>15</v>
      </c>
      <c r="Y422" s="79" t="n">
        <v>15</v>
      </c>
      <c r="Z422" s="79" t="n">
        <v>15</v>
      </c>
      <c r="AA422" s="79" t="n">
        <v>15</v>
      </c>
    </row>
    <row r="424" customFormat="false" ht="45" hidden="false" customHeight="true" outlineLevel="0" collapsed="false">
      <c r="A424" s="65" t="s">
        <v>423</v>
      </c>
      <c r="B424" s="65"/>
      <c r="C424" s="65"/>
      <c r="D424" s="65"/>
      <c r="E424" s="65"/>
      <c r="F424" s="65"/>
      <c r="G424" s="65"/>
      <c r="H424" s="65"/>
      <c r="I424" s="65"/>
    </row>
    <row r="425" customFormat="false" ht="15" hidden="false" customHeight="true" outlineLevel="0" collapsed="false">
      <c r="A425" s="29" t="s">
        <v>272</v>
      </c>
      <c r="B425" s="29"/>
      <c r="C425" s="29"/>
      <c r="D425" s="29"/>
      <c r="E425" s="29"/>
      <c r="F425" s="29"/>
      <c r="G425" s="29"/>
      <c r="H425" s="29"/>
      <c r="I425" s="29"/>
    </row>
    <row r="427" customFormat="false" ht="19.5" hidden="false" customHeight="true" outlineLevel="0" collapsed="false">
      <c r="A427" s="65" t="s">
        <v>424</v>
      </c>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row>
    <row r="428" customFormat="false" ht="15" hidden="false" customHeight="true" outlineLevel="0" collapsed="false">
      <c r="A428" s="80" t="s">
        <v>541</v>
      </c>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c r="AA428" s="80"/>
    </row>
    <row r="429" customFormat="false" ht="15" hidden="false" customHeight="true" outlineLevel="0" collapsed="false">
      <c r="A429" s="12" t="s">
        <v>513</v>
      </c>
      <c r="B429" s="12" t="s">
        <v>113</v>
      </c>
      <c r="C429" s="12" t="s">
        <v>114</v>
      </c>
      <c r="D429" s="12" t="s">
        <v>115</v>
      </c>
      <c r="E429" s="12" t="s">
        <v>116</v>
      </c>
      <c r="F429" s="12" t="s">
        <v>117</v>
      </c>
      <c r="G429" s="12" t="s">
        <v>118</v>
      </c>
      <c r="H429" s="12" t="s">
        <v>119</v>
      </c>
      <c r="I429" s="12" t="s">
        <v>120</v>
      </c>
      <c r="J429" s="12" t="s">
        <v>121</v>
      </c>
      <c r="K429" s="12" t="s">
        <v>122</v>
      </c>
      <c r="L429" s="12" t="s">
        <v>123</v>
      </c>
      <c r="M429" s="12" t="s">
        <v>124</v>
      </c>
      <c r="N429" s="12" t="s">
        <v>125</v>
      </c>
      <c r="O429" s="12" t="s">
        <v>126</v>
      </c>
      <c r="P429" s="12" t="s">
        <v>127</v>
      </c>
      <c r="Q429" s="12" t="s">
        <v>128</v>
      </c>
      <c r="R429" s="12" t="s">
        <v>129</v>
      </c>
      <c r="S429" s="12" t="s">
        <v>130</v>
      </c>
      <c r="T429" s="12" t="s">
        <v>131</v>
      </c>
      <c r="U429" s="12" t="s">
        <v>132</v>
      </c>
      <c r="V429" s="12" t="s">
        <v>518</v>
      </c>
      <c r="W429" s="12" t="s">
        <v>519</v>
      </c>
      <c r="X429" s="12" t="s">
        <v>520</v>
      </c>
      <c r="Y429" s="12" t="s">
        <v>521</v>
      </c>
      <c r="Z429" s="12" t="s">
        <v>522</v>
      </c>
      <c r="AA429" s="12" t="s">
        <v>523</v>
      </c>
    </row>
    <row r="430" customFormat="false" ht="15" hidden="false" customHeight="true" outlineLevel="0" collapsed="false">
      <c r="A430" s="30" t="s">
        <v>123</v>
      </c>
      <c r="B430" s="76"/>
      <c r="C430" s="76"/>
      <c r="D430" s="76"/>
      <c r="E430" s="76"/>
      <c r="F430" s="76"/>
      <c r="G430" s="76"/>
      <c r="H430" s="76"/>
      <c r="I430" s="76"/>
      <c r="J430" s="76"/>
      <c r="K430" s="76"/>
      <c r="L430" s="74" t="n">
        <v>22</v>
      </c>
      <c r="M430" s="74" t="n">
        <v>11</v>
      </c>
      <c r="N430" s="74" t="n">
        <v>9</v>
      </c>
      <c r="O430" s="74" t="n">
        <v>9</v>
      </c>
      <c r="P430" s="74" t="n">
        <v>7</v>
      </c>
      <c r="Q430" s="74" t="n">
        <v>2</v>
      </c>
      <c r="R430" s="74" t="n">
        <v>3</v>
      </c>
      <c r="S430" s="74" t="n">
        <v>2</v>
      </c>
      <c r="T430" s="74" t="n">
        <v>1</v>
      </c>
      <c r="U430" s="74" t="n">
        <v>0</v>
      </c>
      <c r="V430" s="81" t="n">
        <v>0</v>
      </c>
      <c r="W430" s="81" t="n">
        <v>0</v>
      </c>
      <c r="X430" s="81" t="n">
        <v>0</v>
      </c>
      <c r="Y430" s="81" t="n">
        <v>0</v>
      </c>
      <c r="Z430" s="81" t="n">
        <v>0</v>
      </c>
      <c r="AA430" s="81" t="n">
        <v>0</v>
      </c>
    </row>
    <row r="431" customFormat="false" ht="15" hidden="false" customHeight="true" outlineLevel="0" collapsed="false">
      <c r="A431" s="30" t="s">
        <v>124</v>
      </c>
      <c r="B431" s="76"/>
      <c r="C431" s="76"/>
      <c r="D431" s="76"/>
      <c r="E431" s="76"/>
      <c r="F431" s="76"/>
      <c r="G431" s="76"/>
      <c r="H431" s="76"/>
      <c r="I431" s="76"/>
      <c r="J431" s="76"/>
      <c r="K431" s="76"/>
      <c r="L431" s="76"/>
      <c r="M431" s="74" t="n">
        <v>27</v>
      </c>
      <c r="N431" s="74" t="n">
        <v>16</v>
      </c>
      <c r="O431" s="74" t="n">
        <v>12</v>
      </c>
      <c r="P431" s="74" t="n">
        <v>12</v>
      </c>
      <c r="Q431" s="74" t="n">
        <v>12</v>
      </c>
      <c r="R431" s="74" t="n">
        <v>4</v>
      </c>
      <c r="S431" s="74" t="n">
        <v>3</v>
      </c>
      <c r="T431" s="74" t="n">
        <v>0</v>
      </c>
      <c r="U431" s="74" t="n">
        <v>1</v>
      </c>
      <c r="V431" s="81" t="n">
        <v>1</v>
      </c>
      <c r="W431" s="81" t="n">
        <v>1</v>
      </c>
      <c r="X431" s="81" t="n">
        <v>1</v>
      </c>
      <c r="Y431" s="81" t="n">
        <v>1</v>
      </c>
      <c r="Z431" s="81" t="n">
        <v>1</v>
      </c>
      <c r="AA431" s="81" t="n">
        <v>1</v>
      </c>
    </row>
    <row r="432" customFormat="false" ht="15" hidden="false" customHeight="true" outlineLevel="0" collapsed="false">
      <c r="A432" s="30" t="s">
        <v>125</v>
      </c>
      <c r="B432" s="76"/>
      <c r="C432" s="76"/>
      <c r="D432" s="76"/>
      <c r="E432" s="76"/>
      <c r="F432" s="76"/>
      <c r="G432" s="76"/>
      <c r="H432" s="76"/>
      <c r="I432" s="76"/>
      <c r="J432" s="76"/>
      <c r="K432" s="76"/>
      <c r="L432" s="76"/>
      <c r="M432" s="76"/>
      <c r="N432" s="74" t="n">
        <v>26</v>
      </c>
      <c r="O432" s="74" t="n">
        <v>17</v>
      </c>
      <c r="P432" s="74" t="n">
        <v>12</v>
      </c>
      <c r="Q432" s="74" t="n">
        <v>11</v>
      </c>
      <c r="R432" s="74" t="n">
        <v>11</v>
      </c>
      <c r="S432" s="74" t="n">
        <v>2</v>
      </c>
      <c r="T432" s="74" t="n">
        <v>1</v>
      </c>
      <c r="U432" s="74" t="n">
        <v>1</v>
      </c>
      <c r="V432" s="81" t="n">
        <v>1</v>
      </c>
      <c r="W432" s="81" t="n">
        <v>1</v>
      </c>
      <c r="X432" s="81" t="n">
        <v>1</v>
      </c>
      <c r="Y432" s="81" t="n">
        <v>1</v>
      </c>
      <c r="Z432" s="81" t="n">
        <v>1</v>
      </c>
      <c r="AA432" s="81" t="n">
        <v>1</v>
      </c>
    </row>
    <row r="433" customFormat="false" ht="15" hidden="false" customHeight="true" outlineLevel="0" collapsed="false">
      <c r="A433" s="30" t="s">
        <v>126</v>
      </c>
      <c r="B433" s="76"/>
      <c r="C433" s="76"/>
      <c r="D433" s="76"/>
      <c r="E433" s="76"/>
      <c r="F433" s="76"/>
      <c r="G433" s="76"/>
      <c r="H433" s="76"/>
      <c r="I433" s="76"/>
      <c r="J433" s="76"/>
      <c r="K433" s="76"/>
      <c r="L433" s="76"/>
      <c r="M433" s="76"/>
      <c r="N433" s="76"/>
      <c r="O433" s="74" t="n">
        <v>28</v>
      </c>
      <c r="P433" s="74" t="n">
        <v>24</v>
      </c>
      <c r="Q433" s="74" t="n">
        <v>19</v>
      </c>
      <c r="R433" s="74" t="n">
        <v>21</v>
      </c>
      <c r="S433" s="74" t="n">
        <v>18</v>
      </c>
      <c r="T433" s="74" t="n">
        <v>2</v>
      </c>
      <c r="U433" s="74" t="n">
        <v>0</v>
      </c>
      <c r="V433" s="81" t="n">
        <v>0</v>
      </c>
      <c r="W433" s="81" t="n">
        <v>0</v>
      </c>
      <c r="X433" s="81" t="n">
        <v>0</v>
      </c>
      <c r="Y433" s="81" t="n">
        <v>0</v>
      </c>
      <c r="Z433" s="81" t="n">
        <v>0</v>
      </c>
      <c r="AA433" s="81" t="n">
        <v>0</v>
      </c>
    </row>
    <row r="434" customFormat="false" ht="15" hidden="false" customHeight="true" outlineLevel="0" collapsed="false">
      <c r="A434" s="30" t="s">
        <v>127</v>
      </c>
      <c r="B434" s="76"/>
      <c r="C434" s="76"/>
      <c r="D434" s="76"/>
      <c r="E434" s="76"/>
      <c r="F434" s="76"/>
      <c r="G434" s="76"/>
      <c r="H434" s="76"/>
      <c r="I434" s="76"/>
      <c r="J434" s="76"/>
      <c r="K434" s="76"/>
      <c r="L434" s="76"/>
      <c r="M434" s="76"/>
      <c r="N434" s="76"/>
      <c r="O434" s="76"/>
      <c r="P434" s="74" t="n">
        <v>19</v>
      </c>
      <c r="Q434" s="74" t="n">
        <v>14</v>
      </c>
      <c r="R434" s="74" t="n">
        <v>13</v>
      </c>
      <c r="S434" s="74" t="n">
        <v>12</v>
      </c>
      <c r="T434" s="74" t="n">
        <v>9</v>
      </c>
      <c r="U434" s="74" t="n">
        <v>2</v>
      </c>
      <c r="V434" s="81" t="n">
        <v>2</v>
      </c>
      <c r="W434" s="81" t="n">
        <v>1</v>
      </c>
      <c r="X434" s="81" t="n">
        <v>1</v>
      </c>
      <c r="Y434" s="81" t="n">
        <v>1</v>
      </c>
      <c r="Z434" s="81" t="n">
        <v>1</v>
      </c>
      <c r="AA434" s="81" t="n">
        <v>1</v>
      </c>
    </row>
    <row r="435" customFormat="false" ht="15" hidden="false" customHeight="true" outlineLevel="0" collapsed="false">
      <c r="A435" s="30" t="s">
        <v>129</v>
      </c>
      <c r="B435" s="76"/>
      <c r="C435" s="76"/>
      <c r="D435" s="76"/>
      <c r="E435" s="76"/>
      <c r="F435" s="76"/>
      <c r="G435" s="76"/>
      <c r="H435" s="76"/>
      <c r="I435" s="76"/>
      <c r="J435" s="76"/>
      <c r="K435" s="76"/>
      <c r="L435" s="76"/>
      <c r="M435" s="76"/>
      <c r="N435" s="76"/>
      <c r="O435" s="76"/>
      <c r="P435" s="76"/>
      <c r="Q435" s="76"/>
      <c r="R435" s="74" t="n">
        <v>26</v>
      </c>
      <c r="S435" s="74" t="n">
        <v>22</v>
      </c>
      <c r="T435" s="74" t="n">
        <v>18</v>
      </c>
      <c r="U435" s="74" t="n">
        <v>19</v>
      </c>
      <c r="V435" s="81" t="n">
        <v>17</v>
      </c>
      <c r="W435" s="81" t="n">
        <v>5</v>
      </c>
      <c r="X435" s="81" t="n">
        <v>5</v>
      </c>
      <c r="Y435" s="81" t="n">
        <v>2</v>
      </c>
      <c r="Z435" s="81" t="n">
        <v>2</v>
      </c>
      <c r="AA435" s="81" t="n">
        <v>2</v>
      </c>
    </row>
    <row r="436" customFormat="false" ht="15" hidden="false" customHeight="true" outlineLevel="0" collapsed="false">
      <c r="A436" s="30" t="s">
        <v>130</v>
      </c>
      <c r="B436" s="76"/>
      <c r="C436" s="76"/>
      <c r="D436" s="76"/>
      <c r="E436" s="76"/>
      <c r="F436" s="76"/>
      <c r="G436" s="76"/>
      <c r="H436" s="76"/>
      <c r="I436" s="76"/>
      <c r="J436" s="76"/>
      <c r="K436" s="76"/>
      <c r="L436" s="76"/>
      <c r="M436" s="76"/>
      <c r="N436" s="76"/>
      <c r="O436" s="76"/>
      <c r="P436" s="76"/>
      <c r="Q436" s="76"/>
      <c r="R436" s="76"/>
      <c r="S436" s="74" t="n">
        <v>4</v>
      </c>
      <c r="T436" s="74" t="n">
        <v>3</v>
      </c>
      <c r="U436" s="74" t="n">
        <v>3</v>
      </c>
      <c r="V436" s="81" t="n">
        <v>3</v>
      </c>
      <c r="W436" s="81" t="n">
        <v>3</v>
      </c>
      <c r="X436" s="81" t="n">
        <v>1</v>
      </c>
      <c r="Y436" s="81" t="n">
        <v>1</v>
      </c>
      <c r="Z436" s="81" t="n">
        <v>0</v>
      </c>
      <c r="AA436" s="81" t="n">
        <v>0</v>
      </c>
    </row>
    <row r="437" customFormat="false" ht="15" hidden="false" customHeight="true" outlineLevel="0" collapsed="false">
      <c r="A437" s="30" t="s">
        <v>131</v>
      </c>
      <c r="B437" s="76"/>
      <c r="C437" s="76"/>
      <c r="D437" s="76"/>
      <c r="E437" s="76"/>
      <c r="F437" s="76"/>
      <c r="G437" s="76"/>
      <c r="H437" s="76"/>
      <c r="I437" s="76"/>
      <c r="J437" s="76"/>
      <c r="K437" s="76"/>
      <c r="L437" s="76"/>
      <c r="M437" s="76"/>
      <c r="N437" s="76"/>
      <c r="O437" s="76"/>
      <c r="P437" s="76"/>
      <c r="Q437" s="76"/>
      <c r="R437" s="76"/>
      <c r="S437" s="76"/>
      <c r="T437" s="74" t="n">
        <v>5</v>
      </c>
      <c r="U437" s="74" t="n">
        <v>5</v>
      </c>
      <c r="V437" s="81" t="n">
        <v>4</v>
      </c>
      <c r="W437" s="81" t="n">
        <v>4</v>
      </c>
      <c r="X437" s="81" t="n">
        <v>4</v>
      </c>
      <c r="Y437" s="81" t="n">
        <v>1</v>
      </c>
      <c r="Z437" s="81" t="n">
        <v>1</v>
      </c>
      <c r="AA437" s="81" t="n">
        <v>0</v>
      </c>
    </row>
    <row r="438" customFormat="false" ht="15" hidden="false" customHeight="true" outlineLevel="0" collapsed="false">
      <c r="A438" s="30" t="s">
        <v>132</v>
      </c>
      <c r="B438" s="76"/>
      <c r="C438" s="76"/>
      <c r="D438" s="76"/>
      <c r="E438" s="76"/>
      <c r="F438" s="76"/>
      <c r="G438" s="76"/>
      <c r="H438" s="76"/>
      <c r="I438" s="76"/>
      <c r="J438" s="76"/>
      <c r="K438" s="76"/>
      <c r="L438" s="76"/>
      <c r="M438" s="76"/>
      <c r="N438" s="76"/>
      <c r="O438" s="76"/>
      <c r="P438" s="76"/>
      <c r="Q438" s="76"/>
      <c r="R438" s="76"/>
      <c r="S438" s="76"/>
      <c r="T438" s="76"/>
      <c r="U438" s="74" t="n">
        <v>1</v>
      </c>
      <c r="V438" s="81" t="n">
        <v>1</v>
      </c>
      <c r="W438" s="81" t="n">
        <v>0</v>
      </c>
      <c r="X438" s="81" t="n">
        <v>0</v>
      </c>
      <c r="Y438" s="81" t="n">
        <v>0</v>
      </c>
      <c r="Z438" s="81" t="n">
        <v>0</v>
      </c>
      <c r="AA438" s="81" t="n">
        <v>0</v>
      </c>
    </row>
    <row r="439" customFormat="false" ht="15" hidden="false" customHeight="true" outlineLevel="0" collapsed="false">
      <c r="A439" s="82" t="s">
        <v>524</v>
      </c>
      <c r="B439" s="76"/>
      <c r="C439" s="76"/>
      <c r="D439" s="76"/>
      <c r="E439" s="76"/>
      <c r="F439" s="76"/>
      <c r="G439" s="76"/>
      <c r="H439" s="76"/>
      <c r="I439" s="76"/>
      <c r="J439" s="76"/>
      <c r="K439" s="76"/>
      <c r="L439" s="76"/>
      <c r="M439" s="76"/>
      <c r="N439" s="76"/>
      <c r="O439" s="76"/>
      <c r="P439" s="76"/>
      <c r="Q439" s="76"/>
      <c r="R439" s="76"/>
      <c r="S439" s="76"/>
      <c r="T439" s="76"/>
      <c r="U439" s="76"/>
      <c r="V439" s="81" t="n">
        <v>3</v>
      </c>
      <c r="W439" s="81" t="n">
        <v>2</v>
      </c>
      <c r="X439" s="81" t="n">
        <v>1</v>
      </c>
      <c r="Y439" s="81" t="n">
        <v>1</v>
      </c>
      <c r="Z439" s="81" t="n">
        <v>1</v>
      </c>
      <c r="AA439" s="81" t="n">
        <v>0</v>
      </c>
    </row>
    <row r="440" customFormat="false" ht="15" hidden="false" customHeight="true" outlineLevel="0" collapsed="false">
      <c r="A440" s="82" t="s">
        <v>525</v>
      </c>
      <c r="B440" s="76"/>
      <c r="C440" s="76"/>
      <c r="D440" s="76"/>
      <c r="E440" s="76"/>
      <c r="F440" s="76"/>
      <c r="G440" s="76"/>
      <c r="H440" s="76"/>
      <c r="I440" s="76"/>
      <c r="J440" s="76"/>
      <c r="K440" s="76"/>
      <c r="L440" s="76"/>
      <c r="M440" s="76"/>
      <c r="N440" s="76"/>
      <c r="O440" s="76"/>
      <c r="P440" s="76"/>
      <c r="Q440" s="76"/>
      <c r="R440" s="76"/>
      <c r="S440" s="76"/>
      <c r="T440" s="76"/>
      <c r="U440" s="76"/>
      <c r="V440" s="76"/>
      <c r="W440" s="81" t="n">
        <v>3</v>
      </c>
      <c r="X440" s="81" t="n">
        <v>2</v>
      </c>
      <c r="Y440" s="81" t="n">
        <v>1</v>
      </c>
      <c r="Z440" s="81" t="n">
        <v>1</v>
      </c>
      <c r="AA440" s="81" t="n">
        <v>1</v>
      </c>
    </row>
    <row r="441" customFormat="false" ht="15" hidden="false" customHeight="true" outlineLevel="0" collapsed="false">
      <c r="A441" s="82" t="s">
        <v>526</v>
      </c>
      <c r="B441" s="76"/>
      <c r="C441" s="76"/>
      <c r="D441" s="76"/>
      <c r="E441" s="76"/>
      <c r="F441" s="76"/>
      <c r="G441" s="76"/>
      <c r="H441" s="76"/>
      <c r="I441" s="76"/>
      <c r="J441" s="76"/>
      <c r="K441" s="76"/>
      <c r="L441" s="76"/>
      <c r="M441" s="76"/>
      <c r="N441" s="76"/>
      <c r="O441" s="76"/>
      <c r="P441" s="76"/>
      <c r="Q441" s="76"/>
      <c r="R441" s="76"/>
      <c r="S441" s="76"/>
      <c r="T441" s="76"/>
      <c r="U441" s="76"/>
      <c r="V441" s="76"/>
      <c r="W441" s="76"/>
      <c r="X441" s="81" t="n">
        <v>3</v>
      </c>
      <c r="Y441" s="81" t="n">
        <v>2</v>
      </c>
      <c r="Z441" s="81" t="n">
        <v>1</v>
      </c>
      <c r="AA441" s="81" t="n">
        <v>1</v>
      </c>
    </row>
    <row r="442" customFormat="false" ht="15" hidden="false" customHeight="true" outlineLevel="0" collapsed="false">
      <c r="A442" s="82" t="s">
        <v>527</v>
      </c>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81" t="n">
        <v>3</v>
      </c>
      <c r="Z442" s="81" t="n">
        <v>2</v>
      </c>
      <c r="AA442" s="81" t="n">
        <v>1</v>
      </c>
    </row>
    <row r="443" customFormat="false" ht="15" hidden="false" customHeight="true" outlineLevel="0" collapsed="false">
      <c r="A443" s="82" t="s">
        <v>528</v>
      </c>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81" t="n">
        <v>3</v>
      </c>
      <c r="AA443" s="81" t="n">
        <v>2</v>
      </c>
    </row>
    <row r="444" customFormat="false" ht="15" hidden="false" customHeight="true" outlineLevel="0" collapsed="false">
      <c r="A444" s="82" t="s">
        <v>529</v>
      </c>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81" t="n">
        <v>3</v>
      </c>
    </row>
    <row r="445" customFormat="false" ht="15" hidden="false" customHeight="true" outlineLevel="0" collapsed="false">
      <c r="A445" s="34" t="s">
        <v>514</v>
      </c>
      <c r="B445" s="79"/>
      <c r="C445" s="79"/>
      <c r="D445" s="79"/>
      <c r="E445" s="79"/>
      <c r="F445" s="79"/>
      <c r="G445" s="79"/>
      <c r="H445" s="79"/>
      <c r="I445" s="79"/>
      <c r="J445" s="79"/>
      <c r="K445" s="79"/>
      <c r="L445" s="79" t="n">
        <v>22</v>
      </c>
      <c r="M445" s="79" t="n">
        <v>38</v>
      </c>
      <c r="N445" s="79" t="n">
        <v>51</v>
      </c>
      <c r="O445" s="79" t="n">
        <v>66</v>
      </c>
      <c r="P445" s="79" t="n">
        <v>74</v>
      </c>
      <c r="Q445" s="79" t="n">
        <v>58</v>
      </c>
      <c r="R445" s="79" t="n">
        <v>78</v>
      </c>
      <c r="S445" s="79" t="n">
        <v>63</v>
      </c>
      <c r="T445" s="79" t="n">
        <v>39</v>
      </c>
      <c r="U445" s="79" t="n">
        <v>32</v>
      </c>
      <c r="V445" s="79" t="n">
        <v>32</v>
      </c>
      <c r="W445" s="79" t="n">
        <v>20</v>
      </c>
      <c r="X445" s="79" t="n">
        <v>19</v>
      </c>
      <c r="Y445" s="79" t="n">
        <v>14</v>
      </c>
      <c r="Z445" s="79" t="n">
        <v>14</v>
      </c>
      <c r="AA445" s="79" t="n">
        <v>14</v>
      </c>
    </row>
    <row r="447" customFormat="false" ht="19.5" hidden="false" customHeight="true" outlineLevel="0" collapsed="false">
      <c r="A447" s="65" t="s">
        <v>425</v>
      </c>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row>
    <row r="448" customFormat="false" ht="15" hidden="false" customHeight="true" outlineLevel="0" collapsed="false">
      <c r="A448" s="80" t="s">
        <v>542</v>
      </c>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c r="AA448" s="80"/>
    </row>
    <row r="449" customFormat="false" ht="15" hidden="false" customHeight="true" outlineLevel="0" collapsed="false">
      <c r="A449" s="12" t="s">
        <v>513</v>
      </c>
      <c r="B449" s="12" t="s">
        <v>113</v>
      </c>
      <c r="C449" s="12" t="s">
        <v>114</v>
      </c>
      <c r="D449" s="12" t="s">
        <v>115</v>
      </c>
      <c r="E449" s="12" t="s">
        <v>116</v>
      </c>
      <c r="F449" s="12" t="s">
        <v>117</v>
      </c>
      <c r="G449" s="12" t="s">
        <v>118</v>
      </c>
      <c r="H449" s="12" t="s">
        <v>119</v>
      </c>
      <c r="I449" s="12" t="s">
        <v>120</v>
      </c>
      <c r="J449" s="12" t="s">
        <v>121</v>
      </c>
      <c r="K449" s="12" t="s">
        <v>122</v>
      </c>
      <c r="L449" s="12" t="s">
        <v>123</v>
      </c>
      <c r="M449" s="12" t="s">
        <v>124</v>
      </c>
      <c r="N449" s="12" t="s">
        <v>125</v>
      </c>
      <c r="O449" s="12" t="s">
        <v>126</v>
      </c>
      <c r="P449" s="12" t="s">
        <v>127</v>
      </c>
      <c r="Q449" s="12" t="s">
        <v>128</v>
      </c>
      <c r="R449" s="12" t="s">
        <v>129</v>
      </c>
      <c r="S449" s="12" t="s">
        <v>130</v>
      </c>
      <c r="T449" s="12" t="s">
        <v>131</v>
      </c>
      <c r="U449" s="12" t="s">
        <v>132</v>
      </c>
      <c r="V449" s="12" t="s">
        <v>518</v>
      </c>
      <c r="W449" s="12" t="s">
        <v>519</v>
      </c>
      <c r="X449" s="12" t="s">
        <v>520</v>
      </c>
      <c r="Y449" s="12" t="s">
        <v>521</v>
      </c>
      <c r="Z449" s="12" t="s">
        <v>522</v>
      </c>
      <c r="AA449" s="12" t="s">
        <v>523</v>
      </c>
    </row>
    <row r="450" customFormat="false" ht="15" hidden="false" customHeight="true" outlineLevel="0" collapsed="false">
      <c r="A450" s="30" t="s">
        <v>120</v>
      </c>
      <c r="B450" s="76"/>
      <c r="C450" s="76"/>
      <c r="D450" s="76"/>
      <c r="E450" s="76"/>
      <c r="F450" s="76"/>
      <c r="G450" s="76"/>
      <c r="H450" s="76"/>
      <c r="I450" s="74" t="n">
        <v>17</v>
      </c>
      <c r="J450" s="74" t="n">
        <v>13</v>
      </c>
      <c r="K450" s="74" t="n">
        <v>11</v>
      </c>
      <c r="L450" s="74" t="n">
        <v>10</v>
      </c>
      <c r="M450" s="74" t="n">
        <v>4</v>
      </c>
      <c r="N450" s="74" t="n">
        <v>1</v>
      </c>
      <c r="O450" s="74" t="n">
        <v>1</v>
      </c>
      <c r="P450" s="74" t="n">
        <v>1</v>
      </c>
      <c r="Q450" s="74" t="n">
        <v>1</v>
      </c>
      <c r="R450" s="74" t="n">
        <v>0</v>
      </c>
      <c r="S450" s="74" t="n">
        <v>0</v>
      </c>
      <c r="T450" s="74" t="n">
        <v>0</v>
      </c>
      <c r="U450" s="74" t="n">
        <v>0</v>
      </c>
      <c r="V450" s="81" t="n">
        <v>0</v>
      </c>
      <c r="W450" s="81" t="n">
        <v>0</v>
      </c>
      <c r="X450" s="81" t="n">
        <v>0</v>
      </c>
      <c r="Y450" s="81" t="n">
        <v>0</v>
      </c>
      <c r="Z450" s="81" t="n">
        <v>0</v>
      </c>
      <c r="AA450" s="81" t="n">
        <v>0</v>
      </c>
    </row>
    <row r="451" customFormat="false" ht="15" hidden="false" customHeight="true" outlineLevel="0" collapsed="false">
      <c r="A451" s="30" t="s">
        <v>121</v>
      </c>
      <c r="B451" s="76"/>
      <c r="C451" s="76"/>
      <c r="D451" s="76"/>
      <c r="E451" s="76"/>
      <c r="F451" s="76"/>
      <c r="G451" s="76"/>
      <c r="H451" s="76"/>
      <c r="I451" s="76"/>
      <c r="J451" s="74" t="n">
        <v>18</v>
      </c>
      <c r="K451" s="74" t="n">
        <v>15</v>
      </c>
      <c r="L451" s="74" t="n">
        <v>13</v>
      </c>
      <c r="M451" s="74" t="n">
        <v>12</v>
      </c>
      <c r="N451" s="74" t="n">
        <v>5</v>
      </c>
      <c r="O451" s="74" t="n">
        <v>3</v>
      </c>
      <c r="P451" s="74" t="n">
        <v>1</v>
      </c>
      <c r="Q451" s="74" t="n">
        <v>1</v>
      </c>
      <c r="R451" s="74" t="n">
        <v>1</v>
      </c>
      <c r="S451" s="74" t="n">
        <v>1</v>
      </c>
      <c r="T451" s="74" t="n">
        <v>0</v>
      </c>
      <c r="U451" s="74" t="n">
        <v>0</v>
      </c>
      <c r="V451" s="81" t="n">
        <v>0</v>
      </c>
      <c r="W451" s="81" t="n">
        <v>0</v>
      </c>
      <c r="X451" s="81" t="n">
        <v>0</v>
      </c>
      <c r="Y451" s="81" t="n">
        <v>0</v>
      </c>
      <c r="Z451" s="81" t="n">
        <v>0</v>
      </c>
      <c r="AA451" s="81" t="n">
        <v>0</v>
      </c>
    </row>
    <row r="452" customFormat="false" ht="15" hidden="false" customHeight="true" outlineLevel="0" collapsed="false">
      <c r="A452" s="30" t="s">
        <v>122</v>
      </c>
      <c r="B452" s="76"/>
      <c r="C452" s="76"/>
      <c r="D452" s="76"/>
      <c r="E452" s="76"/>
      <c r="F452" s="76"/>
      <c r="G452" s="76"/>
      <c r="H452" s="76"/>
      <c r="I452" s="76"/>
      <c r="J452" s="76"/>
      <c r="K452" s="74" t="n">
        <v>1</v>
      </c>
      <c r="L452" s="74" t="n">
        <v>1</v>
      </c>
      <c r="M452" s="74" t="n">
        <v>1</v>
      </c>
      <c r="N452" s="74" t="n">
        <v>0</v>
      </c>
      <c r="O452" s="74" t="n">
        <v>0</v>
      </c>
      <c r="P452" s="74" t="n">
        <v>0</v>
      </c>
      <c r="Q452" s="74" t="n">
        <v>0</v>
      </c>
      <c r="R452" s="74" t="n">
        <v>0</v>
      </c>
      <c r="S452" s="74" t="n">
        <v>0</v>
      </c>
      <c r="T452" s="74" t="n">
        <v>0</v>
      </c>
      <c r="U452" s="74" t="n">
        <v>0</v>
      </c>
      <c r="V452" s="81" t="n">
        <v>0</v>
      </c>
      <c r="W452" s="81" t="n">
        <v>0</v>
      </c>
      <c r="X452" s="81" t="n">
        <v>0</v>
      </c>
      <c r="Y452" s="81" t="n">
        <v>0</v>
      </c>
      <c r="Z452" s="81" t="n">
        <v>0</v>
      </c>
      <c r="AA452" s="81" t="n">
        <v>0</v>
      </c>
    </row>
    <row r="453" customFormat="false" ht="15" hidden="false" customHeight="true" outlineLevel="0" collapsed="false">
      <c r="A453" s="30" t="s">
        <v>123</v>
      </c>
      <c r="B453" s="76"/>
      <c r="C453" s="76"/>
      <c r="D453" s="76"/>
      <c r="E453" s="76"/>
      <c r="F453" s="76"/>
      <c r="G453" s="76"/>
      <c r="H453" s="76"/>
      <c r="I453" s="76"/>
      <c r="J453" s="76"/>
      <c r="K453" s="76"/>
      <c r="L453" s="74" t="n">
        <v>25</v>
      </c>
      <c r="M453" s="74" t="n">
        <v>21</v>
      </c>
      <c r="N453" s="74" t="n">
        <v>15</v>
      </c>
      <c r="O453" s="74" t="n">
        <v>18</v>
      </c>
      <c r="P453" s="74" t="n">
        <v>3</v>
      </c>
      <c r="Q453" s="74" t="n">
        <v>1</v>
      </c>
      <c r="R453" s="74" t="n">
        <v>2</v>
      </c>
      <c r="S453" s="74" t="n">
        <v>3</v>
      </c>
      <c r="T453" s="74" t="n">
        <v>2</v>
      </c>
      <c r="U453" s="74" t="n">
        <v>0</v>
      </c>
      <c r="V453" s="81" t="n">
        <v>0</v>
      </c>
      <c r="W453" s="81" t="n">
        <v>0</v>
      </c>
      <c r="X453" s="81" t="n">
        <v>0</v>
      </c>
      <c r="Y453" s="81" t="n">
        <v>0</v>
      </c>
      <c r="Z453" s="81" t="n">
        <v>0</v>
      </c>
      <c r="AA453" s="81" t="n">
        <v>0</v>
      </c>
    </row>
    <row r="454" customFormat="false" ht="15" hidden="false" customHeight="true" outlineLevel="0" collapsed="false">
      <c r="A454" s="30" t="s">
        <v>124</v>
      </c>
      <c r="B454" s="76"/>
      <c r="C454" s="76"/>
      <c r="D454" s="76"/>
      <c r="E454" s="76"/>
      <c r="F454" s="76"/>
      <c r="G454" s="76"/>
      <c r="H454" s="76"/>
      <c r="I454" s="76"/>
      <c r="J454" s="76"/>
      <c r="K454" s="76"/>
      <c r="L454" s="76"/>
      <c r="M454" s="74" t="n">
        <v>16</v>
      </c>
      <c r="N454" s="74" t="n">
        <v>7</v>
      </c>
      <c r="O454" s="74" t="n">
        <v>7</v>
      </c>
      <c r="P454" s="74" t="n">
        <v>9</v>
      </c>
      <c r="Q454" s="74" t="n">
        <v>1</v>
      </c>
      <c r="R454" s="74" t="n">
        <v>1</v>
      </c>
      <c r="S454" s="74" t="n">
        <v>1</v>
      </c>
      <c r="T454" s="74" t="n">
        <v>0</v>
      </c>
      <c r="U454" s="74" t="n">
        <v>0</v>
      </c>
      <c r="V454" s="81" t="n">
        <v>0</v>
      </c>
      <c r="W454" s="81" t="n">
        <v>0</v>
      </c>
      <c r="X454" s="81" t="n">
        <v>0</v>
      </c>
      <c r="Y454" s="81" t="n">
        <v>0</v>
      </c>
      <c r="Z454" s="81" t="n">
        <v>0</v>
      </c>
      <c r="AA454" s="81" t="n">
        <v>0</v>
      </c>
    </row>
    <row r="455" customFormat="false" ht="15" hidden="false" customHeight="true" outlineLevel="0" collapsed="false">
      <c r="A455" s="30" t="s">
        <v>126</v>
      </c>
      <c r="B455" s="76"/>
      <c r="C455" s="76"/>
      <c r="D455" s="76"/>
      <c r="E455" s="76"/>
      <c r="F455" s="76"/>
      <c r="G455" s="76"/>
      <c r="H455" s="76"/>
      <c r="I455" s="76"/>
      <c r="J455" s="76"/>
      <c r="K455" s="76"/>
      <c r="L455" s="76"/>
      <c r="M455" s="76"/>
      <c r="N455" s="76"/>
      <c r="O455" s="74" t="n">
        <v>12</v>
      </c>
      <c r="P455" s="74" t="n">
        <v>10</v>
      </c>
      <c r="Q455" s="74" t="n">
        <v>7</v>
      </c>
      <c r="R455" s="74" t="n">
        <v>9</v>
      </c>
      <c r="S455" s="74" t="n">
        <v>4</v>
      </c>
      <c r="T455" s="74" t="n">
        <v>4</v>
      </c>
      <c r="U455" s="74" t="n">
        <v>2</v>
      </c>
      <c r="V455" s="81" t="n">
        <v>2</v>
      </c>
      <c r="W455" s="81" t="n">
        <v>2</v>
      </c>
      <c r="X455" s="81" t="n">
        <v>0</v>
      </c>
      <c r="Y455" s="81" t="n">
        <v>0</v>
      </c>
      <c r="Z455" s="81" t="n">
        <v>0</v>
      </c>
      <c r="AA455" s="81" t="n">
        <v>0</v>
      </c>
    </row>
    <row r="456" customFormat="false" ht="15" hidden="false" customHeight="true" outlineLevel="0" collapsed="false">
      <c r="A456" s="30" t="s">
        <v>127</v>
      </c>
      <c r="B456" s="76"/>
      <c r="C456" s="76"/>
      <c r="D456" s="76"/>
      <c r="E456" s="76"/>
      <c r="F456" s="76"/>
      <c r="G456" s="76"/>
      <c r="H456" s="76"/>
      <c r="I456" s="76"/>
      <c r="J456" s="76"/>
      <c r="K456" s="76"/>
      <c r="L456" s="76"/>
      <c r="M456" s="76"/>
      <c r="N456" s="76"/>
      <c r="O456" s="76"/>
      <c r="P456" s="74" t="n">
        <v>12</v>
      </c>
      <c r="Q456" s="74" t="n">
        <v>11</v>
      </c>
      <c r="R456" s="74" t="n">
        <v>11</v>
      </c>
      <c r="S456" s="74" t="n">
        <v>11</v>
      </c>
      <c r="T456" s="74" t="n">
        <v>1</v>
      </c>
      <c r="U456" s="74" t="n">
        <v>1</v>
      </c>
      <c r="V456" s="81" t="n">
        <v>1</v>
      </c>
      <c r="W456" s="81" t="n">
        <v>1</v>
      </c>
      <c r="X456" s="81" t="n">
        <v>1</v>
      </c>
      <c r="Y456" s="81" t="n">
        <v>0</v>
      </c>
      <c r="Z456" s="81" t="n">
        <v>0</v>
      </c>
      <c r="AA456" s="81" t="n">
        <v>0</v>
      </c>
    </row>
    <row r="457" customFormat="false" ht="15" hidden="false" customHeight="true" outlineLevel="0" collapsed="false">
      <c r="A457" s="30" t="s">
        <v>129</v>
      </c>
      <c r="B457" s="76"/>
      <c r="C457" s="76"/>
      <c r="D457" s="76"/>
      <c r="E457" s="76"/>
      <c r="F457" s="76"/>
      <c r="G457" s="76"/>
      <c r="H457" s="76"/>
      <c r="I457" s="76"/>
      <c r="J457" s="76"/>
      <c r="K457" s="76"/>
      <c r="L457" s="76"/>
      <c r="M457" s="76"/>
      <c r="N457" s="76"/>
      <c r="O457" s="76"/>
      <c r="P457" s="76"/>
      <c r="Q457" s="76"/>
      <c r="R457" s="74" t="n">
        <v>27</v>
      </c>
      <c r="S457" s="74" t="n">
        <v>25</v>
      </c>
      <c r="T457" s="74" t="n">
        <v>22</v>
      </c>
      <c r="U457" s="74" t="n">
        <v>24</v>
      </c>
      <c r="V457" s="81" t="n">
        <v>6</v>
      </c>
      <c r="W457" s="81" t="n">
        <v>3</v>
      </c>
      <c r="X457" s="81" t="n">
        <v>2</v>
      </c>
      <c r="Y457" s="81" t="n">
        <v>2</v>
      </c>
      <c r="Z457" s="81" t="n">
        <v>2</v>
      </c>
      <c r="AA457" s="81" t="n">
        <v>0</v>
      </c>
    </row>
    <row r="458" customFormat="false" ht="15" hidden="false" customHeight="true" outlineLevel="0" collapsed="false">
      <c r="A458" s="30" t="s">
        <v>130</v>
      </c>
      <c r="B458" s="76"/>
      <c r="C458" s="76"/>
      <c r="D458" s="76"/>
      <c r="E458" s="76"/>
      <c r="F458" s="76"/>
      <c r="G458" s="76"/>
      <c r="H458" s="76"/>
      <c r="I458" s="76"/>
      <c r="J458" s="76"/>
      <c r="K458" s="76"/>
      <c r="L458" s="76"/>
      <c r="M458" s="76"/>
      <c r="N458" s="76"/>
      <c r="O458" s="76"/>
      <c r="P458" s="76"/>
      <c r="Q458" s="76"/>
      <c r="R458" s="76"/>
      <c r="S458" s="74" t="n">
        <v>13</v>
      </c>
      <c r="T458" s="74" t="n">
        <v>12</v>
      </c>
      <c r="U458" s="74" t="n">
        <v>12</v>
      </c>
      <c r="V458" s="81" t="n">
        <v>13</v>
      </c>
      <c r="W458" s="81" t="n">
        <v>3</v>
      </c>
      <c r="X458" s="81" t="n">
        <v>2</v>
      </c>
      <c r="Y458" s="81" t="n">
        <v>1</v>
      </c>
      <c r="Z458" s="81" t="n">
        <v>1</v>
      </c>
      <c r="AA458" s="81" t="n">
        <v>1</v>
      </c>
    </row>
    <row r="459" customFormat="false" ht="15" hidden="false" customHeight="true" outlineLevel="0" collapsed="false">
      <c r="A459" s="30" t="s">
        <v>132</v>
      </c>
      <c r="B459" s="76"/>
      <c r="C459" s="76"/>
      <c r="D459" s="76"/>
      <c r="E459" s="76"/>
      <c r="F459" s="76"/>
      <c r="G459" s="76"/>
      <c r="H459" s="76"/>
      <c r="I459" s="76"/>
      <c r="J459" s="76"/>
      <c r="K459" s="76"/>
      <c r="L459" s="76"/>
      <c r="M459" s="76"/>
      <c r="N459" s="76"/>
      <c r="O459" s="76"/>
      <c r="P459" s="76"/>
      <c r="Q459" s="76"/>
      <c r="R459" s="76"/>
      <c r="S459" s="76"/>
      <c r="T459" s="76"/>
      <c r="U459" s="74" t="n">
        <v>12</v>
      </c>
      <c r="V459" s="81" t="n">
        <v>9</v>
      </c>
      <c r="W459" s="81" t="n">
        <v>7</v>
      </c>
      <c r="X459" s="81" t="n">
        <v>8</v>
      </c>
      <c r="Y459" s="81" t="n">
        <v>2</v>
      </c>
      <c r="Z459" s="81" t="n">
        <v>1</v>
      </c>
      <c r="AA459" s="81" t="n">
        <v>1</v>
      </c>
    </row>
    <row r="460" customFormat="false" ht="15" hidden="false" customHeight="true" outlineLevel="0" collapsed="false">
      <c r="A460" s="82" t="s">
        <v>524</v>
      </c>
      <c r="B460" s="76"/>
      <c r="C460" s="76"/>
      <c r="D460" s="76"/>
      <c r="E460" s="76"/>
      <c r="F460" s="76"/>
      <c r="G460" s="76"/>
      <c r="H460" s="76"/>
      <c r="I460" s="76"/>
      <c r="J460" s="76"/>
      <c r="K460" s="76"/>
      <c r="L460" s="76"/>
      <c r="M460" s="76"/>
      <c r="N460" s="76"/>
      <c r="O460" s="76"/>
      <c r="P460" s="76"/>
      <c r="Q460" s="76"/>
      <c r="R460" s="76"/>
      <c r="S460" s="76"/>
      <c r="T460" s="76"/>
      <c r="U460" s="76"/>
      <c r="V460" s="81" t="n">
        <v>17</v>
      </c>
      <c r="W460" s="81" t="n">
        <v>13</v>
      </c>
      <c r="X460" s="81" t="n">
        <v>10</v>
      </c>
      <c r="Y460" s="81" t="n">
        <v>11</v>
      </c>
      <c r="Z460" s="81" t="n">
        <v>3</v>
      </c>
      <c r="AA460" s="81" t="n">
        <v>1</v>
      </c>
    </row>
    <row r="461" customFormat="false" ht="15" hidden="false" customHeight="true" outlineLevel="0" collapsed="false">
      <c r="A461" s="82" t="s">
        <v>525</v>
      </c>
      <c r="B461" s="76"/>
      <c r="C461" s="76"/>
      <c r="D461" s="76"/>
      <c r="E461" s="76"/>
      <c r="F461" s="76"/>
      <c r="G461" s="76"/>
      <c r="H461" s="76"/>
      <c r="I461" s="76"/>
      <c r="J461" s="76"/>
      <c r="K461" s="76"/>
      <c r="L461" s="76"/>
      <c r="M461" s="76"/>
      <c r="N461" s="76"/>
      <c r="O461" s="76"/>
      <c r="P461" s="76"/>
      <c r="Q461" s="76"/>
      <c r="R461" s="76"/>
      <c r="S461" s="76"/>
      <c r="T461" s="76"/>
      <c r="U461" s="76"/>
      <c r="V461" s="76"/>
      <c r="W461" s="81" t="n">
        <v>17</v>
      </c>
      <c r="X461" s="81" t="n">
        <v>13</v>
      </c>
      <c r="Y461" s="81" t="n">
        <v>10</v>
      </c>
      <c r="Z461" s="81" t="n">
        <v>11</v>
      </c>
      <c r="AA461" s="81" t="n">
        <v>3</v>
      </c>
    </row>
    <row r="462" customFormat="false" ht="15" hidden="false" customHeight="true" outlineLevel="0" collapsed="false">
      <c r="A462" s="82" t="s">
        <v>526</v>
      </c>
      <c r="B462" s="76"/>
      <c r="C462" s="76"/>
      <c r="D462" s="76"/>
      <c r="E462" s="76"/>
      <c r="F462" s="76"/>
      <c r="G462" s="76"/>
      <c r="H462" s="76"/>
      <c r="I462" s="76"/>
      <c r="J462" s="76"/>
      <c r="K462" s="76"/>
      <c r="L462" s="76"/>
      <c r="M462" s="76"/>
      <c r="N462" s="76"/>
      <c r="O462" s="76"/>
      <c r="P462" s="76"/>
      <c r="Q462" s="76"/>
      <c r="R462" s="76"/>
      <c r="S462" s="76"/>
      <c r="T462" s="76"/>
      <c r="U462" s="76"/>
      <c r="V462" s="76"/>
      <c r="W462" s="76"/>
      <c r="X462" s="81" t="n">
        <v>17</v>
      </c>
      <c r="Y462" s="81" t="n">
        <v>13</v>
      </c>
      <c r="Z462" s="81" t="n">
        <v>10</v>
      </c>
      <c r="AA462" s="81" t="n">
        <v>11</v>
      </c>
    </row>
    <row r="463" customFormat="false" ht="15" hidden="false" customHeight="true" outlineLevel="0" collapsed="false">
      <c r="A463" s="82" t="s">
        <v>527</v>
      </c>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81" t="n">
        <v>17</v>
      </c>
      <c r="Z463" s="81" t="n">
        <v>13</v>
      </c>
      <c r="AA463" s="81" t="n">
        <v>10</v>
      </c>
    </row>
    <row r="464" customFormat="false" ht="15" hidden="false" customHeight="true" outlineLevel="0" collapsed="false">
      <c r="A464" s="82" t="s">
        <v>528</v>
      </c>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81" t="n">
        <v>17</v>
      </c>
      <c r="AA464" s="81" t="n">
        <v>13</v>
      </c>
    </row>
    <row r="465" customFormat="false" ht="15" hidden="false" customHeight="true" outlineLevel="0" collapsed="false">
      <c r="A465" s="82" t="s">
        <v>529</v>
      </c>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81" t="n">
        <v>17</v>
      </c>
    </row>
    <row r="466" customFormat="false" ht="15" hidden="false" customHeight="true" outlineLevel="0" collapsed="false">
      <c r="A466" s="34" t="s">
        <v>514</v>
      </c>
      <c r="B466" s="79"/>
      <c r="C466" s="79"/>
      <c r="D466" s="79"/>
      <c r="E466" s="79"/>
      <c r="F466" s="79"/>
      <c r="G466" s="79"/>
      <c r="H466" s="79"/>
      <c r="I466" s="79" t="n">
        <v>17</v>
      </c>
      <c r="J466" s="79" t="n">
        <v>31</v>
      </c>
      <c r="K466" s="79" t="n">
        <v>27</v>
      </c>
      <c r="L466" s="79" t="n">
        <v>49</v>
      </c>
      <c r="M466" s="79" t="n">
        <v>54</v>
      </c>
      <c r="N466" s="79" t="n">
        <v>28</v>
      </c>
      <c r="O466" s="79" t="n">
        <v>41</v>
      </c>
      <c r="P466" s="79" t="n">
        <v>36</v>
      </c>
      <c r="Q466" s="79" t="n">
        <v>22</v>
      </c>
      <c r="R466" s="79" t="n">
        <v>51</v>
      </c>
      <c r="S466" s="79" t="n">
        <v>58</v>
      </c>
      <c r="T466" s="79" t="n">
        <v>41</v>
      </c>
      <c r="U466" s="79" t="n">
        <v>51</v>
      </c>
      <c r="V466" s="79" t="n">
        <v>48</v>
      </c>
      <c r="W466" s="79" t="n">
        <v>46</v>
      </c>
      <c r="X466" s="79" t="n">
        <v>53</v>
      </c>
      <c r="Y466" s="79" t="n">
        <v>57</v>
      </c>
      <c r="Z466" s="79" t="n">
        <v>58</v>
      </c>
      <c r="AA466" s="79" t="n">
        <v>57</v>
      </c>
    </row>
    <row r="468" customFormat="false" ht="19.5" hidden="false" customHeight="true" outlineLevel="0" collapsed="false">
      <c r="A468" s="65" t="s">
        <v>426</v>
      </c>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row>
    <row r="469" customFormat="false" ht="15" hidden="false" customHeight="true" outlineLevel="0" collapsed="false">
      <c r="A469" s="80" t="s">
        <v>539</v>
      </c>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c r="AA469" s="80"/>
    </row>
    <row r="470" customFormat="false" ht="15" hidden="false" customHeight="true" outlineLevel="0" collapsed="false">
      <c r="A470" s="12" t="s">
        <v>513</v>
      </c>
      <c r="B470" s="12" t="s">
        <v>113</v>
      </c>
      <c r="C470" s="12" t="s">
        <v>114</v>
      </c>
      <c r="D470" s="12" t="s">
        <v>115</v>
      </c>
      <c r="E470" s="12" t="s">
        <v>116</v>
      </c>
      <c r="F470" s="12" t="s">
        <v>117</v>
      </c>
      <c r="G470" s="12" t="s">
        <v>118</v>
      </c>
      <c r="H470" s="12" t="s">
        <v>119</v>
      </c>
      <c r="I470" s="12" t="s">
        <v>120</v>
      </c>
      <c r="J470" s="12" t="s">
        <v>121</v>
      </c>
      <c r="K470" s="12" t="s">
        <v>122</v>
      </c>
      <c r="L470" s="12" t="s">
        <v>123</v>
      </c>
      <c r="M470" s="12" t="s">
        <v>124</v>
      </c>
      <c r="N470" s="12" t="s">
        <v>125</v>
      </c>
      <c r="O470" s="12" t="s">
        <v>126</v>
      </c>
      <c r="P470" s="12" t="s">
        <v>127</v>
      </c>
      <c r="Q470" s="12" t="s">
        <v>128</v>
      </c>
      <c r="R470" s="12" t="s">
        <v>129</v>
      </c>
      <c r="S470" s="12" t="s">
        <v>130</v>
      </c>
      <c r="T470" s="12" t="s">
        <v>131</v>
      </c>
      <c r="U470" s="12" t="s">
        <v>132</v>
      </c>
      <c r="V470" s="12" t="s">
        <v>518</v>
      </c>
      <c r="W470" s="12" t="s">
        <v>519</v>
      </c>
      <c r="X470" s="12" t="s">
        <v>520</v>
      </c>
      <c r="Y470" s="12" t="s">
        <v>521</v>
      </c>
      <c r="Z470" s="12" t="s">
        <v>522</v>
      </c>
      <c r="AA470" s="12" t="s">
        <v>523</v>
      </c>
    </row>
    <row r="471" customFormat="false" ht="15" hidden="false" customHeight="true" outlineLevel="0" collapsed="false">
      <c r="A471" s="30" t="s">
        <v>114</v>
      </c>
      <c r="B471" s="76"/>
      <c r="C471" s="74" t="n">
        <v>28</v>
      </c>
      <c r="D471" s="74" t="n">
        <v>27</v>
      </c>
      <c r="E471" s="74" t="n">
        <v>26</v>
      </c>
      <c r="F471" s="74" t="n">
        <v>25</v>
      </c>
      <c r="G471" s="74" t="n">
        <v>24</v>
      </c>
      <c r="H471" s="74" t="n">
        <v>2</v>
      </c>
      <c r="I471" s="74" t="n">
        <v>4</v>
      </c>
      <c r="J471" s="74" t="n">
        <v>6</v>
      </c>
      <c r="K471" s="74" t="n">
        <v>1</v>
      </c>
      <c r="L471" s="74" t="n">
        <v>0</v>
      </c>
      <c r="M471" s="74" t="n">
        <v>1</v>
      </c>
      <c r="N471" s="74" t="n">
        <v>0</v>
      </c>
      <c r="O471" s="74" t="n">
        <v>0</v>
      </c>
      <c r="P471" s="74" t="n">
        <v>0</v>
      </c>
      <c r="Q471" s="74" t="n">
        <v>0</v>
      </c>
      <c r="R471" s="74" t="n">
        <v>0</v>
      </c>
      <c r="S471" s="74" t="n">
        <v>0</v>
      </c>
      <c r="T471" s="74" t="n">
        <v>0</v>
      </c>
      <c r="U471" s="74" t="n">
        <v>0</v>
      </c>
      <c r="V471" s="81" t="n">
        <v>0</v>
      </c>
      <c r="W471" s="81" t="n">
        <v>0</v>
      </c>
      <c r="X471" s="81" t="n">
        <v>0</v>
      </c>
      <c r="Y471" s="81" t="n">
        <v>0</v>
      </c>
      <c r="Z471" s="81" t="n">
        <v>0</v>
      </c>
      <c r="AA471" s="81" t="n">
        <v>0</v>
      </c>
    </row>
    <row r="472" customFormat="false" ht="15" hidden="false" customHeight="true" outlineLevel="0" collapsed="false">
      <c r="A472" s="30" t="s">
        <v>115</v>
      </c>
      <c r="B472" s="76"/>
      <c r="C472" s="76"/>
      <c r="D472" s="74" t="n">
        <v>15</v>
      </c>
      <c r="E472" s="74" t="n">
        <v>11</v>
      </c>
      <c r="F472" s="74" t="n">
        <v>12</v>
      </c>
      <c r="G472" s="74" t="n">
        <v>9</v>
      </c>
      <c r="H472" s="74" t="n">
        <v>2</v>
      </c>
      <c r="I472" s="74" t="n">
        <v>10</v>
      </c>
      <c r="J472" s="74" t="n">
        <v>2</v>
      </c>
      <c r="K472" s="74" t="n">
        <v>1</v>
      </c>
      <c r="L472" s="74" t="n">
        <v>1</v>
      </c>
      <c r="M472" s="74" t="n">
        <v>2</v>
      </c>
      <c r="N472" s="74" t="n">
        <v>0</v>
      </c>
      <c r="O472" s="74" t="n">
        <v>2</v>
      </c>
      <c r="P472" s="74" t="n">
        <v>1</v>
      </c>
      <c r="Q472" s="74" t="n">
        <v>0</v>
      </c>
      <c r="R472" s="74" t="n">
        <v>1</v>
      </c>
      <c r="S472" s="74" t="n">
        <v>1</v>
      </c>
      <c r="T472" s="74" t="n">
        <v>0</v>
      </c>
      <c r="U472" s="74" t="n">
        <v>0</v>
      </c>
      <c r="V472" s="81" t="n">
        <v>0</v>
      </c>
      <c r="W472" s="81" t="n">
        <v>0</v>
      </c>
      <c r="X472" s="81" t="n">
        <v>0</v>
      </c>
      <c r="Y472" s="81" t="n">
        <v>0</v>
      </c>
      <c r="Z472" s="81" t="n">
        <v>0</v>
      </c>
      <c r="AA472" s="81" t="n">
        <v>0</v>
      </c>
    </row>
    <row r="473" customFormat="false" ht="15" hidden="false" customHeight="true" outlineLevel="0" collapsed="false">
      <c r="A473" s="30" t="s">
        <v>117</v>
      </c>
      <c r="B473" s="76"/>
      <c r="C473" s="76"/>
      <c r="D473" s="76"/>
      <c r="E473" s="76"/>
      <c r="F473" s="74" t="n">
        <v>21</v>
      </c>
      <c r="G473" s="74" t="n">
        <v>19</v>
      </c>
      <c r="H473" s="74" t="n">
        <v>18</v>
      </c>
      <c r="I473" s="74" t="n">
        <v>18</v>
      </c>
      <c r="J473" s="74" t="n">
        <v>18</v>
      </c>
      <c r="K473" s="74" t="n">
        <v>1</v>
      </c>
      <c r="L473" s="74" t="n">
        <v>2</v>
      </c>
      <c r="M473" s="74" t="n">
        <v>3</v>
      </c>
      <c r="N473" s="74" t="n">
        <v>1</v>
      </c>
      <c r="O473" s="74" t="n">
        <v>1</v>
      </c>
      <c r="P473" s="74" t="n">
        <v>1</v>
      </c>
      <c r="Q473" s="74" t="n">
        <v>0</v>
      </c>
      <c r="R473" s="74" t="n">
        <v>0</v>
      </c>
      <c r="S473" s="74" t="n">
        <v>0</v>
      </c>
      <c r="T473" s="74" t="n">
        <v>0</v>
      </c>
      <c r="U473" s="74" t="n">
        <v>0</v>
      </c>
      <c r="V473" s="81" t="n">
        <v>0</v>
      </c>
      <c r="W473" s="81" t="n">
        <v>0</v>
      </c>
      <c r="X473" s="81" t="n">
        <v>0</v>
      </c>
      <c r="Y473" s="81" t="n">
        <v>0</v>
      </c>
      <c r="Z473" s="81" t="n">
        <v>0</v>
      </c>
      <c r="AA473" s="81" t="n">
        <v>0</v>
      </c>
    </row>
    <row r="474" customFormat="false" ht="15" hidden="false" customHeight="true" outlineLevel="0" collapsed="false">
      <c r="A474" s="30" t="s">
        <v>118</v>
      </c>
      <c r="B474" s="76"/>
      <c r="C474" s="76"/>
      <c r="D474" s="76"/>
      <c r="E474" s="76"/>
      <c r="F474" s="76"/>
      <c r="G474" s="74" t="n">
        <v>15</v>
      </c>
      <c r="H474" s="74" t="n">
        <v>12</v>
      </c>
      <c r="I474" s="74" t="n">
        <v>13</v>
      </c>
      <c r="J474" s="74" t="n">
        <v>11</v>
      </c>
      <c r="K474" s="74" t="n">
        <v>3</v>
      </c>
      <c r="L474" s="74" t="n">
        <v>11</v>
      </c>
      <c r="M474" s="74" t="n">
        <v>3</v>
      </c>
      <c r="N474" s="74" t="n">
        <v>2</v>
      </c>
      <c r="O474" s="74" t="n">
        <v>3</v>
      </c>
      <c r="P474" s="74" t="n">
        <v>0</v>
      </c>
      <c r="Q474" s="74" t="n">
        <v>1</v>
      </c>
      <c r="R474" s="74" t="n">
        <v>0</v>
      </c>
      <c r="S474" s="74" t="n">
        <v>0</v>
      </c>
      <c r="T474" s="74" t="n">
        <v>0</v>
      </c>
      <c r="U474" s="74" t="n">
        <v>0</v>
      </c>
      <c r="V474" s="81" t="n">
        <v>0</v>
      </c>
      <c r="W474" s="81" t="n">
        <v>0</v>
      </c>
      <c r="X474" s="81" t="n">
        <v>0</v>
      </c>
      <c r="Y474" s="81" t="n">
        <v>0</v>
      </c>
      <c r="Z474" s="81" t="n">
        <v>0</v>
      </c>
      <c r="AA474" s="81" t="n">
        <v>0</v>
      </c>
    </row>
    <row r="475" customFormat="false" ht="15" hidden="false" customHeight="true" outlineLevel="0" collapsed="false">
      <c r="A475" s="30" t="s">
        <v>120</v>
      </c>
      <c r="B475" s="76"/>
      <c r="C475" s="76"/>
      <c r="D475" s="76"/>
      <c r="E475" s="76"/>
      <c r="F475" s="76"/>
      <c r="G475" s="76"/>
      <c r="H475" s="76"/>
      <c r="I475" s="74" t="n">
        <v>17</v>
      </c>
      <c r="J475" s="74" t="n">
        <v>15</v>
      </c>
      <c r="K475" s="74" t="n">
        <v>13</v>
      </c>
      <c r="L475" s="74" t="n">
        <v>12</v>
      </c>
      <c r="M475" s="74" t="n">
        <v>12</v>
      </c>
      <c r="N475" s="74" t="n">
        <v>1</v>
      </c>
      <c r="O475" s="74" t="n">
        <v>3</v>
      </c>
      <c r="P475" s="74" t="n">
        <v>2</v>
      </c>
      <c r="Q475" s="74" t="n">
        <v>0</v>
      </c>
      <c r="R475" s="74" t="n">
        <v>1</v>
      </c>
      <c r="S475" s="74" t="n">
        <v>1</v>
      </c>
      <c r="T475" s="74" t="n">
        <v>0</v>
      </c>
      <c r="U475" s="74" t="n">
        <v>0</v>
      </c>
      <c r="V475" s="81" t="n">
        <v>0</v>
      </c>
      <c r="W475" s="81" t="n">
        <v>0</v>
      </c>
      <c r="X475" s="81" t="n">
        <v>0</v>
      </c>
      <c r="Y475" s="81" t="n">
        <v>0</v>
      </c>
      <c r="Z475" s="81" t="n">
        <v>0</v>
      </c>
      <c r="AA475" s="81" t="n">
        <v>0</v>
      </c>
    </row>
    <row r="476" customFormat="false" ht="15" hidden="false" customHeight="true" outlineLevel="0" collapsed="false">
      <c r="A476" s="30" t="s">
        <v>121</v>
      </c>
      <c r="B476" s="76"/>
      <c r="C476" s="76"/>
      <c r="D476" s="76"/>
      <c r="E476" s="76"/>
      <c r="F476" s="76"/>
      <c r="G476" s="76"/>
      <c r="H476" s="76"/>
      <c r="I476" s="76"/>
      <c r="J476" s="74" t="n">
        <v>12</v>
      </c>
      <c r="K476" s="74" t="n">
        <v>9</v>
      </c>
      <c r="L476" s="74" t="n">
        <v>11</v>
      </c>
      <c r="M476" s="74" t="n">
        <v>10</v>
      </c>
      <c r="N476" s="74" t="n">
        <v>2</v>
      </c>
      <c r="O476" s="74" t="n">
        <v>9</v>
      </c>
      <c r="P476" s="74" t="n">
        <v>0</v>
      </c>
      <c r="Q476" s="74" t="n">
        <v>0</v>
      </c>
      <c r="R476" s="74" t="n">
        <v>0</v>
      </c>
      <c r="S476" s="74" t="n">
        <v>0</v>
      </c>
      <c r="T476" s="74" t="n">
        <v>0</v>
      </c>
      <c r="U476" s="74" t="n">
        <v>0</v>
      </c>
      <c r="V476" s="81" t="n">
        <v>0</v>
      </c>
      <c r="W476" s="81" t="n">
        <v>0</v>
      </c>
      <c r="X476" s="81" t="n">
        <v>0</v>
      </c>
      <c r="Y476" s="81" t="n">
        <v>0</v>
      </c>
      <c r="Z476" s="81" t="n">
        <v>0</v>
      </c>
      <c r="AA476" s="81" t="n">
        <v>0</v>
      </c>
    </row>
    <row r="477" customFormat="false" ht="15" hidden="false" customHeight="true" outlineLevel="0" collapsed="false">
      <c r="A477" s="30" t="s">
        <v>122</v>
      </c>
      <c r="B477" s="76"/>
      <c r="C477" s="76"/>
      <c r="D477" s="76"/>
      <c r="E477" s="76"/>
      <c r="F477" s="76"/>
      <c r="G477" s="76"/>
      <c r="H477" s="76"/>
      <c r="I477" s="76"/>
      <c r="J477" s="76"/>
      <c r="K477" s="74" t="n">
        <v>1</v>
      </c>
      <c r="L477" s="74" t="n">
        <v>1</v>
      </c>
      <c r="M477" s="74" t="n">
        <v>1</v>
      </c>
      <c r="N477" s="74" t="n">
        <v>0</v>
      </c>
      <c r="O477" s="74" t="n">
        <v>0</v>
      </c>
      <c r="P477" s="74" t="n">
        <v>0</v>
      </c>
      <c r="Q477" s="74" t="n">
        <v>0</v>
      </c>
      <c r="R477" s="74" t="n">
        <v>0</v>
      </c>
      <c r="S477" s="74" t="n">
        <v>0</v>
      </c>
      <c r="T477" s="74" t="n">
        <v>0</v>
      </c>
      <c r="U477" s="74" t="n">
        <v>0</v>
      </c>
      <c r="V477" s="81" t="n">
        <v>0</v>
      </c>
      <c r="W477" s="81" t="n">
        <v>0</v>
      </c>
      <c r="X477" s="81" t="n">
        <v>0</v>
      </c>
      <c r="Y477" s="81" t="n">
        <v>0</v>
      </c>
      <c r="Z477" s="81" t="n">
        <v>0</v>
      </c>
      <c r="AA477" s="81" t="n">
        <v>0</v>
      </c>
    </row>
    <row r="478" customFormat="false" ht="15" hidden="false" customHeight="true" outlineLevel="0" collapsed="false">
      <c r="A478" s="30" t="s">
        <v>123</v>
      </c>
      <c r="B478" s="76"/>
      <c r="C478" s="76"/>
      <c r="D478" s="76"/>
      <c r="E478" s="76"/>
      <c r="F478" s="76"/>
      <c r="G478" s="76"/>
      <c r="H478" s="76"/>
      <c r="I478" s="76"/>
      <c r="J478" s="76"/>
      <c r="K478" s="76"/>
      <c r="L478" s="74" t="n">
        <v>26</v>
      </c>
      <c r="M478" s="74" t="n">
        <v>19</v>
      </c>
      <c r="N478" s="74" t="n">
        <v>19</v>
      </c>
      <c r="O478" s="74" t="n">
        <v>19</v>
      </c>
      <c r="P478" s="74" t="n">
        <v>16</v>
      </c>
      <c r="Q478" s="74" t="n">
        <v>3</v>
      </c>
      <c r="R478" s="74" t="n">
        <v>3</v>
      </c>
      <c r="S478" s="74" t="n">
        <v>3</v>
      </c>
      <c r="T478" s="74" t="n">
        <v>0</v>
      </c>
      <c r="U478" s="74" t="n">
        <v>1</v>
      </c>
      <c r="V478" s="81" t="n">
        <v>1</v>
      </c>
      <c r="W478" s="81" t="n">
        <v>0</v>
      </c>
      <c r="X478" s="81" t="n">
        <v>0</v>
      </c>
      <c r="Y478" s="81" t="n">
        <v>0</v>
      </c>
      <c r="Z478" s="81" t="n">
        <v>0</v>
      </c>
      <c r="AA478" s="81" t="n">
        <v>0</v>
      </c>
    </row>
    <row r="479" customFormat="false" ht="15" hidden="false" customHeight="true" outlineLevel="0" collapsed="false">
      <c r="A479" s="30" t="s">
        <v>124</v>
      </c>
      <c r="B479" s="76"/>
      <c r="C479" s="76"/>
      <c r="D479" s="76"/>
      <c r="E479" s="76"/>
      <c r="F479" s="76"/>
      <c r="G479" s="76"/>
      <c r="H479" s="76"/>
      <c r="I479" s="76"/>
      <c r="J479" s="76"/>
      <c r="K479" s="76"/>
      <c r="L479" s="76"/>
      <c r="M479" s="74" t="n">
        <v>10</v>
      </c>
      <c r="N479" s="74" t="n">
        <v>8</v>
      </c>
      <c r="O479" s="74" t="n">
        <v>8</v>
      </c>
      <c r="P479" s="74" t="n">
        <v>7</v>
      </c>
      <c r="Q479" s="74" t="n">
        <v>3</v>
      </c>
      <c r="R479" s="74" t="n">
        <v>6</v>
      </c>
      <c r="S479" s="74" t="n">
        <v>1</v>
      </c>
      <c r="T479" s="74" t="n">
        <v>0</v>
      </c>
      <c r="U479" s="74" t="n">
        <v>2</v>
      </c>
      <c r="V479" s="81" t="n">
        <v>1</v>
      </c>
      <c r="W479" s="81" t="n">
        <v>1</v>
      </c>
      <c r="X479" s="81" t="n">
        <v>0</v>
      </c>
      <c r="Y479" s="81" t="n">
        <v>0</v>
      </c>
      <c r="Z479" s="81" t="n">
        <v>0</v>
      </c>
      <c r="AA479" s="81" t="n">
        <v>0</v>
      </c>
    </row>
    <row r="480" customFormat="false" ht="15" hidden="false" customHeight="true" outlineLevel="0" collapsed="false">
      <c r="A480" s="30" t="s">
        <v>126</v>
      </c>
      <c r="B480" s="76"/>
      <c r="C480" s="76"/>
      <c r="D480" s="76"/>
      <c r="E480" s="76"/>
      <c r="F480" s="76"/>
      <c r="G480" s="76"/>
      <c r="H480" s="76"/>
      <c r="I480" s="76"/>
      <c r="J480" s="76"/>
      <c r="K480" s="76"/>
      <c r="L480" s="76"/>
      <c r="M480" s="76"/>
      <c r="N480" s="76"/>
      <c r="O480" s="74" t="n">
        <v>24</v>
      </c>
      <c r="P480" s="74" t="n">
        <v>20</v>
      </c>
      <c r="Q480" s="74" t="n">
        <v>15</v>
      </c>
      <c r="R480" s="74" t="n">
        <v>18</v>
      </c>
      <c r="S480" s="74" t="n">
        <v>18</v>
      </c>
      <c r="T480" s="74" t="n">
        <v>4</v>
      </c>
      <c r="U480" s="74" t="n">
        <v>4</v>
      </c>
      <c r="V480" s="81" t="n">
        <v>4</v>
      </c>
      <c r="W480" s="81" t="n">
        <v>2</v>
      </c>
      <c r="X480" s="81" t="n">
        <v>1</v>
      </c>
      <c r="Y480" s="81" t="n">
        <v>1</v>
      </c>
      <c r="Z480" s="81" t="n">
        <v>0</v>
      </c>
      <c r="AA480" s="81" t="n">
        <v>0</v>
      </c>
    </row>
    <row r="481" customFormat="false" ht="15" hidden="false" customHeight="true" outlineLevel="0" collapsed="false">
      <c r="A481" s="30" t="s">
        <v>127</v>
      </c>
      <c r="B481" s="76"/>
      <c r="C481" s="76"/>
      <c r="D481" s="76"/>
      <c r="E481" s="76"/>
      <c r="F481" s="76"/>
      <c r="G481" s="76"/>
      <c r="H481" s="76"/>
      <c r="I481" s="76"/>
      <c r="J481" s="76"/>
      <c r="K481" s="76"/>
      <c r="L481" s="76"/>
      <c r="M481" s="76"/>
      <c r="N481" s="76"/>
      <c r="O481" s="76"/>
      <c r="P481" s="74" t="n">
        <v>12</v>
      </c>
      <c r="Q481" s="74" t="n">
        <v>10</v>
      </c>
      <c r="R481" s="74" t="n">
        <v>12</v>
      </c>
      <c r="S481" s="74" t="n">
        <v>11</v>
      </c>
      <c r="T481" s="74" t="n">
        <v>2</v>
      </c>
      <c r="U481" s="74" t="n">
        <v>9</v>
      </c>
      <c r="V481" s="81" t="n">
        <v>4</v>
      </c>
      <c r="W481" s="81" t="n">
        <v>4</v>
      </c>
      <c r="X481" s="81" t="n">
        <v>2</v>
      </c>
      <c r="Y481" s="81" t="n">
        <v>1</v>
      </c>
      <c r="Z481" s="81" t="n">
        <v>1</v>
      </c>
      <c r="AA481" s="81" t="n">
        <v>0</v>
      </c>
    </row>
    <row r="482" customFormat="false" ht="15" hidden="false" customHeight="true" outlineLevel="0" collapsed="false">
      <c r="A482" s="30" t="s">
        <v>129</v>
      </c>
      <c r="B482" s="76"/>
      <c r="C482" s="76"/>
      <c r="D482" s="76"/>
      <c r="E482" s="76"/>
      <c r="F482" s="76"/>
      <c r="G482" s="76"/>
      <c r="H482" s="76"/>
      <c r="I482" s="76"/>
      <c r="J482" s="76"/>
      <c r="K482" s="76"/>
      <c r="L482" s="76"/>
      <c r="M482" s="76"/>
      <c r="N482" s="76"/>
      <c r="O482" s="76"/>
      <c r="P482" s="76"/>
      <c r="Q482" s="76"/>
      <c r="R482" s="74" t="n">
        <v>27</v>
      </c>
      <c r="S482" s="74" t="n">
        <v>26</v>
      </c>
      <c r="T482" s="74" t="n">
        <v>22</v>
      </c>
      <c r="U482" s="74" t="n">
        <v>19</v>
      </c>
      <c r="V482" s="81" t="n">
        <v>14</v>
      </c>
      <c r="W482" s="81" t="n">
        <v>7</v>
      </c>
      <c r="X482" s="81" t="n">
        <v>3</v>
      </c>
      <c r="Y482" s="81" t="n">
        <v>3</v>
      </c>
      <c r="Z482" s="81" t="n">
        <v>1</v>
      </c>
      <c r="AA482" s="81" t="n">
        <v>1</v>
      </c>
    </row>
    <row r="483" customFormat="false" ht="15" hidden="false" customHeight="true" outlineLevel="0" collapsed="false">
      <c r="A483" s="30" t="s">
        <v>130</v>
      </c>
      <c r="B483" s="76"/>
      <c r="C483" s="76"/>
      <c r="D483" s="76"/>
      <c r="E483" s="76"/>
      <c r="F483" s="76"/>
      <c r="G483" s="76"/>
      <c r="H483" s="76"/>
      <c r="I483" s="76"/>
      <c r="J483" s="76"/>
      <c r="K483" s="76"/>
      <c r="L483" s="76"/>
      <c r="M483" s="76"/>
      <c r="N483" s="76"/>
      <c r="O483" s="76"/>
      <c r="P483" s="76"/>
      <c r="Q483" s="76"/>
      <c r="R483" s="76"/>
      <c r="S483" s="74" t="n">
        <v>14</v>
      </c>
      <c r="T483" s="74" t="n">
        <v>12</v>
      </c>
      <c r="U483" s="74" t="n">
        <v>13</v>
      </c>
      <c r="V483" s="81" t="n">
        <v>12</v>
      </c>
      <c r="W483" s="81" t="n">
        <v>9</v>
      </c>
      <c r="X483" s="81" t="n">
        <v>5</v>
      </c>
      <c r="Y483" s="81" t="n">
        <v>2</v>
      </c>
      <c r="Z483" s="81" t="n">
        <v>2</v>
      </c>
      <c r="AA483" s="81" t="n">
        <v>1</v>
      </c>
    </row>
    <row r="484" customFormat="false" ht="15" hidden="false" customHeight="true" outlineLevel="0" collapsed="false">
      <c r="A484" s="30" t="s">
        <v>132</v>
      </c>
      <c r="B484" s="76"/>
      <c r="C484" s="76"/>
      <c r="D484" s="76"/>
      <c r="E484" s="76"/>
      <c r="F484" s="76"/>
      <c r="G484" s="76"/>
      <c r="H484" s="76"/>
      <c r="I484" s="76"/>
      <c r="J484" s="76"/>
      <c r="K484" s="76"/>
      <c r="L484" s="76"/>
      <c r="M484" s="76"/>
      <c r="N484" s="76"/>
      <c r="O484" s="76"/>
      <c r="P484" s="76"/>
      <c r="Q484" s="76"/>
      <c r="R484" s="76"/>
      <c r="S484" s="76"/>
      <c r="T484" s="76"/>
      <c r="U484" s="74" t="n">
        <v>19</v>
      </c>
      <c r="V484" s="81" t="n">
        <v>16</v>
      </c>
      <c r="W484" s="81" t="n">
        <v>16</v>
      </c>
      <c r="X484" s="81" t="n">
        <v>15</v>
      </c>
      <c r="Y484" s="81" t="n">
        <v>10</v>
      </c>
      <c r="Z484" s="81" t="n">
        <v>6</v>
      </c>
      <c r="AA484" s="81" t="n">
        <v>2</v>
      </c>
    </row>
    <row r="485" customFormat="false" ht="15" hidden="false" customHeight="true" outlineLevel="0" collapsed="false">
      <c r="A485" s="82" t="s">
        <v>524</v>
      </c>
      <c r="B485" s="76"/>
      <c r="C485" s="76"/>
      <c r="D485" s="76"/>
      <c r="E485" s="76"/>
      <c r="F485" s="76"/>
      <c r="G485" s="76"/>
      <c r="H485" s="76"/>
      <c r="I485" s="76"/>
      <c r="J485" s="76"/>
      <c r="K485" s="76"/>
      <c r="L485" s="76"/>
      <c r="M485" s="76"/>
      <c r="N485" s="76"/>
      <c r="O485" s="76"/>
      <c r="P485" s="76"/>
      <c r="Q485" s="76"/>
      <c r="R485" s="76"/>
      <c r="S485" s="76"/>
      <c r="T485" s="76"/>
      <c r="U485" s="76"/>
      <c r="V485" s="81" t="n">
        <v>20</v>
      </c>
      <c r="W485" s="81" t="n">
        <v>17</v>
      </c>
      <c r="X485" s="81" t="n">
        <v>17</v>
      </c>
      <c r="Y485" s="81" t="n">
        <v>15</v>
      </c>
      <c r="Z485" s="81" t="n">
        <v>11</v>
      </c>
      <c r="AA485" s="81" t="n">
        <v>6</v>
      </c>
    </row>
    <row r="486" customFormat="false" ht="15" hidden="false" customHeight="true" outlineLevel="0" collapsed="false">
      <c r="A486" s="82" t="s">
        <v>525</v>
      </c>
      <c r="B486" s="76"/>
      <c r="C486" s="76"/>
      <c r="D486" s="76"/>
      <c r="E486" s="76"/>
      <c r="F486" s="76"/>
      <c r="G486" s="76"/>
      <c r="H486" s="76"/>
      <c r="I486" s="76"/>
      <c r="J486" s="76"/>
      <c r="K486" s="76"/>
      <c r="L486" s="76"/>
      <c r="M486" s="76"/>
      <c r="N486" s="76"/>
      <c r="O486" s="76"/>
      <c r="P486" s="76"/>
      <c r="Q486" s="76"/>
      <c r="R486" s="76"/>
      <c r="S486" s="76"/>
      <c r="T486" s="76"/>
      <c r="U486" s="76"/>
      <c r="V486" s="76"/>
      <c r="W486" s="81" t="n">
        <v>20</v>
      </c>
      <c r="X486" s="81" t="n">
        <v>17</v>
      </c>
      <c r="Y486" s="81" t="n">
        <v>17</v>
      </c>
      <c r="Z486" s="81" t="n">
        <v>15</v>
      </c>
      <c r="AA486" s="81" t="n">
        <v>11</v>
      </c>
    </row>
    <row r="487" customFormat="false" ht="15" hidden="false" customHeight="true" outlineLevel="0" collapsed="false">
      <c r="A487" s="82" t="s">
        <v>526</v>
      </c>
      <c r="B487" s="76"/>
      <c r="C487" s="76"/>
      <c r="D487" s="76"/>
      <c r="E487" s="76"/>
      <c r="F487" s="76"/>
      <c r="G487" s="76"/>
      <c r="H487" s="76"/>
      <c r="I487" s="76"/>
      <c r="J487" s="76"/>
      <c r="K487" s="76"/>
      <c r="L487" s="76"/>
      <c r="M487" s="76"/>
      <c r="N487" s="76"/>
      <c r="O487" s="76"/>
      <c r="P487" s="76"/>
      <c r="Q487" s="76"/>
      <c r="R487" s="76"/>
      <c r="S487" s="76"/>
      <c r="T487" s="76"/>
      <c r="U487" s="76"/>
      <c r="V487" s="76"/>
      <c r="W487" s="76"/>
      <c r="X487" s="81" t="n">
        <v>20</v>
      </c>
      <c r="Y487" s="81" t="n">
        <v>17</v>
      </c>
      <c r="Z487" s="81" t="n">
        <v>17</v>
      </c>
      <c r="AA487" s="81" t="n">
        <v>15</v>
      </c>
    </row>
    <row r="488" customFormat="false" ht="15" hidden="false" customHeight="true" outlineLevel="0" collapsed="false">
      <c r="A488" s="82" t="s">
        <v>527</v>
      </c>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81" t="n">
        <v>20</v>
      </c>
      <c r="Z488" s="81" t="n">
        <v>17</v>
      </c>
      <c r="AA488" s="81" t="n">
        <v>17</v>
      </c>
    </row>
    <row r="489" customFormat="false" ht="15" hidden="false" customHeight="true" outlineLevel="0" collapsed="false">
      <c r="A489" s="82" t="s">
        <v>528</v>
      </c>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81" t="n">
        <v>20</v>
      </c>
      <c r="AA489" s="81" t="n">
        <v>17</v>
      </c>
    </row>
    <row r="490" customFormat="false" ht="15" hidden="false" customHeight="true" outlineLevel="0" collapsed="false">
      <c r="A490" s="82" t="s">
        <v>529</v>
      </c>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81" t="n">
        <v>20</v>
      </c>
    </row>
    <row r="491" customFormat="false" ht="15" hidden="false" customHeight="true" outlineLevel="0" collapsed="false">
      <c r="A491" s="34" t="s">
        <v>514</v>
      </c>
      <c r="B491" s="79"/>
      <c r="C491" s="79" t="n">
        <v>28</v>
      </c>
      <c r="D491" s="79" t="n">
        <v>42</v>
      </c>
      <c r="E491" s="79" t="n">
        <v>37</v>
      </c>
      <c r="F491" s="79" t="n">
        <v>58</v>
      </c>
      <c r="G491" s="79" t="n">
        <v>67</v>
      </c>
      <c r="H491" s="79" t="n">
        <v>34</v>
      </c>
      <c r="I491" s="79" t="n">
        <v>62</v>
      </c>
      <c r="J491" s="79" t="n">
        <v>64</v>
      </c>
      <c r="K491" s="79" t="n">
        <v>29</v>
      </c>
      <c r="L491" s="79" t="n">
        <v>64</v>
      </c>
      <c r="M491" s="79" t="n">
        <v>61</v>
      </c>
      <c r="N491" s="79" t="n">
        <v>33</v>
      </c>
      <c r="O491" s="79" t="n">
        <v>69</v>
      </c>
      <c r="P491" s="79" t="n">
        <v>59</v>
      </c>
      <c r="Q491" s="79" t="n">
        <v>32</v>
      </c>
      <c r="R491" s="79" t="n">
        <v>68</v>
      </c>
      <c r="S491" s="79" t="n">
        <v>75</v>
      </c>
      <c r="T491" s="79" t="n">
        <v>40</v>
      </c>
      <c r="U491" s="79" t="n">
        <v>67</v>
      </c>
      <c r="V491" s="79" t="n">
        <v>71</v>
      </c>
      <c r="W491" s="79" t="n">
        <v>75</v>
      </c>
      <c r="X491" s="79" t="n">
        <v>79</v>
      </c>
      <c r="Y491" s="79" t="n">
        <v>86</v>
      </c>
      <c r="Z491" s="79" t="n">
        <v>90</v>
      </c>
      <c r="AA491" s="79" t="n">
        <v>90</v>
      </c>
    </row>
    <row r="493" customFormat="false" ht="19.5" hidden="false" customHeight="true" outlineLevel="0" collapsed="false">
      <c r="A493" s="65" t="s">
        <v>427</v>
      </c>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row>
    <row r="494" customFormat="false" ht="15" hidden="false" customHeight="true" outlineLevel="0" collapsed="false">
      <c r="A494" s="80" t="s">
        <v>536</v>
      </c>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c r="AA494" s="80"/>
    </row>
    <row r="495" customFormat="false" ht="15" hidden="false" customHeight="true" outlineLevel="0" collapsed="false">
      <c r="A495" s="12" t="s">
        <v>513</v>
      </c>
      <c r="B495" s="12" t="s">
        <v>113</v>
      </c>
      <c r="C495" s="12" t="s">
        <v>114</v>
      </c>
      <c r="D495" s="12" t="s">
        <v>115</v>
      </c>
      <c r="E495" s="12" t="s">
        <v>116</v>
      </c>
      <c r="F495" s="12" t="s">
        <v>117</v>
      </c>
      <c r="G495" s="12" t="s">
        <v>118</v>
      </c>
      <c r="H495" s="12" t="s">
        <v>119</v>
      </c>
      <c r="I495" s="12" t="s">
        <v>120</v>
      </c>
      <c r="J495" s="12" t="s">
        <v>121</v>
      </c>
      <c r="K495" s="12" t="s">
        <v>122</v>
      </c>
      <c r="L495" s="12" t="s">
        <v>123</v>
      </c>
      <c r="M495" s="12" t="s">
        <v>124</v>
      </c>
      <c r="N495" s="12" t="s">
        <v>125</v>
      </c>
      <c r="O495" s="12" t="s">
        <v>126</v>
      </c>
      <c r="P495" s="12" t="s">
        <v>127</v>
      </c>
      <c r="Q495" s="12" t="s">
        <v>128</v>
      </c>
      <c r="R495" s="12" t="s">
        <v>129</v>
      </c>
      <c r="S495" s="12" t="s">
        <v>130</v>
      </c>
      <c r="T495" s="12" t="s">
        <v>131</v>
      </c>
      <c r="U495" s="12" t="s">
        <v>132</v>
      </c>
      <c r="V495" s="12" t="s">
        <v>518</v>
      </c>
      <c r="W495" s="12" t="s">
        <v>519</v>
      </c>
      <c r="X495" s="12" t="s">
        <v>520</v>
      </c>
      <c r="Y495" s="12" t="s">
        <v>521</v>
      </c>
      <c r="Z495" s="12" t="s">
        <v>522</v>
      </c>
      <c r="AA495" s="12" t="s">
        <v>523</v>
      </c>
    </row>
    <row r="496" customFormat="false" ht="15" hidden="false" customHeight="true" outlineLevel="0" collapsed="false">
      <c r="A496" s="30" t="s">
        <v>113</v>
      </c>
      <c r="B496" s="74" t="n">
        <v>4</v>
      </c>
      <c r="C496" s="74" t="n">
        <v>4</v>
      </c>
      <c r="D496" s="74" t="n">
        <v>4</v>
      </c>
      <c r="E496" s="74" t="n">
        <v>3</v>
      </c>
      <c r="F496" s="74" t="n">
        <v>4</v>
      </c>
      <c r="G496" s="74" t="n">
        <v>2</v>
      </c>
      <c r="H496" s="74" t="n">
        <v>0</v>
      </c>
      <c r="I496" s="74" t="n">
        <v>1</v>
      </c>
      <c r="J496" s="74" t="n">
        <v>1</v>
      </c>
      <c r="K496" s="74" t="n">
        <v>0</v>
      </c>
      <c r="L496" s="74" t="n">
        <v>1</v>
      </c>
      <c r="M496" s="74" t="n">
        <v>0</v>
      </c>
      <c r="N496" s="74" t="n">
        <v>0</v>
      </c>
      <c r="O496" s="74" t="n">
        <v>0</v>
      </c>
      <c r="P496" s="74" t="n">
        <v>0</v>
      </c>
      <c r="Q496" s="74" t="n">
        <v>0</v>
      </c>
      <c r="R496" s="74" t="n">
        <v>0</v>
      </c>
      <c r="S496" s="74" t="n">
        <v>0</v>
      </c>
      <c r="T496" s="74" t="n">
        <v>0</v>
      </c>
      <c r="U496" s="74" t="n">
        <v>0</v>
      </c>
      <c r="V496" s="81" t="n">
        <v>0</v>
      </c>
      <c r="W496" s="81" t="n">
        <v>0</v>
      </c>
      <c r="X496" s="81" t="n">
        <v>0</v>
      </c>
      <c r="Y496" s="81" t="n">
        <v>0</v>
      </c>
      <c r="Z496" s="81" t="n">
        <v>0</v>
      </c>
      <c r="AA496" s="81" t="n">
        <v>0</v>
      </c>
    </row>
    <row r="497" customFormat="false" ht="15" hidden="false" customHeight="true" outlineLevel="0" collapsed="false">
      <c r="A497" s="30" t="s">
        <v>114</v>
      </c>
      <c r="B497" s="76"/>
      <c r="C497" s="74" t="n">
        <v>7</v>
      </c>
      <c r="D497" s="74" t="n">
        <v>5</v>
      </c>
      <c r="E497" s="74" t="n">
        <v>2</v>
      </c>
      <c r="F497" s="74" t="n">
        <v>3</v>
      </c>
      <c r="G497" s="74" t="n">
        <v>3</v>
      </c>
      <c r="H497" s="74" t="n">
        <v>3</v>
      </c>
      <c r="I497" s="74" t="n">
        <v>3</v>
      </c>
      <c r="J497" s="74" t="n">
        <v>1</v>
      </c>
      <c r="K497" s="74" t="n">
        <v>0</v>
      </c>
      <c r="L497" s="74" t="n">
        <v>0</v>
      </c>
      <c r="M497" s="74" t="n">
        <v>0</v>
      </c>
      <c r="N497" s="74" t="n">
        <v>0</v>
      </c>
      <c r="O497" s="74" t="n">
        <v>0</v>
      </c>
      <c r="P497" s="74" t="n">
        <v>0</v>
      </c>
      <c r="Q497" s="74" t="n">
        <v>0</v>
      </c>
      <c r="R497" s="74" t="n">
        <v>0</v>
      </c>
      <c r="S497" s="74" t="n">
        <v>0</v>
      </c>
      <c r="T497" s="74" t="n">
        <v>0</v>
      </c>
      <c r="U497" s="74" t="n">
        <v>0</v>
      </c>
      <c r="V497" s="81" t="n">
        <v>0</v>
      </c>
      <c r="W497" s="81" t="n">
        <v>0</v>
      </c>
      <c r="X497" s="81" t="n">
        <v>0</v>
      </c>
      <c r="Y497" s="81" t="n">
        <v>0</v>
      </c>
      <c r="Z497" s="81" t="n">
        <v>0</v>
      </c>
      <c r="AA497" s="81" t="n">
        <v>0</v>
      </c>
    </row>
    <row r="498" customFormat="false" ht="15" hidden="false" customHeight="true" outlineLevel="0" collapsed="false">
      <c r="A498" s="30" t="s">
        <v>115</v>
      </c>
      <c r="B498" s="76"/>
      <c r="C498" s="76"/>
      <c r="D498" s="74" t="n">
        <v>8</v>
      </c>
      <c r="E498" s="74" t="n">
        <v>6</v>
      </c>
      <c r="F498" s="74" t="n">
        <v>6</v>
      </c>
      <c r="G498" s="74" t="n">
        <v>7</v>
      </c>
      <c r="H498" s="74" t="n">
        <v>5</v>
      </c>
      <c r="I498" s="74" t="n">
        <v>5</v>
      </c>
      <c r="J498" s="74" t="n">
        <v>5</v>
      </c>
      <c r="K498" s="74" t="n">
        <v>4</v>
      </c>
      <c r="L498" s="74" t="n">
        <v>2</v>
      </c>
      <c r="M498" s="74" t="n">
        <v>2</v>
      </c>
      <c r="N498" s="74" t="n">
        <v>1</v>
      </c>
      <c r="O498" s="74" t="n">
        <v>1</v>
      </c>
      <c r="P498" s="74" t="n">
        <v>1</v>
      </c>
      <c r="Q498" s="74" t="n">
        <v>0</v>
      </c>
      <c r="R498" s="74" t="n">
        <v>0</v>
      </c>
      <c r="S498" s="74" t="n">
        <v>0</v>
      </c>
      <c r="T498" s="74" t="n">
        <v>0</v>
      </c>
      <c r="U498" s="74" t="n">
        <v>0</v>
      </c>
      <c r="V498" s="81" t="n">
        <v>0</v>
      </c>
      <c r="W498" s="81" t="n">
        <v>0</v>
      </c>
      <c r="X498" s="81" t="n">
        <v>0</v>
      </c>
      <c r="Y498" s="81" t="n">
        <v>0</v>
      </c>
      <c r="Z498" s="81" t="n">
        <v>0</v>
      </c>
      <c r="AA498" s="81" t="n">
        <v>0</v>
      </c>
    </row>
    <row r="499" customFormat="false" ht="15" hidden="false" customHeight="true" outlineLevel="0" collapsed="false">
      <c r="A499" s="30" t="s">
        <v>116</v>
      </c>
      <c r="B499" s="76"/>
      <c r="C499" s="76"/>
      <c r="D499" s="76"/>
      <c r="E499" s="74" t="n">
        <v>6</v>
      </c>
      <c r="F499" s="74" t="n">
        <v>6</v>
      </c>
      <c r="G499" s="74" t="n">
        <v>5</v>
      </c>
      <c r="H499" s="74" t="n">
        <v>3</v>
      </c>
      <c r="I499" s="74" t="n">
        <v>5</v>
      </c>
      <c r="J499" s="74" t="n">
        <v>4</v>
      </c>
      <c r="K499" s="74" t="n">
        <v>1</v>
      </c>
      <c r="L499" s="74" t="n">
        <v>2</v>
      </c>
      <c r="M499" s="74" t="n">
        <v>2</v>
      </c>
      <c r="N499" s="74" t="n">
        <v>0</v>
      </c>
      <c r="O499" s="74" t="n">
        <v>3</v>
      </c>
      <c r="P499" s="74" t="n">
        <v>2</v>
      </c>
      <c r="Q499" s="74" t="n">
        <v>0</v>
      </c>
      <c r="R499" s="74" t="n">
        <v>0</v>
      </c>
      <c r="S499" s="74" t="n">
        <v>0</v>
      </c>
      <c r="T499" s="74" t="n">
        <v>0</v>
      </c>
      <c r="U499" s="74" t="n">
        <v>0</v>
      </c>
      <c r="V499" s="81" t="n">
        <v>0</v>
      </c>
      <c r="W499" s="81" t="n">
        <v>0</v>
      </c>
      <c r="X499" s="81" t="n">
        <v>0</v>
      </c>
      <c r="Y499" s="81" t="n">
        <v>0</v>
      </c>
      <c r="Z499" s="81" t="n">
        <v>0</v>
      </c>
      <c r="AA499" s="81" t="n">
        <v>0</v>
      </c>
    </row>
    <row r="500" customFormat="false" ht="15" hidden="false" customHeight="true" outlineLevel="0" collapsed="false">
      <c r="A500" s="30" t="s">
        <v>117</v>
      </c>
      <c r="B500" s="76"/>
      <c r="C500" s="76"/>
      <c r="D500" s="76"/>
      <c r="E500" s="76"/>
      <c r="F500" s="74" t="n">
        <v>18</v>
      </c>
      <c r="G500" s="74" t="n">
        <v>14</v>
      </c>
      <c r="H500" s="74" t="n">
        <v>8</v>
      </c>
      <c r="I500" s="74" t="n">
        <v>10</v>
      </c>
      <c r="J500" s="74" t="n">
        <v>9</v>
      </c>
      <c r="K500" s="74" t="n">
        <v>5</v>
      </c>
      <c r="L500" s="74" t="n">
        <v>8</v>
      </c>
      <c r="M500" s="74" t="n">
        <v>4</v>
      </c>
      <c r="N500" s="74" t="n">
        <v>1</v>
      </c>
      <c r="O500" s="74" t="n">
        <v>4</v>
      </c>
      <c r="P500" s="74" t="n">
        <v>2</v>
      </c>
      <c r="Q500" s="74" t="n">
        <v>0</v>
      </c>
      <c r="R500" s="74" t="n">
        <v>0</v>
      </c>
      <c r="S500" s="74" t="n">
        <v>0</v>
      </c>
      <c r="T500" s="74" t="n">
        <v>0</v>
      </c>
      <c r="U500" s="74" t="n">
        <v>0</v>
      </c>
      <c r="V500" s="81" t="n">
        <v>0</v>
      </c>
      <c r="W500" s="81" t="n">
        <v>0</v>
      </c>
      <c r="X500" s="81" t="n">
        <v>0</v>
      </c>
      <c r="Y500" s="81" t="n">
        <v>0</v>
      </c>
      <c r="Z500" s="81" t="n">
        <v>0</v>
      </c>
      <c r="AA500" s="81" t="n">
        <v>0</v>
      </c>
    </row>
    <row r="501" customFormat="false" ht="15" hidden="false" customHeight="true" outlineLevel="0" collapsed="false">
      <c r="A501" s="30" t="s">
        <v>118</v>
      </c>
      <c r="B501" s="76"/>
      <c r="C501" s="76"/>
      <c r="D501" s="76"/>
      <c r="E501" s="76"/>
      <c r="F501" s="76"/>
      <c r="G501" s="74" t="n">
        <v>26</v>
      </c>
      <c r="H501" s="74" t="n">
        <v>14</v>
      </c>
      <c r="I501" s="74" t="n">
        <v>12</v>
      </c>
      <c r="J501" s="74" t="n">
        <v>14</v>
      </c>
      <c r="K501" s="74" t="n">
        <v>11</v>
      </c>
      <c r="L501" s="74" t="n">
        <v>12</v>
      </c>
      <c r="M501" s="74" t="n">
        <v>7</v>
      </c>
      <c r="N501" s="74" t="n">
        <v>3</v>
      </c>
      <c r="O501" s="74" t="n">
        <v>2</v>
      </c>
      <c r="P501" s="74" t="n">
        <v>0</v>
      </c>
      <c r="Q501" s="74" t="n">
        <v>0</v>
      </c>
      <c r="R501" s="74" t="n">
        <v>0</v>
      </c>
      <c r="S501" s="74" t="n">
        <v>0</v>
      </c>
      <c r="T501" s="74" t="n">
        <v>0</v>
      </c>
      <c r="U501" s="74" t="n">
        <v>0</v>
      </c>
      <c r="V501" s="81" t="n">
        <v>0</v>
      </c>
      <c r="W501" s="81" t="n">
        <v>0</v>
      </c>
      <c r="X501" s="81" t="n">
        <v>0</v>
      </c>
      <c r="Y501" s="81" t="n">
        <v>0</v>
      </c>
      <c r="Z501" s="81" t="n">
        <v>0</v>
      </c>
      <c r="AA501" s="81" t="n">
        <v>0</v>
      </c>
    </row>
    <row r="502" customFormat="false" ht="15" hidden="false" customHeight="true" outlineLevel="0" collapsed="false">
      <c r="A502" s="30" t="s">
        <v>119</v>
      </c>
      <c r="B502" s="76"/>
      <c r="C502" s="76"/>
      <c r="D502" s="76"/>
      <c r="E502" s="76"/>
      <c r="F502" s="76"/>
      <c r="G502" s="76"/>
      <c r="H502" s="74" t="n">
        <v>21</v>
      </c>
      <c r="I502" s="74" t="n">
        <v>16</v>
      </c>
      <c r="J502" s="74" t="n">
        <v>13</v>
      </c>
      <c r="K502" s="74" t="n">
        <v>6</v>
      </c>
      <c r="L502" s="74" t="n">
        <v>9</v>
      </c>
      <c r="M502" s="74" t="n">
        <v>9</v>
      </c>
      <c r="N502" s="74" t="n">
        <v>1</v>
      </c>
      <c r="O502" s="74" t="n">
        <v>1</v>
      </c>
      <c r="P502" s="74" t="n">
        <v>1</v>
      </c>
      <c r="Q502" s="74" t="n">
        <v>1</v>
      </c>
      <c r="R502" s="74" t="n">
        <v>1</v>
      </c>
      <c r="S502" s="74" t="n">
        <v>0</v>
      </c>
      <c r="T502" s="74" t="n">
        <v>0</v>
      </c>
      <c r="U502" s="74" t="n">
        <v>0</v>
      </c>
      <c r="V502" s="81" t="n">
        <v>0</v>
      </c>
      <c r="W502" s="81" t="n">
        <v>0</v>
      </c>
      <c r="X502" s="81" t="n">
        <v>0</v>
      </c>
      <c r="Y502" s="81" t="n">
        <v>0</v>
      </c>
      <c r="Z502" s="81" t="n">
        <v>0</v>
      </c>
      <c r="AA502" s="81" t="n">
        <v>0</v>
      </c>
    </row>
    <row r="503" customFormat="false" ht="15" hidden="false" customHeight="true" outlineLevel="0" collapsed="false">
      <c r="A503" s="30" t="s">
        <v>120</v>
      </c>
      <c r="B503" s="76"/>
      <c r="C503" s="76"/>
      <c r="D503" s="76"/>
      <c r="E503" s="76"/>
      <c r="F503" s="76"/>
      <c r="G503" s="76"/>
      <c r="H503" s="76"/>
      <c r="I503" s="74" t="n">
        <v>32</v>
      </c>
      <c r="J503" s="74" t="n">
        <v>22</v>
      </c>
      <c r="K503" s="74" t="n">
        <v>13</v>
      </c>
      <c r="L503" s="74" t="n">
        <v>17</v>
      </c>
      <c r="M503" s="74" t="n">
        <v>16</v>
      </c>
      <c r="N503" s="74" t="n">
        <v>9</v>
      </c>
      <c r="O503" s="74" t="n">
        <v>5</v>
      </c>
      <c r="P503" s="74" t="n">
        <v>1</v>
      </c>
      <c r="Q503" s="74" t="n">
        <v>0</v>
      </c>
      <c r="R503" s="74" t="n">
        <v>0</v>
      </c>
      <c r="S503" s="74" t="n">
        <v>0</v>
      </c>
      <c r="T503" s="74" t="n">
        <v>0</v>
      </c>
      <c r="U503" s="74" t="n">
        <v>0</v>
      </c>
      <c r="V503" s="81" t="n">
        <v>0</v>
      </c>
      <c r="W503" s="81" t="n">
        <v>0</v>
      </c>
      <c r="X503" s="81" t="n">
        <v>0</v>
      </c>
      <c r="Y503" s="81" t="n">
        <v>0</v>
      </c>
      <c r="Z503" s="81" t="n">
        <v>0</v>
      </c>
      <c r="AA503" s="81" t="n">
        <v>0</v>
      </c>
    </row>
    <row r="504" customFormat="false" ht="15" hidden="false" customHeight="true" outlineLevel="0" collapsed="false">
      <c r="A504" s="30" t="s">
        <v>121</v>
      </c>
      <c r="B504" s="76"/>
      <c r="C504" s="76"/>
      <c r="D504" s="76"/>
      <c r="E504" s="76"/>
      <c r="F504" s="76"/>
      <c r="G504" s="76"/>
      <c r="H504" s="76"/>
      <c r="I504" s="76"/>
      <c r="J504" s="74" t="n">
        <v>24</v>
      </c>
      <c r="K504" s="74" t="n">
        <v>11</v>
      </c>
      <c r="L504" s="74" t="n">
        <v>13</v>
      </c>
      <c r="M504" s="74" t="n">
        <v>11</v>
      </c>
      <c r="N504" s="74" t="n">
        <v>6</v>
      </c>
      <c r="O504" s="74" t="n">
        <v>9</v>
      </c>
      <c r="P504" s="74" t="n">
        <v>5</v>
      </c>
      <c r="Q504" s="74" t="n">
        <v>1</v>
      </c>
      <c r="R504" s="74" t="n">
        <v>1</v>
      </c>
      <c r="S504" s="74" t="n">
        <v>1</v>
      </c>
      <c r="T504" s="74" t="n">
        <v>1</v>
      </c>
      <c r="U504" s="74" t="n">
        <v>1</v>
      </c>
      <c r="V504" s="81" t="n">
        <v>0</v>
      </c>
      <c r="W504" s="81" t="n">
        <v>0</v>
      </c>
      <c r="X504" s="81" t="n">
        <v>0</v>
      </c>
      <c r="Y504" s="81" t="n">
        <v>0</v>
      </c>
      <c r="Z504" s="81" t="n">
        <v>0</v>
      </c>
      <c r="AA504" s="81" t="n">
        <v>0</v>
      </c>
    </row>
    <row r="505" customFormat="false" ht="15" hidden="false" customHeight="true" outlineLevel="0" collapsed="false">
      <c r="A505" s="30" t="s">
        <v>122</v>
      </c>
      <c r="B505" s="76"/>
      <c r="C505" s="76"/>
      <c r="D505" s="76"/>
      <c r="E505" s="76"/>
      <c r="F505" s="76"/>
      <c r="G505" s="76"/>
      <c r="H505" s="76"/>
      <c r="I505" s="76"/>
      <c r="J505" s="76"/>
      <c r="K505" s="74" t="n">
        <v>16</v>
      </c>
      <c r="L505" s="74" t="n">
        <v>13</v>
      </c>
      <c r="M505" s="74" t="n">
        <v>12</v>
      </c>
      <c r="N505" s="74" t="n">
        <v>9</v>
      </c>
      <c r="O505" s="74" t="n">
        <v>10</v>
      </c>
      <c r="P505" s="74" t="n">
        <v>5</v>
      </c>
      <c r="Q505" s="74" t="n">
        <v>2</v>
      </c>
      <c r="R505" s="74" t="n">
        <v>1</v>
      </c>
      <c r="S505" s="74" t="n">
        <v>0</v>
      </c>
      <c r="T505" s="74" t="n">
        <v>0</v>
      </c>
      <c r="U505" s="74" t="n">
        <v>0</v>
      </c>
      <c r="V505" s="81" t="n">
        <v>0</v>
      </c>
      <c r="W505" s="81" t="n">
        <v>0</v>
      </c>
      <c r="X505" s="81" t="n">
        <v>0</v>
      </c>
      <c r="Y505" s="81" t="n">
        <v>0</v>
      </c>
      <c r="Z505" s="81" t="n">
        <v>0</v>
      </c>
      <c r="AA505" s="81" t="n">
        <v>0</v>
      </c>
    </row>
    <row r="506" customFormat="false" ht="15" hidden="false" customHeight="true" outlineLevel="0" collapsed="false">
      <c r="A506" s="30" t="s">
        <v>123</v>
      </c>
      <c r="B506" s="76"/>
      <c r="C506" s="76"/>
      <c r="D506" s="76"/>
      <c r="E506" s="76"/>
      <c r="F506" s="76"/>
      <c r="G506" s="76"/>
      <c r="H506" s="76"/>
      <c r="I506" s="76"/>
      <c r="J506" s="76"/>
      <c r="K506" s="76"/>
      <c r="L506" s="74" t="n">
        <v>33</v>
      </c>
      <c r="M506" s="74" t="n">
        <v>24</v>
      </c>
      <c r="N506" s="74" t="n">
        <v>16</v>
      </c>
      <c r="O506" s="74" t="n">
        <v>17</v>
      </c>
      <c r="P506" s="74" t="n">
        <v>17</v>
      </c>
      <c r="Q506" s="74" t="n">
        <v>3</v>
      </c>
      <c r="R506" s="74" t="n">
        <v>6</v>
      </c>
      <c r="S506" s="74" t="n">
        <v>2</v>
      </c>
      <c r="T506" s="74" t="n">
        <v>0</v>
      </c>
      <c r="U506" s="74" t="n">
        <v>0</v>
      </c>
      <c r="V506" s="81" t="n">
        <v>0</v>
      </c>
      <c r="W506" s="81" t="n">
        <v>0</v>
      </c>
      <c r="X506" s="81" t="n">
        <v>0</v>
      </c>
      <c r="Y506" s="81" t="n">
        <v>0</v>
      </c>
      <c r="Z506" s="81" t="n">
        <v>0</v>
      </c>
      <c r="AA506" s="81" t="n">
        <v>0</v>
      </c>
    </row>
    <row r="507" customFormat="false" ht="15" hidden="false" customHeight="true" outlineLevel="0" collapsed="false">
      <c r="A507" s="30" t="s">
        <v>124</v>
      </c>
      <c r="B507" s="76"/>
      <c r="C507" s="76"/>
      <c r="D507" s="76"/>
      <c r="E507" s="76"/>
      <c r="F507" s="76"/>
      <c r="G507" s="76"/>
      <c r="H507" s="76"/>
      <c r="I507" s="76"/>
      <c r="J507" s="76"/>
      <c r="K507" s="76"/>
      <c r="L507" s="76"/>
      <c r="M507" s="74" t="n">
        <v>23</v>
      </c>
      <c r="N507" s="74" t="n">
        <v>18</v>
      </c>
      <c r="O507" s="74" t="n">
        <v>17</v>
      </c>
      <c r="P507" s="74" t="n">
        <v>16</v>
      </c>
      <c r="Q507" s="74" t="n">
        <v>9</v>
      </c>
      <c r="R507" s="74" t="n">
        <v>3</v>
      </c>
      <c r="S507" s="74" t="n">
        <v>2</v>
      </c>
      <c r="T507" s="74" t="n">
        <v>1</v>
      </c>
      <c r="U507" s="74" t="n">
        <v>1</v>
      </c>
      <c r="V507" s="81" t="n">
        <v>1</v>
      </c>
      <c r="W507" s="81" t="n">
        <v>1</v>
      </c>
      <c r="X507" s="81" t="n">
        <v>0</v>
      </c>
      <c r="Y507" s="81" t="n">
        <v>0</v>
      </c>
      <c r="Z507" s="81" t="n">
        <v>0</v>
      </c>
      <c r="AA507" s="81" t="n">
        <v>0</v>
      </c>
    </row>
    <row r="508" customFormat="false" ht="15" hidden="false" customHeight="true" outlineLevel="0" collapsed="false">
      <c r="A508" s="30" t="s">
        <v>125</v>
      </c>
      <c r="B508" s="76"/>
      <c r="C508" s="76"/>
      <c r="D508" s="76"/>
      <c r="E508" s="76"/>
      <c r="F508" s="76"/>
      <c r="G508" s="76"/>
      <c r="H508" s="76"/>
      <c r="I508" s="76"/>
      <c r="J508" s="76"/>
      <c r="K508" s="76"/>
      <c r="L508" s="76"/>
      <c r="M508" s="76"/>
      <c r="N508" s="74" t="n">
        <v>14</v>
      </c>
      <c r="O508" s="74" t="n">
        <v>12</v>
      </c>
      <c r="P508" s="74" t="n">
        <v>11</v>
      </c>
      <c r="Q508" s="74" t="n">
        <v>9</v>
      </c>
      <c r="R508" s="74" t="n">
        <v>9</v>
      </c>
      <c r="S508" s="74" t="n">
        <v>4</v>
      </c>
      <c r="T508" s="74" t="n">
        <v>1</v>
      </c>
      <c r="U508" s="74" t="n">
        <v>2</v>
      </c>
      <c r="V508" s="81" t="n">
        <v>1</v>
      </c>
      <c r="W508" s="81" t="n">
        <v>1</v>
      </c>
      <c r="X508" s="81" t="n">
        <v>1</v>
      </c>
      <c r="Y508" s="81" t="n">
        <v>0</v>
      </c>
      <c r="Z508" s="81" t="n">
        <v>0</v>
      </c>
      <c r="AA508" s="81" t="n">
        <v>0</v>
      </c>
    </row>
    <row r="509" customFormat="false" ht="15" hidden="false" customHeight="true" outlineLevel="0" collapsed="false">
      <c r="A509" s="30" t="s">
        <v>126</v>
      </c>
      <c r="B509" s="76"/>
      <c r="C509" s="76"/>
      <c r="D509" s="76"/>
      <c r="E509" s="76"/>
      <c r="F509" s="76"/>
      <c r="G509" s="76"/>
      <c r="H509" s="76"/>
      <c r="I509" s="76"/>
      <c r="J509" s="76"/>
      <c r="K509" s="76"/>
      <c r="L509" s="76"/>
      <c r="M509" s="76"/>
      <c r="N509" s="76"/>
      <c r="O509" s="74" t="n">
        <v>27</v>
      </c>
      <c r="P509" s="74" t="n">
        <v>25</v>
      </c>
      <c r="Q509" s="74" t="n">
        <v>16</v>
      </c>
      <c r="R509" s="74" t="n">
        <v>22</v>
      </c>
      <c r="S509" s="74" t="n">
        <v>19</v>
      </c>
      <c r="T509" s="74" t="n">
        <v>4</v>
      </c>
      <c r="U509" s="74" t="n">
        <v>1</v>
      </c>
      <c r="V509" s="81" t="n">
        <v>0</v>
      </c>
      <c r="W509" s="81" t="n">
        <v>0</v>
      </c>
      <c r="X509" s="81" t="n">
        <v>0</v>
      </c>
      <c r="Y509" s="81" t="n">
        <v>0</v>
      </c>
      <c r="Z509" s="81" t="n">
        <v>0</v>
      </c>
      <c r="AA509" s="81" t="n">
        <v>0</v>
      </c>
    </row>
    <row r="510" customFormat="false" ht="15" hidden="false" customHeight="true" outlineLevel="0" collapsed="false">
      <c r="A510" s="30" t="s">
        <v>127</v>
      </c>
      <c r="B510" s="76"/>
      <c r="C510" s="76"/>
      <c r="D510" s="76"/>
      <c r="E510" s="76"/>
      <c r="F510" s="76"/>
      <c r="G510" s="76"/>
      <c r="H510" s="76"/>
      <c r="I510" s="76"/>
      <c r="J510" s="76"/>
      <c r="K510" s="76"/>
      <c r="L510" s="76"/>
      <c r="M510" s="76"/>
      <c r="N510" s="76"/>
      <c r="O510" s="76"/>
      <c r="P510" s="74" t="n">
        <v>19</v>
      </c>
      <c r="Q510" s="74" t="n">
        <v>12</v>
      </c>
      <c r="R510" s="74" t="n">
        <v>11</v>
      </c>
      <c r="S510" s="74" t="n">
        <v>10</v>
      </c>
      <c r="T510" s="74" t="n">
        <v>2</v>
      </c>
      <c r="U510" s="74" t="n">
        <v>1</v>
      </c>
      <c r="V510" s="81" t="n">
        <v>1</v>
      </c>
      <c r="W510" s="81" t="n">
        <v>0</v>
      </c>
      <c r="X510" s="81" t="n">
        <v>0</v>
      </c>
      <c r="Y510" s="81" t="n">
        <v>0</v>
      </c>
      <c r="Z510" s="81" t="n">
        <v>0</v>
      </c>
      <c r="AA510" s="81" t="n">
        <v>0</v>
      </c>
    </row>
    <row r="511" customFormat="false" ht="15" hidden="false" customHeight="true" outlineLevel="0" collapsed="false">
      <c r="A511" s="30" t="s">
        <v>128</v>
      </c>
      <c r="B511" s="76"/>
      <c r="C511" s="76"/>
      <c r="D511" s="76"/>
      <c r="E511" s="76"/>
      <c r="F511" s="76"/>
      <c r="G511" s="76"/>
      <c r="H511" s="76"/>
      <c r="I511" s="76"/>
      <c r="J511" s="76"/>
      <c r="K511" s="76"/>
      <c r="L511" s="76"/>
      <c r="M511" s="76"/>
      <c r="N511" s="76"/>
      <c r="O511" s="76"/>
      <c r="P511" s="76"/>
      <c r="Q511" s="74" t="n">
        <v>1</v>
      </c>
      <c r="R511" s="74" t="n">
        <v>0</v>
      </c>
      <c r="S511" s="74" t="n">
        <v>0</v>
      </c>
      <c r="T511" s="74" t="n">
        <v>0</v>
      </c>
      <c r="U511" s="74" t="n">
        <v>0</v>
      </c>
      <c r="V511" s="81" t="n">
        <v>0</v>
      </c>
      <c r="W511" s="81" t="n">
        <v>0</v>
      </c>
      <c r="X511" s="81" t="n">
        <v>0</v>
      </c>
      <c r="Y511" s="81" t="n">
        <v>0</v>
      </c>
      <c r="Z511" s="81" t="n">
        <v>0</v>
      </c>
      <c r="AA511" s="81" t="n">
        <v>0</v>
      </c>
    </row>
    <row r="512" customFormat="false" ht="15" hidden="false" customHeight="true" outlineLevel="0" collapsed="false">
      <c r="A512" s="30" t="s">
        <v>129</v>
      </c>
      <c r="B512" s="76"/>
      <c r="C512" s="76"/>
      <c r="D512" s="76"/>
      <c r="E512" s="76"/>
      <c r="F512" s="76"/>
      <c r="G512" s="76"/>
      <c r="H512" s="76"/>
      <c r="I512" s="76"/>
      <c r="J512" s="76"/>
      <c r="K512" s="76"/>
      <c r="L512" s="76"/>
      <c r="M512" s="76"/>
      <c r="N512" s="76"/>
      <c r="O512" s="76"/>
      <c r="P512" s="76"/>
      <c r="Q512" s="76"/>
      <c r="R512" s="74" t="n">
        <v>26</v>
      </c>
      <c r="S512" s="74" t="n">
        <v>20</v>
      </c>
      <c r="T512" s="74" t="n">
        <v>14</v>
      </c>
      <c r="U512" s="74" t="n">
        <v>20</v>
      </c>
      <c r="V512" s="81" t="n">
        <v>18</v>
      </c>
      <c r="W512" s="81" t="n">
        <v>12</v>
      </c>
      <c r="X512" s="81" t="n">
        <v>8</v>
      </c>
      <c r="Y512" s="81" t="n">
        <v>4</v>
      </c>
      <c r="Z512" s="81" t="n">
        <v>2</v>
      </c>
      <c r="AA512" s="81" t="n">
        <v>1</v>
      </c>
    </row>
    <row r="513" customFormat="false" ht="15" hidden="false" customHeight="true" outlineLevel="0" collapsed="false">
      <c r="A513" s="30" t="s">
        <v>130</v>
      </c>
      <c r="B513" s="76"/>
      <c r="C513" s="76"/>
      <c r="D513" s="76"/>
      <c r="E513" s="76"/>
      <c r="F513" s="76"/>
      <c r="G513" s="76"/>
      <c r="H513" s="76"/>
      <c r="I513" s="76"/>
      <c r="J513" s="76"/>
      <c r="K513" s="76"/>
      <c r="L513" s="76"/>
      <c r="M513" s="76"/>
      <c r="N513" s="76"/>
      <c r="O513" s="76"/>
      <c r="P513" s="76"/>
      <c r="Q513" s="76"/>
      <c r="R513" s="76"/>
      <c r="S513" s="74" t="n">
        <v>12</v>
      </c>
      <c r="T513" s="74" t="n">
        <v>7</v>
      </c>
      <c r="U513" s="74" t="n">
        <v>12</v>
      </c>
      <c r="V513" s="81" t="n">
        <v>12</v>
      </c>
      <c r="W513" s="81" t="n">
        <v>10</v>
      </c>
      <c r="X513" s="81" t="n">
        <v>7</v>
      </c>
      <c r="Y513" s="81" t="n">
        <v>4</v>
      </c>
      <c r="Z513" s="81" t="n">
        <v>2</v>
      </c>
      <c r="AA513" s="81" t="n">
        <v>1</v>
      </c>
    </row>
    <row r="514" customFormat="false" ht="15" hidden="false" customHeight="true" outlineLevel="0" collapsed="false">
      <c r="A514" s="30" t="s">
        <v>131</v>
      </c>
      <c r="B514" s="76"/>
      <c r="C514" s="76"/>
      <c r="D514" s="76"/>
      <c r="E514" s="76"/>
      <c r="F514" s="76"/>
      <c r="G514" s="76"/>
      <c r="H514" s="76"/>
      <c r="I514" s="76"/>
      <c r="J514" s="76"/>
      <c r="K514" s="76"/>
      <c r="L514" s="76"/>
      <c r="M514" s="76"/>
      <c r="N514" s="76"/>
      <c r="O514" s="76"/>
      <c r="P514" s="76"/>
      <c r="Q514" s="76"/>
      <c r="R514" s="76"/>
      <c r="S514" s="76"/>
      <c r="T514" s="74" t="n">
        <v>7</v>
      </c>
      <c r="U514" s="74" t="n">
        <v>4</v>
      </c>
      <c r="V514" s="81" t="n">
        <v>3</v>
      </c>
      <c r="W514" s="81" t="n">
        <v>3</v>
      </c>
      <c r="X514" s="81" t="n">
        <v>3</v>
      </c>
      <c r="Y514" s="81" t="n">
        <v>2</v>
      </c>
      <c r="Z514" s="81" t="n">
        <v>1</v>
      </c>
      <c r="AA514" s="81" t="n">
        <v>1</v>
      </c>
    </row>
    <row r="515" customFormat="false" ht="15" hidden="false" customHeight="true" outlineLevel="0" collapsed="false">
      <c r="A515" s="30" t="s">
        <v>132</v>
      </c>
      <c r="B515" s="76"/>
      <c r="C515" s="76"/>
      <c r="D515" s="76"/>
      <c r="E515" s="76"/>
      <c r="F515" s="76"/>
      <c r="G515" s="76"/>
      <c r="H515" s="76"/>
      <c r="I515" s="76"/>
      <c r="J515" s="76"/>
      <c r="K515" s="76"/>
      <c r="L515" s="76"/>
      <c r="M515" s="76"/>
      <c r="N515" s="76"/>
      <c r="O515" s="76"/>
      <c r="P515" s="76"/>
      <c r="Q515" s="76"/>
      <c r="R515" s="76"/>
      <c r="S515" s="76"/>
      <c r="T515" s="76"/>
      <c r="U515" s="74" t="n">
        <v>21</v>
      </c>
      <c r="V515" s="81" t="n">
        <v>15</v>
      </c>
      <c r="W515" s="81" t="n">
        <v>12</v>
      </c>
      <c r="X515" s="81" t="n">
        <v>11</v>
      </c>
      <c r="Y515" s="81" t="n">
        <v>10</v>
      </c>
      <c r="Z515" s="81" t="n">
        <v>7</v>
      </c>
      <c r="AA515" s="81" t="n">
        <v>4</v>
      </c>
    </row>
    <row r="516" customFormat="false" ht="15" hidden="false" customHeight="true" outlineLevel="0" collapsed="false">
      <c r="A516" s="82" t="s">
        <v>524</v>
      </c>
      <c r="B516" s="76"/>
      <c r="C516" s="76"/>
      <c r="D516" s="76"/>
      <c r="E516" s="76"/>
      <c r="F516" s="76"/>
      <c r="G516" s="76"/>
      <c r="H516" s="76"/>
      <c r="I516" s="76"/>
      <c r="J516" s="76"/>
      <c r="K516" s="76"/>
      <c r="L516" s="76"/>
      <c r="M516" s="76"/>
      <c r="N516" s="76"/>
      <c r="O516" s="76"/>
      <c r="P516" s="76"/>
      <c r="Q516" s="76"/>
      <c r="R516" s="76"/>
      <c r="S516" s="76"/>
      <c r="T516" s="76"/>
      <c r="U516" s="76"/>
      <c r="V516" s="81" t="n">
        <v>13</v>
      </c>
      <c r="W516" s="81" t="n">
        <v>9</v>
      </c>
      <c r="X516" s="81" t="n">
        <v>7</v>
      </c>
      <c r="Y516" s="81" t="n">
        <v>7</v>
      </c>
      <c r="Z516" s="81" t="n">
        <v>6</v>
      </c>
      <c r="AA516" s="81" t="n">
        <v>4</v>
      </c>
    </row>
    <row r="517" customFormat="false" ht="15" hidden="false" customHeight="true" outlineLevel="0" collapsed="false">
      <c r="A517" s="82" t="s">
        <v>525</v>
      </c>
      <c r="B517" s="76"/>
      <c r="C517" s="76"/>
      <c r="D517" s="76"/>
      <c r="E517" s="76"/>
      <c r="F517" s="76"/>
      <c r="G517" s="76"/>
      <c r="H517" s="76"/>
      <c r="I517" s="76"/>
      <c r="J517" s="76"/>
      <c r="K517" s="76"/>
      <c r="L517" s="76"/>
      <c r="M517" s="76"/>
      <c r="N517" s="76"/>
      <c r="O517" s="76"/>
      <c r="P517" s="76"/>
      <c r="Q517" s="76"/>
      <c r="R517" s="76"/>
      <c r="S517" s="76"/>
      <c r="T517" s="76"/>
      <c r="U517" s="76"/>
      <c r="V517" s="76"/>
      <c r="W517" s="81" t="n">
        <v>13</v>
      </c>
      <c r="X517" s="81" t="n">
        <v>9</v>
      </c>
      <c r="Y517" s="81" t="n">
        <v>7</v>
      </c>
      <c r="Z517" s="81" t="n">
        <v>7</v>
      </c>
      <c r="AA517" s="81" t="n">
        <v>6</v>
      </c>
    </row>
    <row r="518" customFormat="false" ht="15" hidden="false" customHeight="true" outlineLevel="0" collapsed="false">
      <c r="A518" s="82" t="s">
        <v>526</v>
      </c>
      <c r="B518" s="76"/>
      <c r="C518" s="76"/>
      <c r="D518" s="76"/>
      <c r="E518" s="76"/>
      <c r="F518" s="76"/>
      <c r="G518" s="76"/>
      <c r="H518" s="76"/>
      <c r="I518" s="76"/>
      <c r="J518" s="76"/>
      <c r="K518" s="76"/>
      <c r="L518" s="76"/>
      <c r="M518" s="76"/>
      <c r="N518" s="76"/>
      <c r="O518" s="76"/>
      <c r="P518" s="76"/>
      <c r="Q518" s="76"/>
      <c r="R518" s="76"/>
      <c r="S518" s="76"/>
      <c r="T518" s="76"/>
      <c r="U518" s="76"/>
      <c r="V518" s="76"/>
      <c r="W518" s="76"/>
      <c r="X518" s="81" t="n">
        <v>13</v>
      </c>
      <c r="Y518" s="81" t="n">
        <v>9</v>
      </c>
      <c r="Z518" s="81" t="n">
        <v>7</v>
      </c>
      <c r="AA518" s="81" t="n">
        <v>7</v>
      </c>
    </row>
    <row r="519" customFormat="false" ht="15" hidden="false" customHeight="true" outlineLevel="0" collapsed="false">
      <c r="A519" s="82" t="s">
        <v>527</v>
      </c>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81" t="n">
        <v>13</v>
      </c>
      <c r="Z519" s="81" t="n">
        <v>9</v>
      </c>
      <c r="AA519" s="81" t="n">
        <v>7</v>
      </c>
    </row>
    <row r="520" customFormat="false" ht="15" hidden="false" customHeight="true" outlineLevel="0" collapsed="false">
      <c r="A520" s="82" t="s">
        <v>528</v>
      </c>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81" t="n">
        <v>13</v>
      </c>
      <c r="AA520" s="81" t="n">
        <v>9</v>
      </c>
    </row>
    <row r="521" customFormat="false" ht="15" hidden="false" customHeight="true" outlineLevel="0" collapsed="false">
      <c r="A521" s="82" t="s">
        <v>529</v>
      </c>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81" t="n">
        <v>13</v>
      </c>
    </row>
    <row r="522" customFormat="false" ht="15" hidden="false" customHeight="true" outlineLevel="0" collapsed="false">
      <c r="A522" s="34" t="s">
        <v>514</v>
      </c>
      <c r="B522" s="79" t="n">
        <v>4</v>
      </c>
      <c r="C522" s="79" t="n">
        <v>11</v>
      </c>
      <c r="D522" s="79" t="n">
        <v>17</v>
      </c>
      <c r="E522" s="79" t="n">
        <v>17</v>
      </c>
      <c r="F522" s="79" t="n">
        <v>37</v>
      </c>
      <c r="G522" s="79" t="n">
        <v>57</v>
      </c>
      <c r="H522" s="79" t="n">
        <v>54</v>
      </c>
      <c r="I522" s="79" t="n">
        <v>84</v>
      </c>
      <c r="J522" s="79" t="n">
        <v>93</v>
      </c>
      <c r="K522" s="79" t="n">
        <v>67</v>
      </c>
      <c r="L522" s="79" t="n">
        <v>110</v>
      </c>
      <c r="M522" s="79" t="n">
        <v>110</v>
      </c>
      <c r="N522" s="79" t="n">
        <v>78</v>
      </c>
      <c r="O522" s="79" t="n">
        <v>108</v>
      </c>
      <c r="P522" s="79" t="n">
        <v>105</v>
      </c>
      <c r="Q522" s="79" t="n">
        <v>54</v>
      </c>
      <c r="R522" s="79" t="n">
        <v>80</v>
      </c>
      <c r="S522" s="79" t="n">
        <v>70</v>
      </c>
      <c r="T522" s="79" t="n">
        <v>37</v>
      </c>
      <c r="U522" s="79" t="n">
        <v>63</v>
      </c>
      <c r="V522" s="79" t="n">
        <v>63</v>
      </c>
      <c r="W522" s="79" t="n">
        <v>61</v>
      </c>
      <c r="X522" s="79" t="n">
        <v>59</v>
      </c>
      <c r="Y522" s="79" t="n">
        <v>57</v>
      </c>
      <c r="Z522" s="79" t="n">
        <v>55</v>
      </c>
      <c r="AA522" s="79" t="n">
        <v>54</v>
      </c>
    </row>
    <row r="524" customFormat="false" ht="45" hidden="false" customHeight="true" outlineLevel="0" collapsed="false">
      <c r="A524" s="65" t="s">
        <v>428</v>
      </c>
      <c r="B524" s="65"/>
      <c r="C524" s="65"/>
      <c r="D524" s="65"/>
      <c r="E524" s="65"/>
      <c r="F524" s="65"/>
      <c r="G524" s="65"/>
      <c r="H524" s="65"/>
      <c r="I524" s="65"/>
    </row>
    <row r="525" customFormat="false" ht="15" hidden="false" customHeight="true" outlineLevel="0" collapsed="false">
      <c r="A525" s="29" t="s">
        <v>272</v>
      </c>
      <c r="B525" s="29"/>
      <c r="C525" s="29"/>
      <c r="D525" s="29"/>
      <c r="E525" s="29"/>
      <c r="F525" s="29"/>
      <c r="G525" s="29"/>
      <c r="H525" s="29"/>
      <c r="I525" s="29"/>
    </row>
    <row r="527" customFormat="false" ht="19.5" hidden="false" customHeight="true" outlineLevel="0" collapsed="false">
      <c r="A527" s="65" t="s">
        <v>429</v>
      </c>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row>
    <row r="528" customFormat="false" ht="15" hidden="false" customHeight="true" outlineLevel="0" collapsed="false">
      <c r="A528" s="80" t="s">
        <v>543</v>
      </c>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row>
    <row r="529" customFormat="false" ht="15" hidden="false" customHeight="true" outlineLevel="0" collapsed="false">
      <c r="A529" s="12" t="s">
        <v>513</v>
      </c>
      <c r="B529" s="12" t="s">
        <v>113</v>
      </c>
      <c r="C529" s="12" t="s">
        <v>114</v>
      </c>
      <c r="D529" s="12" t="s">
        <v>115</v>
      </c>
      <c r="E529" s="12" t="s">
        <v>116</v>
      </c>
      <c r="F529" s="12" t="s">
        <v>117</v>
      </c>
      <c r="G529" s="12" t="s">
        <v>118</v>
      </c>
      <c r="H529" s="12" t="s">
        <v>119</v>
      </c>
      <c r="I529" s="12" t="s">
        <v>120</v>
      </c>
      <c r="J529" s="12" t="s">
        <v>121</v>
      </c>
      <c r="K529" s="12" t="s">
        <v>122</v>
      </c>
      <c r="L529" s="12" t="s">
        <v>123</v>
      </c>
      <c r="M529" s="12" t="s">
        <v>124</v>
      </c>
      <c r="N529" s="12" t="s">
        <v>125</v>
      </c>
      <c r="O529" s="12" t="s">
        <v>126</v>
      </c>
      <c r="P529" s="12" t="s">
        <v>127</v>
      </c>
      <c r="Q529" s="12" t="s">
        <v>128</v>
      </c>
      <c r="R529" s="12" t="s">
        <v>129</v>
      </c>
      <c r="S529" s="12" t="s">
        <v>130</v>
      </c>
      <c r="T529" s="12" t="s">
        <v>131</v>
      </c>
      <c r="U529" s="12" t="s">
        <v>132</v>
      </c>
      <c r="V529" s="12" t="s">
        <v>518</v>
      </c>
      <c r="W529" s="12" t="s">
        <v>519</v>
      </c>
      <c r="X529" s="12" t="s">
        <v>520</v>
      </c>
      <c r="Y529" s="12" t="s">
        <v>521</v>
      </c>
      <c r="Z529" s="12" t="s">
        <v>522</v>
      </c>
      <c r="AA529" s="12" t="s">
        <v>523</v>
      </c>
    </row>
    <row r="530" customFormat="false" ht="15" hidden="false" customHeight="true" outlineLevel="0" collapsed="false">
      <c r="A530" s="30" t="s">
        <v>124</v>
      </c>
      <c r="B530" s="76"/>
      <c r="C530" s="76"/>
      <c r="D530" s="76"/>
      <c r="E530" s="76"/>
      <c r="F530" s="76"/>
      <c r="G530" s="76"/>
      <c r="H530" s="76"/>
      <c r="I530" s="76"/>
      <c r="J530" s="76"/>
      <c r="K530" s="76"/>
      <c r="L530" s="76"/>
      <c r="M530" s="74" t="n">
        <v>24</v>
      </c>
      <c r="N530" s="74" t="n">
        <v>20</v>
      </c>
      <c r="O530" s="74" t="n">
        <v>19</v>
      </c>
      <c r="P530" s="74" t="n">
        <v>12</v>
      </c>
      <c r="Q530" s="74" t="n">
        <v>12</v>
      </c>
      <c r="R530" s="74" t="n">
        <v>0</v>
      </c>
      <c r="S530" s="74" t="n">
        <v>0</v>
      </c>
      <c r="T530" s="74" t="n">
        <v>0</v>
      </c>
      <c r="U530" s="74" t="n">
        <v>0</v>
      </c>
      <c r="V530" s="81" t="n">
        <v>0</v>
      </c>
      <c r="W530" s="81" t="n">
        <v>0</v>
      </c>
      <c r="X530" s="81" t="n">
        <v>0</v>
      </c>
      <c r="Y530" s="81" t="n">
        <v>0</v>
      </c>
      <c r="Z530" s="81" t="n">
        <v>0</v>
      </c>
      <c r="AA530" s="81" t="n">
        <v>0</v>
      </c>
    </row>
    <row r="531" customFormat="false" ht="15" hidden="false" customHeight="true" outlineLevel="0" collapsed="false">
      <c r="A531" s="30" t="s">
        <v>126</v>
      </c>
      <c r="B531" s="76"/>
      <c r="C531" s="76"/>
      <c r="D531" s="76"/>
      <c r="E531" s="76"/>
      <c r="F531" s="76"/>
      <c r="G531" s="76"/>
      <c r="H531" s="76"/>
      <c r="I531" s="76"/>
      <c r="J531" s="76"/>
      <c r="K531" s="76"/>
      <c r="L531" s="76"/>
      <c r="M531" s="76"/>
      <c r="N531" s="76"/>
      <c r="O531" s="74" t="n">
        <v>35</v>
      </c>
      <c r="P531" s="74" t="n">
        <v>31</v>
      </c>
      <c r="Q531" s="74" t="n">
        <v>27</v>
      </c>
      <c r="R531" s="74" t="n">
        <v>11</v>
      </c>
      <c r="S531" s="74" t="n">
        <v>4</v>
      </c>
      <c r="T531" s="74" t="n">
        <v>4</v>
      </c>
      <c r="U531" s="74" t="n">
        <v>2</v>
      </c>
      <c r="V531" s="81" t="n">
        <v>0</v>
      </c>
      <c r="W531" s="81" t="n">
        <v>0</v>
      </c>
      <c r="X531" s="81" t="n">
        <v>0</v>
      </c>
      <c r="Y531" s="81" t="n">
        <v>0</v>
      </c>
      <c r="Z531" s="81" t="n">
        <v>0</v>
      </c>
      <c r="AA531" s="81" t="n">
        <v>0</v>
      </c>
    </row>
    <row r="532" customFormat="false" ht="15" hidden="false" customHeight="true" outlineLevel="0" collapsed="false">
      <c r="A532" s="30" t="s">
        <v>127</v>
      </c>
      <c r="B532" s="76"/>
      <c r="C532" s="76"/>
      <c r="D532" s="76"/>
      <c r="E532" s="76"/>
      <c r="F532" s="76"/>
      <c r="G532" s="76"/>
      <c r="H532" s="76"/>
      <c r="I532" s="76"/>
      <c r="J532" s="76"/>
      <c r="K532" s="76"/>
      <c r="L532" s="76"/>
      <c r="M532" s="76"/>
      <c r="N532" s="76"/>
      <c r="O532" s="76"/>
      <c r="P532" s="74" t="n">
        <v>29</v>
      </c>
      <c r="Q532" s="74" t="n">
        <v>22</v>
      </c>
      <c r="R532" s="74" t="n">
        <v>27</v>
      </c>
      <c r="S532" s="74" t="n">
        <v>16</v>
      </c>
      <c r="T532" s="74" t="n">
        <v>13</v>
      </c>
      <c r="U532" s="74" t="n">
        <v>8</v>
      </c>
      <c r="V532" s="81" t="n">
        <v>0</v>
      </c>
      <c r="W532" s="81" t="n">
        <v>0</v>
      </c>
      <c r="X532" s="81" t="n">
        <v>0</v>
      </c>
      <c r="Y532" s="81" t="n">
        <v>0</v>
      </c>
      <c r="Z532" s="81" t="n">
        <v>0</v>
      </c>
      <c r="AA532" s="81" t="n">
        <v>0</v>
      </c>
    </row>
    <row r="533" customFormat="false" ht="15" hidden="false" customHeight="true" outlineLevel="0" collapsed="false">
      <c r="A533" s="30" t="s">
        <v>129</v>
      </c>
      <c r="B533" s="76"/>
      <c r="C533" s="76"/>
      <c r="D533" s="76"/>
      <c r="E533" s="76"/>
      <c r="F533" s="76"/>
      <c r="G533" s="76"/>
      <c r="H533" s="76"/>
      <c r="I533" s="76"/>
      <c r="J533" s="76"/>
      <c r="K533" s="76"/>
      <c r="L533" s="76"/>
      <c r="M533" s="76"/>
      <c r="N533" s="76"/>
      <c r="O533" s="76"/>
      <c r="P533" s="76"/>
      <c r="Q533" s="76"/>
      <c r="R533" s="74" t="n">
        <v>34</v>
      </c>
      <c r="S533" s="74" t="n">
        <v>33</v>
      </c>
      <c r="T533" s="74" t="n">
        <v>30</v>
      </c>
      <c r="U533" s="74" t="n">
        <v>19</v>
      </c>
      <c r="V533" s="81" t="n">
        <v>19</v>
      </c>
      <c r="W533" s="81" t="n">
        <v>0</v>
      </c>
      <c r="X533" s="81" t="n">
        <v>0</v>
      </c>
      <c r="Y533" s="81" t="n">
        <v>0</v>
      </c>
      <c r="Z533" s="81" t="n">
        <v>0</v>
      </c>
      <c r="AA533" s="81" t="n">
        <v>0</v>
      </c>
    </row>
    <row r="534" customFormat="false" ht="15" hidden="false" customHeight="true" outlineLevel="0" collapsed="false">
      <c r="A534" s="30" t="s">
        <v>130</v>
      </c>
      <c r="B534" s="76"/>
      <c r="C534" s="76"/>
      <c r="D534" s="76"/>
      <c r="E534" s="76"/>
      <c r="F534" s="76"/>
      <c r="G534" s="76"/>
      <c r="H534" s="76"/>
      <c r="I534" s="76"/>
      <c r="J534" s="76"/>
      <c r="K534" s="76"/>
      <c r="L534" s="76"/>
      <c r="M534" s="76"/>
      <c r="N534" s="76"/>
      <c r="O534" s="76"/>
      <c r="P534" s="76"/>
      <c r="Q534" s="76"/>
      <c r="R534" s="76"/>
      <c r="S534" s="74" t="n">
        <v>22</v>
      </c>
      <c r="T534" s="74" t="n">
        <v>19</v>
      </c>
      <c r="U534" s="74" t="n">
        <v>19</v>
      </c>
      <c r="V534" s="81" t="n">
        <v>12</v>
      </c>
      <c r="W534" s="81" t="n">
        <v>12</v>
      </c>
      <c r="X534" s="81" t="n">
        <v>0</v>
      </c>
      <c r="Y534" s="81" t="n">
        <v>0</v>
      </c>
      <c r="Z534" s="81" t="n">
        <v>0</v>
      </c>
      <c r="AA534" s="81" t="n">
        <v>0</v>
      </c>
    </row>
    <row r="535" customFormat="false" ht="15" hidden="false" customHeight="true" outlineLevel="0" collapsed="false">
      <c r="A535" s="30" t="s">
        <v>132</v>
      </c>
      <c r="B535" s="76"/>
      <c r="C535" s="76"/>
      <c r="D535" s="76"/>
      <c r="E535" s="76"/>
      <c r="F535" s="76"/>
      <c r="G535" s="76"/>
      <c r="H535" s="76"/>
      <c r="I535" s="76"/>
      <c r="J535" s="76"/>
      <c r="K535" s="76"/>
      <c r="L535" s="76"/>
      <c r="M535" s="76"/>
      <c r="N535" s="76"/>
      <c r="O535" s="76"/>
      <c r="P535" s="76"/>
      <c r="Q535" s="76"/>
      <c r="R535" s="76"/>
      <c r="S535" s="76"/>
      <c r="T535" s="76"/>
      <c r="U535" s="74" t="n">
        <v>43</v>
      </c>
      <c r="V535" s="81" t="n">
        <v>36</v>
      </c>
      <c r="W535" s="81" t="n">
        <v>34</v>
      </c>
      <c r="X535" s="81" t="n">
        <v>21</v>
      </c>
      <c r="Y535" s="81" t="n">
        <v>21</v>
      </c>
      <c r="Z535" s="81" t="n">
        <v>0</v>
      </c>
      <c r="AA535" s="81" t="n">
        <v>0</v>
      </c>
    </row>
    <row r="536" customFormat="false" ht="15" hidden="false" customHeight="true" outlineLevel="0" collapsed="false">
      <c r="A536" s="82" t="s">
        <v>524</v>
      </c>
      <c r="B536" s="76"/>
      <c r="C536" s="76"/>
      <c r="D536" s="76"/>
      <c r="E536" s="76"/>
      <c r="F536" s="76"/>
      <c r="G536" s="76"/>
      <c r="H536" s="76"/>
      <c r="I536" s="76"/>
      <c r="J536" s="76"/>
      <c r="K536" s="76"/>
      <c r="L536" s="76"/>
      <c r="M536" s="76"/>
      <c r="N536" s="76"/>
      <c r="O536" s="76"/>
      <c r="P536" s="76"/>
      <c r="Q536" s="76"/>
      <c r="R536" s="76"/>
      <c r="S536" s="76"/>
      <c r="T536" s="76"/>
      <c r="U536" s="76"/>
      <c r="V536" s="81" t="n">
        <v>33</v>
      </c>
      <c r="W536" s="81" t="n">
        <v>28</v>
      </c>
      <c r="X536" s="81" t="n">
        <v>26</v>
      </c>
      <c r="Y536" s="81" t="n">
        <v>16</v>
      </c>
      <c r="Z536" s="81" t="n">
        <v>16</v>
      </c>
      <c r="AA536" s="81" t="n">
        <v>0</v>
      </c>
    </row>
    <row r="537" customFormat="false" ht="15" hidden="false" customHeight="true" outlineLevel="0" collapsed="false">
      <c r="A537" s="82" t="s">
        <v>525</v>
      </c>
      <c r="B537" s="76"/>
      <c r="C537" s="76"/>
      <c r="D537" s="76"/>
      <c r="E537" s="76"/>
      <c r="F537" s="76"/>
      <c r="G537" s="76"/>
      <c r="H537" s="76"/>
      <c r="I537" s="76"/>
      <c r="J537" s="76"/>
      <c r="K537" s="76"/>
      <c r="L537" s="76"/>
      <c r="M537" s="76"/>
      <c r="N537" s="76"/>
      <c r="O537" s="76"/>
      <c r="P537" s="76"/>
      <c r="Q537" s="76"/>
      <c r="R537" s="76"/>
      <c r="S537" s="76"/>
      <c r="T537" s="76"/>
      <c r="U537" s="76"/>
      <c r="V537" s="76"/>
      <c r="W537" s="81" t="n">
        <v>33</v>
      </c>
      <c r="X537" s="81" t="n">
        <v>28</v>
      </c>
      <c r="Y537" s="81" t="n">
        <v>26</v>
      </c>
      <c r="Z537" s="81" t="n">
        <v>16</v>
      </c>
      <c r="AA537" s="81" t="n">
        <v>16</v>
      </c>
    </row>
    <row r="538" customFormat="false" ht="15" hidden="false" customHeight="true" outlineLevel="0" collapsed="false">
      <c r="A538" s="82" t="s">
        <v>526</v>
      </c>
      <c r="B538" s="76"/>
      <c r="C538" s="76"/>
      <c r="D538" s="76"/>
      <c r="E538" s="76"/>
      <c r="F538" s="76"/>
      <c r="G538" s="76"/>
      <c r="H538" s="76"/>
      <c r="I538" s="76"/>
      <c r="J538" s="76"/>
      <c r="K538" s="76"/>
      <c r="L538" s="76"/>
      <c r="M538" s="76"/>
      <c r="N538" s="76"/>
      <c r="O538" s="76"/>
      <c r="P538" s="76"/>
      <c r="Q538" s="76"/>
      <c r="R538" s="76"/>
      <c r="S538" s="76"/>
      <c r="T538" s="76"/>
      <c r="U538" s="76"/>
      <c r="V538" s="76"/>
      <c r="W538" s="76"/>
      <c r="X538" s="81" t="n">
        <v>33</v>
      </c>
      <c r="Y538" s="81" t="n">
        <v>28</v>
      </c>
      <c r="Z538" s="81" t="n">
        <v>26</v>
      </c>
      <c r="AA538" s="81" t="n">
        <v>16</v>
      </c>
    </row>
    <row r="539" customFormat="false" ht="15" hidden="false" customHeight="true" outlineLevel="0" collapsed="false">
      <c r="A539" s="82" t="s">
        <v>527</v>
      </c>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81" t="n">
        <v>33</v>
      </c>
      <c r="Z539" s="81" t="n">
        <v>28</v>
      </c>
      <c r="AA539" s="81" t="n">
        <v>26</v>
      </c>
    </row>
    <row r="540" customFormat="false" ht="15" hidden="false" customHeight="true" outlineLevel="0" collapsed="false">
      <c r="A540" s="82" t="s">
        <v>528</v>
      </c>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81" t="n">
        <v>33</v>
      </c>
      <c r="AA540" s="81" t="n">
        <v>28</v>
      </c>
    </row>
    <row r="541" customFormat="false" ht="15" hidden="false" customHeight="true" outlineLevel="0" collapsed="false">
      <c r="A541" s="82" t="s">
        <v>529</v>
      </c>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81" t="n">
        <v>33</v>
      </c>
    </row>
    <row r="542" customFormat="false" ht="15" hidden="false" customHeight="true" outlineLevel="0" collapsed="false">
      <c r="A542" s="34" t="s">
        <v>514</v>
      </c>
      <c r="B542" s="79"/>
      <c r="C542" s="79"/>
      <c r="D542" s="79"/>
      <c r="E542" s="79"/>
      <c r="F542" s="79"/>
      <c r="G542" s="79"/>
      <c r="H542" s="79"/>
      <c r="I542" s="79"/>
      <c r="J542" s="79"/>
      <c r="K542" s="79"/>
      <c r="L542" s="79"/>
      <c r="M542" s="79" t="n">
        <v>24</v>
      </c>
      <c r="N542" s="79" t="n">
        <v>20</v>
      </c>
      <c r="O542" s="79" t="n">
        <v>54</v>
      </c>
      <c r="P542" s="79" t="n">
        <v>72</v>
      </c>
      <c r="Q542" s="79" t="n">
        <v>61</v>
      </c>
      <c r="R542" s="79" t="n">
        <v>72</v>
      </c>
      <c r="S542" s="79" t="n">
        <v>75</v>
      </c>
      <c r="T542" s="79" t="n">
        <v>66</v>
      </c>
      <c r="U542" s="79" t="n">
        <v>91</v>
      </c>
      <c r="V542" s="79" t="n">
        <v>100</v>
      </c>
      <c r="W542" s="79" t="n">
        <v>107</v>
      </c>
      <c r="X542" s="79" t="n">
        <v>108</v>
      </c>
      <c r="Y542" s="79" t="n">
        <v>125</v>
      </c>
      <c r="Z542" s="79" t="n">
        <v>120</v>
      </c>
      <c r="AA542" s="79" t="n">
        <v>120</v>
      </c>
    </row>
    <row r="544" customFormat="false" ht="19.5" hidden="false" customHeight="true" outlineLevel="0" collapsed="false">
      <c r="A544" s="65" t="s">
        <v>430</v>
      </c>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row>
    <row r="545" customFormat="false" ht="15" hidden="false" customHeight="true" outlineLevel="0" collapsed="false">
      <c r="A545" s="80" t="s">
        <v>530</v>
      </c>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c r="AA545" s="80"/>
    </row>
    <row r="546" customFormat="false" ht="15" hidden="false" customHeight="true" outlineLevel="0" collapsed="false">
      <c r="A546" s="12" t="s">
        <v>513</v>
      </c>
      <c r="B546" s="12" t="s">
        <v>113</v>
      </c>
      <c r="C546" s="12" t="s">
        <v>114</v>
      </c>
      <c r="D546" s="12" t="s">
        <v>115</v>
      </c>
      <c r="E546" s="12" t="s">
        <v>116</v>
      </c>
      <c r="F546" s="12" t="s">
        <v>117</v>
      </c>
      <c r="G546" s="12" t="s">
        <v>118</v>
      </c>
      <c r="H546" s="12" t="s">
        <v>119</v>
      </c>
      <c r="I546" s="12" t="s">
        <v>120</v>
      </c>
      <c r="J546" s="12" t="s">
        <v>121</v>
      </c>
      <c r="K546" s="12" t="s">
        <v>122</v>
      </c>
      <c r="L546" s="12" t="s">
        <v>123</v>
      </c>
      <c r="M546" s="12" t="s">
        <v>124</v>
      </c>
      <c r="N546" s="12" t="s">
        <v>125</v>
      </c>
      <c r="O546" s="12" t="s">
        <v>126</v>
      </c>
      <c r="P546" s="12" t="s">
        <v>127</v>
      </c>
      <c r="Q546" s="12" t="s">
        <v>128</v>
      </c>
      <c r="R546" s="12" t="s">
        <v>129</v>
      </c>
      <c r="S546" s="12" t="s">
        <v>130</v>
      </c>
      <c r="T546" s="12" t="s">
        <v>131</v>
      </c>
      <c r="U546" s="12" t="s">
        <v>132</v>
      </c>
      <c r="V546" s="12" t="s">
        <v>518</v>
      </c>
      <c r="W546" s="12" t="s">
        <v>519</v>
      </c>
      <c r="X546" s="12" t="s">
        <v>520</v>
      </c>
      <c r="Y546" s="12" t="s">
        <v>521</v>
      </c>
      <c r="Z546" s="12" t="s">
        <v>522</v>
      </c>
      <c r="AA546" s="12" t="s">
        <v>523</v>
      </c>
    </row>
    <row r="547" customFormat="false" ht="15" hidden="false" customHeight="true" outlineLevel="0" collapsed="false">
      <c r="A547" s="30" t="s">
        <v>113</v>
      </c>
      <c r="B547" s="74" t="n">
        <v>3</v>
      </c>
      <c r="C547" s="74" t="n">
        <v>3</v>
      </c>
      <c r="D547" s="74" t="n">
        <v>3</v>
      </c>
      <c r="E547" s="74" t="n">
        <v>1</v>
      </c>
      <c r="F547" s="74" t="n">
        <v>0</v>
      </c>
      <c r="G547" s="74" t="n">
        <v>0</v>
      </c>
      <c r="H547" s="74" t="n">
        <v>0</v>
      </c>
      <c r="I547" s="74" t="n">
        <v>0</v>
      </c>
      <c r="J547" s="74" t="n">
        <v>0</v>
      </c>
      <c r="K547" s="74" t="n">
        <v>0</v>
      </c>
      <c r="L547" s="74" t="n">
        <v>0</v>
      </c>
      <c r="M547" s="74" t="n">
        <v>0</v>
      </c>
      <c r="N547" s="74" t="n">
        <v>0</v>
      </c>
      <c r="O547" s="74" t="n">
        <v>0</v>
      </c>
      <c r="P547" s="74" t="n">
        <v>0</v>
      </c>
      <c r="Q547" s="74" t="n">
        <v>0</v>
      </c>
      <c r="R547" s="74" t="n">
        <v>0</v>
      </c>
      <c r="S547" s="74" t="n">
        <v>0</v>
      </c>
      <c r="T547" s="74" t="n">
        <v>0</v>
      </c>
      <c r="U547" s="74" t="n">
        <v>0</v>
      </c>
      <c r="V547" s="81" t="n">
        <v>0</v>
      </c>
      <c r="W547" s="81" t="n">
        <v>0</v>
      </c>
      <c r="X547" s="81" t="n">
        <v>0</v>
      </c>
      <c r="Y547" s="81" t="n">
        <v>0</v>
      </c>
      <c r="Z547" s="81" t="n">
        <v>0</v>
      </c>
      <c r="AA547" s="81" t="n">
        <v>0</v>
      </c>
    </row>
    <row r="548" customFormat="false" ht="15" hidden="false" customHeight="true" outlineLevel="0" collapsed="false">
      <c r="A548" s="30" t="s">
        <v>114</v>
      </c>
      <c r="B548" s="76"/>
      <c r="C548" s="74" t="n">
        <v>47</v>
      </c>
      <c r="D548" s="74" t="n">
        <v>42</v>
      </c>
      <c r="E548" s="74" t="n">
        <v>38</v>
      </c>
      <c r="F548" s="74" t="n">
        <v>38</v>
      </c>
      <c r="G548" s="74" t="n">
        <v>10</v>
      </c>
      <c r="H548" s="74" t="n">
        <v>4</v>
      </c>
      <c r="I548" s="74" t="n">
        <v>3</v>
      </c>
      <c r="J548" s="74" t="n">
        <v>2</v>
      </c>
      <c r="K548" s="74" t="n">
        <v>1</v>
      </c>
      <c r="L548" s="74" t="n">
        <v>1</v>
      </c>
      <c r="M548" s="74" t="n">
        <v>1</v>
      </c>
      <c r="N548" s="74" t="n">
        <v>0</v>
      </c>
      <c r="O548" s="74" t="n">
        <v>0</v>
      </c>
      <c r="P548" s="74" t="n">
        <v>0</v>
      </c>
      <c r="Q548" s="74" t="n">
        <v>0</v>
      </c>
      <c r="R548" s="74" t="n">
        <v>0</v>
      </c>
      <c r="S548" s="74" t="n">
        <v>0</v>
      </c>
      <c r="T548" s="74" t="n">
        <v>0</v>
      </c>
      <c r="U548" s="74" t="n">
        <v>0</v>
      </c>
      <c r="V548" s="81" t="n">
        <v>0</v>
      </c>
      <c r="W548" s="81" t="n">
        <v>0</v>
      </c>
      <c r="X548" s="81" t="n">
        <v>0</v>
      </c>
      <c r="Y548" s="81" t="n">
        <v>0</v>
      </c>
      <c r="Z548" s="81" t="n">
        <v>0</v>
      </c>
      <c r="AA548" s="81" t="n">
        <v>0</v>
      </c>
    </row>
    <row r="549" customFormat="false" ht="15" hidden="false" customHeight="true" outlineLevel="0" collapsed="false">
      <c r="A549" s="30" t="s">
        <v>115</v>
      </c>
      <c r="B549" s="76"/>
      <c r="C549" s="76"/>
      <c r="D549" s="74" t="n">
        <v>35</v>
      </c>
      <c r="E549" s="74" t="n">
        <v>28</v>
      </c>
      <c r="F549" s="74" t="n">
        <v>26</v>
      </c>
      <c r="G549" s="74" t="n">
        <v>24</v>
      </c>
      <c r="H549" s="74" t="n">
        <v>6</v>
      </c>
      <c r="I549" s="74" t="n">
        <v>4</v>
      </c>
      <c r="J549" s="74" t="n">
        <v>2</v>
      </c>
      <c r="K549" s="74" t="n">
        <v>2</v>
      </c>
      <c r="L549" s="74" t="n">
        <v>1</v>
      </c>
      <c r="M549" s="74" t="n">
        <v>0</v>
      </c>
      <c r="N549" s="74" t="n">
        <v>0</v>
      </c>
      <c r="O549" s="74" t="n">
        <v>0</v>
      </c>
      <c r="P549" s="74" t="n">
        <v>0</v>
      </c>
      <c r="Q549" s="74" t="n">
        <v>0</v>
      </c>
      <c r="R549" s="74" t="n">
        <v>0</v>
      </c>
      <c r="S549" s="74" t="n">
        <v>0</v>
      </c>
      <c r="T549" s="74" t="n">
        <v>0</v>
      </c>
      <c r="U549" s="74" t="n">
        <v>0</v>
      </c>
      <c r="V549" s="81" t="n">
        <v>0</v>
      </c>
      <c r="W549" s="81" t="n">
        <v>0</v>
      </c>
      <c r="X549" s="81" t="n">
        <v>0</v>
      </c>
      <c r="Y549" s="81" t="n">
        <v>0</v>
      </c>
      <c r="Z549" s="81" t="n">
        <v>0</v>
      </c>
      <c r="AA549" s="81" t="n">
        <v>0</v>
      </c>
    </row>
    <row r="550" customFormat="false" ht="15" hidden="false" customHeight="true" outlineLevel="0" collapsed="false">
      <c r="A550" s="30" t="s">
        <v>116</v>
      </c>
      <c r="B550" s="76"/>
      <c r="C550" s="76"/>
      <c r="D550" s="76"/>
      <c r="E550" s="74" t="n">
        <v>1</v>
      </c>
      <c r="F550" s="74" t="n">
        <v>1</v>
      </c>
      <c r="G550" s="74" t="n">
        <v>1</v>
      </c>
      <c r="H550" s="74" t="n">
        <v>0</v>
      </c>
      <c r="I550" s="74" t="n">
        <v>0</v>
      </c>
      <c r="J550" s="74" t="n">
        <v>0</v>
      </c>
      <c r="K550" s="74" t="n">
        <v>0</v>
      </c>
      <c r="L550" s="74" t="n">
        <v>0</v>
      </c>
      <c r="M550" s="74" t="n">
        <v>0</v>
      </c>
      <c r="N550" s="74" t="n">
        <v>0</v>
      </c>
      <c r="O550" s="74" t="n">
        <v>0</v>
      </c>
      <c r="P550" s="74" t="n">
        <v>0</v>
      </c>
      <c r="Q550" s="74" t="n">
        <v>0</v>
      </c>
      <c r="R550" s="74" t="n">
        <v>0</v>
      </c>
      <c r="S550" s="74" t="n">
        <v>0</v>
      </c>
      <c r="T550" s="74" t="n">
        <v>0</v>
      </c>
      <c r="U550" s="74" t="n">
        <v>0</v>
      </c>
      <c r="V550" s="81" t="n">
        <v>0</v>
      </c>
      <c r="W550" s="81" t="n">
        <v>0</v>
      </c>
      <c r="X550" s="81" t="n">
        <v>0</v>
      </c>
      <c r="Y550" s="81" t="n">
        <v>0</v>
      </c>
      <c r="Z550" s="81" t="n">
        <v>0</v>
      </c>
      <c r="AA550" s="81" t="n">
        <v>0</v>
      </c>
    </row>
    <row r="551" customFormat="false" ht="15" hidden="false" customHeight="true" outlineLevel="0" collapsed="false">
      <c r="A551" s="30" t="s">
        <v>117</v>
      </c>
      <c r="B551" s="76"/>
      <c r="C551" s="76"/>
      <c r="D551" s="76"/>
      <c r="E551" s="76"/>
      <c r="F551" s="74" t="n">
        <v>42</v>
      </c>
      <c r="G551" s="74" t="n">
        <v>35</v>
      </c>
      <c r="H551" s="74" t="n">
        <v>31</v>
      </c>
      <c r="I551" s="74" t="n">
        <v>32</v>
      </c>
      <c r="J551" s="74" t="n">
        <v>11</v>
      </c>
      <c r="K551" s="74" t="n">
        <v>5</v>
      </c>
      <c r="L551" s="74" t="n">
        <v>7</v>
      </c>
      <c r="M551" s="74" t="n">
        <v>3</v>
      </c>
      <c r="N551" s="74" t="n">
        <v>2</v>
      </c>
      <c r="O551" s="74" t="n">
        <v>2</v>
      </c>
      <c r="P551" s="74" t="n">
        <v>1</v>
      </c>
      <c r="Q551" s="74" t="n">
        <v>1</v>
      </c>
      <c r="R551" s="74" t="n">
        <v>1</v>
      </c>
      <c r="S551" s="74" t="n">
        <v>1</v>
      </c>
      <c r="T551" s="74" t="n">
        <v>0</v>
      </c>
      <c r="U551" s="74" t="n">
        <v>0</v>
      </c>
      <c r="V551" s="81" t="n">
        <v>0</v>
      </c>
      <c r="W551" s="81" t="n">
        <v>0</v>
      </c>
      <c r="X551" s="81" t="n">
        <v>0</v>
      </c>
      <c r="Y551" s="81" t="n">
        <v>0</v>
      </c>
      <c r="Z551" s="81" t="n">
        <v>0</v>
      </c>
      <c r="AA551" s="81" t="n">
        <v>0</v>
      </c>
    </row>
    <row r="552" customFormat="false" ht="15" hidden="false" customHeight="true" outlineLevel="0" collapsed="false">
      <c r="A552" s="30" t="s">
        <v>118</v>
      </c>
      <c r="B552" s="76"/>
      <c r="C552" s="76"/>
      <c r="D552" s="76"/>
      <c r="E552" s="76"/>
      <c r="F552" s="76"/>
      <c r="G552" s="74" t="n">
        <v>30</v>
      </c>
      <c r="H552" s="74" t="n">
        <v>25</v>
      </c>
      <c r="I552" s="74" t="n">
        <v>26</v>
      </c>
      <c r="J552" s="74" t="n">
        <v>26</v>
      </c>
      <c r="K552" s="74" t="n">
        <v>7</v>
      </c>
      <c r="L552" s="74" t="n">
        <v>6</v>
      </c>
      <c r="M552" s="74" t="n">
        <v>4</v>
      </c>
      <c r="N552" s="74" t="n">
        <v>2</v>
      </c>
      <c r="O552" s="74" t="n">
        <v>2</v>
      </c>
      <c r="P552" s="74" t="n">
        <v>1</v>
      </c>
      <c r="Q552" s="74" t="n">
        <v>1</v>
      </c>
      <c r="R552" s="74" t="n">
        <v>1</v>
      </c>
      <c r="S552" s="74" t="n">
        <v>0</v>
      </c>
      <c r="T552" s="74" t="n">
        <v>0</v>
      </c>
      <c r="U552" s="74" t="n">
        <v>0</v>
      </c>
      <c r="V552" s="81" t="n">
        <v>0</v>
      </c>
      <c r="W552" s="81" t="n">
        <v>0</v>
      </c>
      <c r="X552" s="81" t="n">
        <v>0</v>
      </c>
      <c r="Y552" s="81" t="n">
        <v>0</v>
      </c>
      <c r="Z552" s="81" t="n">
        <v>0</v>
      </c>
      <c r="AA552" s="81" t="n">
        <v>0</v>
      </c>
    </row>
    <row r="553" customFormat="false" ht="15" hidden="false" customHeight="true" outlineLevel="0" collapsed="false">
      <c r="A553" s="30" t="s">
        <v>119</v>
      </c>
      <c r="B553" s="76"/>
      <c r="C553" s="76"/>
      <c r="D553" s="76"/>
      <c r="E553" s="76"/>
      <c r="F553" s="76"/>
      <c r="G553" s="76"/>
      <c r="H553" s="74" t="n">
        <v>7</v>
      </c>
      <c r="I553" s="74" t="n">
        <v>7</v>
      </c>
      <c r="J553" s="74" t="n">
        <v>4</v>
      </c>
      <c r="K553" s="74" t="n">
        <v>1</v>
      </c>
      <c r="L553" s="74" t="n">
        <v>0</v>
      </c>
      <c r="M553" s="74" t="n">
        <v>0</v>
      </c>
      <c r="N553" s="74" t="n">
        <v>0</v>
      </c>
      <c r="O553" s="74" t="n">
        <v>0</v>
      </c>
      <c r="P553" s="74" t="n">
        <v>0</v>
      </c>
      <c r="Q553" s="74" t="n">
        <v>0</v>
      </c>
      <c r="R553" s="74" t="n">
        <v>0</v>
      </c>
      <c r="S553" s="74" t="n">
        <v>0</v>
      </c>
      <c r="T553" s="74" t="n">
        <v>0</v>
      </c>
      <c r="U553" s="74" t="n">
        <v>0</v>
      </c>
      <c r="V553" s="81" t="n">
        <v>0</v>
      </c>
      <c r="W553" s="81" t="n">
        <v>0</v>
      </c>
      <c r="X553" s="81" t="n">
        <v>0</v>
      </c>
      <c r="Y553" s="81" t="n">
        <v>0</v>
      </c>
      <c r="Z553" s="81" t="n">
        <v>0</v>
      </c>
      <c r="AA553" s="81" t="n">
        <v>0</v>
      </c>
    </row>
    <row r="554" customFormat="false" ht="15" hidden="false" customHeight="true" outlineLevel="0" collapsed="false">
      <c r="A554" s="30" t="s">
        <v>120</v>
      </c>
      <c r="B554" s="76"/>
      <c r="C554" s="76"/>
      <c r="D554" s="76"/>
      <c r="E554" s="76"/>
      <c r="F554" s="76"/>
      <c r="G554" s="76"/>
      <c r="H554" s="76"/>
      <c r="I554" s="74" t="n">
        <v>32</v>
      </c>
      <c r="J554" s="74" t="n">
        <v>21</v>
      </c>
      <c r="K554" s="74" t="n">
        <v>16</v>
      </c>
      <c r="L554" s="74" t="n">
        <v>14</v>
      </c>
      <c r="M554" s="74" t="n">
        <v>3</v>
      </c>
      <c r="N554" s="74" t="n">
        <v>2</v>
      </c>
      <c r="O554" s="74" t="n">
        <v>1</v>
      </c>
      <c r="P554" s="74" t="n">
        <v>1</v>
      </c>
      <c r="Q554" s="74" t="n">
        <v>0</v>
      </c>
      <c r="R554" s="74" t="n">
        <v>2</v>
      </c>
      <c r="S554" s="74" t="n">
        <v>2</v>
      </c>
      <c r="T554" s="74" t="n">
        <v>1</v>
      </c>
      <c r="U554" s="74" t="n">
        <v>1</v>
      </c>
      <c r="V554" s="81" t="n">
        <v>0</v>
      </c>
      <c r="W554" s="81" t="n">
        <v>0</v>
      </c>
      <c r="X554" s="81" t="n">
        <v>0</v>
      </c>
      <c r="Y554" s="81" t="n">
        <v>0</v>
      </c>
      <c r="Z554" s="81" t="n">
        <v>0</v>
      </c>
      <c r="AA554" s="81" t="n">
        <v>0</v>
      </c>
    </row>
    <row r="555" customFormat="false" ht="15" hidden="false" customHeight="true" outlineLevel="0" collapsed="false">
      <c r="A555" s="30" t="s">
        <v>121</v>
      </c>
      <c r="B555" s="76"/>
      <c r="C555" s="76"/>
      <c r="D555" s="76"/>
      <c r="E555" s="76"/>
      <c r="F555" s="76"/>
      <c r="G555" s="76"/>
      <c r="H555" s="76"/>
      <c r="I555" s="76"/>
      <c r="J555" s="74" t="n">
        <v>17</v>
      </c>
      <c r="K555" s="74" t="n">
        <v>9</v>
      </c>
      <c r="L555" s="74" t="n">
        <v>14</v>
      </c>
      <c r="M555" s="74" t="n">
        <v>10</v>
      </c>
      <c r="N555" s="74" t="n">
        <v>1</v>
      </c>
      <c r="O555" s="74" t="n">
        <v>1</v>
      </c>
      <c r="P555" s="74" t="n">
        <v>1</v>
      </c>
      <c r="Q555" s="74" t="n">
        <v>1</v>
      </c>
      <c r="R555" s="74" t="n">
        <v>0</v>
      </c>
      <c r="S555" s="74" t="n">
        <v>0</v>
      </c>
      <c r="T555" s="74" t="n">
        <v>0</v>
      </c>
      <c r="U555" s="74" t="n">
        <v>0</v>
      </c>
      <c r="V555" s="81" t="n">
        <v>0</v>
      </c>
      <c r="W555" s="81" t="n">
        <v>0</v>
      </c>
      <c r="X555" s="81" t="n">
        <v>0</v>
      </c>
      <c r="Y555" s="81" t="n">
        <v>0</v>
      </c>
      <c r="Z555" s="81" t="n">
        <v>0</v>
      </c>
      <c r="AA555" s="81" t="n">
        <v>0</v>
      </c>
    </row>
    <row r="556" customFormat="false" ht="15" hidden="false" customHeight="true" outlineLevel="0" collapsed="false">
      <c r="A556" s="30" t="s">
        <v>122</v>
      </c>
      <c r="B556" s="76"/>
      <c r="C556" s="76"/>
      <c r="D556" s="76"/>
      <c r="E556" s="76"/>
      <c r="F556" s="76"/>
      <c r="G556" s="76"/>
      <c r="H556" s="76"/>
      <c r="I556" s="76"/>
      <c r="J556" s="76"/>
      <c r="K556" s="74" t="n">
        <v>9</v>
      </c>
      <c r="L556" s="74" t="n">
        <v>9</v>
      </c>
      <c r="M556" s="74" t="n">
        <v>5</v>
      </c>
      <c r="N556" s="74" t="n">
        <v>1</v>
      </c>
      <c r="O556" s="74" t="n">
        <v>1</v>
      </c>
      <c r="P556" s="74" t="n">
        <v>0</v>
      </c>
      <c r="Q556" s="74" t="n">
        <v>0</v>
      </c>
      <c r="R556" s="74" t="n">
        <v>0</v>
      </c>
      <c r="S556" s="74" t="n">
        <v>0</v>
      </c>
      <c r="T556" s="74" t="n">
        <v>0</v>
      </c>
      <c r="U556" s="74" t="n">
        <v>0</v>
      </c>
      <c r="V556" s="81" t="n">
        <v>0</v>
      </c>
      <c r="W556" s="81" t="n">
        <v>0</v>
      </c>
      <c r="X556" s="81" t="n">
        <v>0</v>
      </c>
      <c r="Y556" s="81" t="n">
        <v>0</v>
      </c>
      <c r="Z556" s="81" t="n">
        <v>0</v>
      </c>
      <c r="AA556" s="81" t="n">
        <v>0</v>
      </c>
    </row>
    <row r="557" customFormat="false" ht="15" hidden="false" customHeight="true" outlineLevel="0" collapsed="false">
      <c r="A557" s="30" t="s">
        <v>123</v>
      </c>
      <c r="B557" s="76"/>
      <c r="C557" s="76"/>
      <c r="D557" s="76"/>
      <c r="E557" s="76"/>
      <c r="F557" s="76"/>
      <c r="G557" s="76"/>
      <c r="H557" s="76"/>
      <c r="I557" s="76"/>
      <c r="J557" s="76"/>
      <c r="K557" s="76"/>
      <c r="L557" s="74" t="n">
        <v>23</v>
      </c>
      <c r="M557" s="74" t="n">
        <v>21</v>
      </c>
      <c r="N557" s="74" t="n">
        <v>19</v>
      </c>
      <c r="O557" s="74" t="n">
        <v>20</v>
      </c>
      <c r="P557" s="74" t="n">
        <v>3</v>
      </c>
      <c r="Q557" s="74" t="n">
        <v>3</v>
      </c>
      <c r="R557" s="74" t="n">
        <v>2</v>
      </c>
      <c r="S557" s="74" t="n">
        <v>0</v>
      </c>
      <c r="T557" s="74" t="n">
        <v>0</v>
      </c>
      <c r="U557" s="74" t="n">
        <v>0</v>
      </c>
      <c r="V557" s="81" t="n">
        <v>0</v>
      </c>
      <c r="W557" s="81" t="n">
        <v>0</v>
      </c>
      <c r="X557" s="81" t="n">
        <v>0</v>
      </c>
      <c r="Y557" s="81" t="n">
        <v>0</v>
      </c>
      <c r="Z557" s="81" t="n">
        <v>0</v>
      </c>
      <c r="AA557" s="81" t="n">
        <v>0</v>
      </c>
    </row>
    <row r="558" customFormat="false" ht="15" hidden="false" customHeight="true" outlineLevel="0" collapsed="false">
      <c r="A558" s="30" t="s">
        <v>124</v>
      </c>
      <c r="B558" s="76"/>
      <c r="C558" s="76"/>
      <c r="D558" s="76"/>
      <c r="E558" s="76"/>
      <c r="F558" s="76"/>
      <c r="G558" s="76"/>
      <c r="H558" s="76"/>
      <c r="I558" s="76"/>
      <c r="J558" s="76"/>
      <c r="K558" s="76"/>
      <c r="L558" s="76"/>
      <c r="M558" s="74" t="n">
        <v>16</v>
      </c>
      <c r="N558" s="74" t="n">
        <v>13</v>
      </c>
      <c r="O558" s="74" t="n">
        <v>12</v>
      </c>
      <c r="P558" s="74" t="n">
        <v>9</v>
      </c>
      <c r="Q558" s="74" t="n">
        <v>2</v>
      </c>
      <c r="R558" s="74" t="n">
        <v>1</v>
      </c>
      <c r="S558" s="74" t="n">
        <v>1</v>
      </c>
      <c r="T558" s="74" t="n">
        <v>1</v>
      </c>
      <c r="U558" s="74" t="n">
        <v>1</v>
      </c>
      <c r="V558" s="81" t="n">
        <v>1</v>
      </c>
      <c r="W558" s="81" t="n">
        <v>1</v>
      </c>
      <c r="X558" s="81" t="n">
        <v>0</v>
      </c>
      <c r="Y558" s="81" t="n">
        <v>0</v>
      </c>
      <c r="Z558" s="81" t="n">
        <v>0</v>
      </c>
      <c r="AA558" s="81" t="n">
        <v>0</v>
      </c>
    </row>
    <row r="559" customFormat="false" ht="15" hidden="false" customHeight="true" outlineLevel="0" collapsed="false">
      <c r="A559" s="30" t="s">
        <v>125</v>
      </c>
      <c r="B559" s="76"/>
      <c r="C559" s="76"/>
      <c r="D559" s="76"/>
      <c r="E559" s="76"/>
      <c r="F559" s="76"/>
      <c r="G559" s="76"/>
      <c r="H559" s="76"/>
      <c r="I559" s="76"/>
      <c r="J559" s="76"/>
      <c r="K559" s="76"/>
      <c r="L559" s="76"/>
      <c r="M559" s="76"/>
      <c r="N559" s="74" t="n">
        <v>2</v>
      </c>
      <c r="O559" s="74" t="n">
        <v>2</v>
      </c>
      <c r="P559" s="74" t="n">
        <v>1</v>
      </c>
      <c r="Q559" s="74" t="n">
        <v>0</v>
      </c>
      <c r="R559" s="74" t="n">
        <v>0</v>
      </c>
      <c r="S559" s="74" t="n">
        <v>0</v>
      </c>
      <c r="T559" s="74" t="n">
        <v>0</v>
      </c>
      <c r="U559" s="74" t="n">
        <v>0</v>
      </c>
      <c r="V559" s="81" t="n">
        <v>0</v>
      </c>
      <c r="W559" s="81" t="n">
        <v>0</v>
      </c>
      <c r="X559" s="81" t="n">
        <v>0</v>
      </c>
      <c r="Y559" s="81" t="n">
        <v>0</v>
      </c>
      <c r="Z559" s="81" t="n">
        <v>0</v>
      </c>
      <c r="AA559" s="81" t="n">
        <v>0</v>
      </c>
    </row>
    <row r="560" customFormat="false" ht="15" hidden="false" customHeight="true" outlineLevel="0" collapsed="false">
      <c r="A560" s="30" t="s">
        <v>126</v>
      </c>
      <c r="B560" s="76"/>
      <c r="C560" s="76"/>
      <c r="D560" s="76"/>
      <c r="E560" s="76"/>
      <c r="F560" s="76"/>
      <c r="G560" s="76"/>
      <c r="H560" s="76"/>
      <c r="I560" s="76"/>
      <c r="J560" s="76"/>
      <c r="K560" s="76"/>
      <c r="L560" s="76"/>
      <c r="M560" s="76"/>
      <c r="N560" s="76"/>
      <c r="O560" s="74" t="n">
        <v>24</v>
      </c>
      <c r="P560" s="74" t="n">
        <v>21</v>
      </c>
      <c r="Q560" s="74" t="n">
        <v>17</v>
      </c>
      <c r="R560" s="74" t="n">
        <v>17</v>
      </c>
      <c r="S560" s="74" t="n">
        <v>7</v>
      </c>
      <c r="T560" s="74" t="n">
        <v>2</v>
      </c>
      <c r="U560" s="74" t="n">
        <v>1</v>
      </c>
      <c r="V560" s="81" t="n">
        <v>1</v>
      </c>
      <c r="W560" s="81" t="n">
        <v>0</v>
      </c>
      <c r="X560" s="81" t="n">
        <v>0</v>
      </c>
      <c r="Y560" s="81" t="n">
        <v>0</v>
      </c>
      <c r="Z560" s="81" t="n">
        <v>0</v>
      </c>
      <c r="AA560" s="81" t="n">
        <v>0</v>
      </c>
    </row>
    <row r="561" customFormat="false" ht="15" hidden="false" customHeight="true" outlineLevel="0" collapsed="false">
      <c r="A561" s="30" t="s">
        <v>127</v>
      </c>
      <c r="B561" s="76"/>
      <c r="C561" s="76"/>
      <c r="D561" s="76"/>
      <c r="E561" s="76"/>
      <c r="F561" s="76"/>
      <c r="G561" s="76"/>
      <c r="H561" s="76"/>
      <c r="I561" s="76"/>
      <c r="J561" s="76"/>
      <c r="K561" s="76"/>
      <c r="L561" s="76"/>
      <c r="M561" s="76"/>
      <c r="N561" s="76"/>
      <c r="O561" s="76"/>
      <c r="P561" s="74" t="n">
        <v>22</v>
      </c>
      <c r="Q561" s="74" t="n">
        <v>13</v>
      </c>
      <c r="R561" s="74" t="n">
        <v>13</v>
      </c>
      <c r="S561" s="74" t="n">
        <v>14</v>
      </c>
      <c r="T561" s="74" t="n">
        <v>2</v>
      </c>
      <c r="U561" s="74" t="n">
        <v>3</v>
      </c>
      <c r="V561" s="81" t="n">
        <v>2</v>
      </c>
      <c r="W561" s="81" t="n">
        <v>1</v>
      </c>
      <c r="X561" s="81" t="n">
        <v>1</v>
      </c>
      <c r="Y561" s="81" t="n">
        <v>1</v>
      </c>
      <c r="Z561" s="81" t="n">
        <v>1</v>
      </c>
      <c r="AA561" s="81" t="n">
        <v>0</v>
      </c>
    </row>
    <row r="562" customFormat="false" ht="15" hidden="false" customHeight="true" outlineLevel="0" collapsed="false">
      <c r="A562" s="30" t="s">
        <v>128</v>
      </c>
      <c r="B562" s="76"/>
      <c r="C562" s="76"/>
      <c r="D562" s="76"/>
      <c r="E562" s="76"/>
      <c r="F562" s="76"/>
      <c r="G562" s="76"/>
      <c r="H562" s="76"/>
      <c r="I562" s="76"/>
      <c r="J562" s="76"/>
      <c r="K562" s="76"/>
      <c r="L562" s="76"/>
      <c r="M562" s="76"/>
      <c r="N562" s="76"/>
      <c r="O562" s="76"/>
      <c r="P562" s="76"/>
      <c r="Q562" s="74" t="n">
        <v>8</v>
      </c>
      <c r="R562" s="74" t="n">
        <v>8</v>
      </c>
      <c r="S562" s="74" t="n">
        <v>4</v>
      </c>
      <c r="T562" s="74" t="n">
        <v>0</v>
      </c>
      <c r="U562" s="74" t="n">
        <v>0</v>
      </c>
      <c r="V562" s="81" t="n">
        <v>0</v>
      </c>
      <c r="W562" s="81" t="n">
        <v>0</v>
      </c>
      <c r="X562" s="81" t="n">
        <v>0</v>
      </c>
      <c r="Y562" s="81" t="n">
        <v>0</v>
      </c>
      <c r="Z562" s="81" t="n">
        <v>0</v>
      </c>
      <c r="AA562" s="81" t="n">
        <v>0</v>
      </c>
    </row>
    <row r="563" customFormat="false" ht="15" hidden="false" customHeight="true" outlineLevel="0" collapsed="false">
      <c r="A563" s="30" t="s">
        <v>129</v>
      </c>
      <c r="B563" s="76"/>
      <c r="C563" s="76"/>
      <c r="D563" s="76"/>
      <c r="E563" s="76"/>
      <c r="F563" s="76"/>
      <c r="G563" s="76"/>
      <c r="H563" s="76"/>
      <c r="I563" s="76"/>
      <c r="J563" s="76"/>
      <c r="K563" s="76"/>
      <c r="L563" s="76"/>
      <c r="M563" s="76"/>
      <c r="N563" s="76"/>
      <c r="O563" s="76"/>
      <c r="P563" s="76"/>
      <c r="Q563" s="76"/>
      <c r="R563" s="74" t="n">
        <v>27</v>
      </c>
      <c r="S563" s="74" t="n">
        <v>23</v>
      </c>
      <c r="T563" s="74" t="n">
        <v>22</v>
      </c>
      <c r="U563" s="74" t="n">
        <v>21</v>
      </c>
      <c r="V563" s="81" t="n">
        <v>5</v>
      </c>
      <c r="W563" s="81" t="n">
        <v>3</v>
      </c>
      <c r="X563" s="81" t="n">
        <v>3</v>
      </c>
      <c r="Y563" s="81" t="n">
        <v>1</v>
      </c>
      <c r="Z563" s="81" t="n">
        <v>1</v>
      </c>
      <c r="AA563" s="81" t="n">
        <v>1</v>
      </c>
    </row>
    <row r="564" customFormat="false" ht="15" hidden="false" customHeight="true" outlineLevel="0" collapsed="false">
      <c r="A564" s="30" t="s">
        <v>130</v>
      </c>
      <c r="B564" s="76"/>
      <c r="C564" s="76"/>
      <c r="D564" s="76"/>
      <c r="E564" s="76"/>
      <c r="F564" s="76"/>
      <c r="G564" s="76"/>
      <c r="H564" s="76"/>
      <c r="I564" s="76"/>
      <c r="J564" s="76"/>
      <c r="K564" s="76"/>
      <c r="L564" s="76"/>
      <c r="M564" s="76"/>
      <c r="N564" s="76"/>
      <c r="O564" s="76"/>
      <c r="P564" s="76"/>
      <c r="Q564" s="76"/>
      <c r="R564" s="76"/>
      <c r="S564" s="74" t="n">
        <v>21</v>
      </c>
      <c r="T564" s="74" t="n">
        <v>18</v>
      </c>
      <c r="U564" s="74" t="n">
        <v>14</v>
      </c>
      <c r="V564" s="81" t="n">
        <v>13</v>
      </c>
      <c r="W564" s="81" t="n">
        <v>3</v>
      </c>
      <c r="X564" s="81" t="n">
        <v>2</v>
      </c>
      <c r="Y564" s="81" t="n">
        <v>2</v>
      </c>
      <c r="Z564" s="81" t="n">
        <v>1</v>
      </c>
      <c r="AA564" s="81" t="n">
        <v>1</v>
      </c>
    </row>
    <row r="565" customFormat="false" ht="15" hidden="false" customHeight="true" outlineLevel="0" collapsed="false">
      <c r="A565" s="30" t="s">
        <v>131</v>
      </c>
      <c r="B565" s="76"/>
      <c r="C565" s="76"/>
      <c r="D565" s="76"/>
      <c r="E565" s="76"/>
      <c r="F565" s="76"/>
      <c r="G565" s="76"/>
      <c r="H565" s="76"/>
      <c r="I565" s="76"/>
      <c r="J565" s="76"/>
      <c r="K565" s="76"/>
      <c r="L565" s="76"/>
      <c r="M565" s="76"/>
      <c r="N565" s="76"/>
      <c r="O565" s="76"/>
      <c r="P565" s="76"/>
      <c r="Q565" s="76"/>
      <c r="R565" s="76"/>
      <c r="S565" s="76"/>
      <c r="T565" s="74" t="n">
        <v>9</v>
      </c>
      <c r="U565" s="74" t="n">
        <v>9</v>
      </c>
      <c r="V565" s="81" t="n">
        <v>8</v>
      </c>
      <c r="W565" s="81" t="n">
        <v>7</v>
      </c>
      <c r="X565" s="81" t="n">
        <v>2</v>
      </c>
      <c r="Y565" s="81" t="n">
        <v>1</v>
      </c>
      <c r="Z565" s="81" t="n">
        <v>1</v>
      </c>
      <c r="AA565" s="81" t="n">
        <v>1</v>
      </c>
    </row>
    <row r="566" customFormat="false" ht="15" hidden="false" customHeight="true" outlineLevel="0" collapsed="false">
      <c r="A566" s="30" t="s">
        <v>132</v>
      </c>
      <c r="B566" s="76"/>
      <c r="C566" s="76"/>
      <c r="D566" s="76"/>
      <c r="E566" s="76"/>
      <c r="F566" s="76"/>
      <c r="G566" s="76"/>
      <c r="H566" s="76"/>
      <c r="I566" s="76"/>
      <c r="J566" s="76"/>
      <c r="K566" s="76"/>
      <c r="L566" s="76"/>
      <c r="M566" s="76"/>
      <c r="N566" s="76"/>
      <c r="O566" s="76"/>
      <c r="P566" s="76"/>
      <c r="Q566" s="76"/>
      <c r="R566" s="76"/>
      <c r="S566" s="76"/>
      <c r="T566" s="76"/>
      <c r="U566" s="74" t="n">
        <v>27</v>
      </c>
      <c r="V566" s="81" t="n">
        <v>22</v>
      </c>
      <c r="W566" s="81" t="n">
        <v>20</v>
      </c>
      <c r="X566" s="81" t="n">
        <v>18</v>
      </c>
      <c r="Y566" s="81" t="n">
        <v>5</v>
      </c>
      <c r="Z566" s="81" t="n">
        <v>3</v>
      </c>
      <c r="AA566" s="81" t="n">
        <v>2</v>
      </c>
    </row>
    <row r="567" customFormat="false" ht="15" hidden="false" customHeight="true" outlineLevel="0" collapsed="false">
      <c r="A567" s="82" t="s">
        <v>524</v>
      </c>
      <c r="B567" s="76"/>
      <c r="C567" s="76"/>
      <c r="D567" s="76"/>
      <c r="E567" s="76"/>
      <c r="F567" s="76"/>
      <c r="G567" s="76"/>
      <c r="H567" s="76"/>
      <c r="I567" s="76"/>
      <c r="J567" s="76"/>
      <c r="K567" s="76"/>
      <c r="L567" s="76"/>
      <c r="M567" s="76"/>
      <c r="N567" s="76"/>
      <c r="O567" s="76"/>
      <c r="P567" s="76"/>
      <c r="Q567" s="76"/>
      <c r="R567" s="76"/>
      <c r="S567" s="76"/>
      <c r="T567" s="76"/>
      <c r="U567" s="76"/>
      <c r="V567" s="81" t="n">
        <v>19</v>
      </c>
      <c r="W567" s="81" t="n">
        <v>16</v>
      </c>
      <c r="X567" s="81" t="n">
        <v>14</v>
      </c>
      <c r="Y567" s="81" t="n">
        <v>13</v>
      </c>
      <c r="Z567" s="81" t="n">
        <v>3</v>
      </c>
      <c r="AA567" s="81" t="n">
        <v>2</v>
      </c>
    </row>
    <row r="568" customFormat="false" ht="15" hidden="false" customHeight="true" outlineLevel="0" collapsed="false">
      <c r="A568" s="82" t="s">
        <v>525</v>
      </c>
      <c r="B568" s="76"/>
      <c r="C568" s="76"/>
      <c r="D568" s="76"/>
      <c r="E568" s="76"/>
      <c r="F568" s="76"/>
      <c r="G568" s="76"/>
      <c r="H568" s="76"/>
      <c r="I568" s="76"/>
      <c r="J568" s="76"/>
      <c r="K568" s="76"/>
      <c r="L568" s="76"/>
      <c r="M568" s="76"/>
      <c r="N568" s="76"/>
      <c r="O568" s="76"/>
      <c r="P568" s="76"/>
      <c r="Q568" s="76"/>
      <c r="R568" s="76"/>
      <c r="S568" s="76"/>
      <c r="T568" s="76"/>
      <c r="U568" s="76"/>
      <c r="V568" s="76"/>
      <c r="W568" s="81" t="n">
        <v>19</v>
      </c>
      <c r="X568" s="81" t="n">
        <v>16</v>
      </c>
      <c r="Y568" s="81" t="n">
        <v>14</v>
      </c>
      <c r="Z568" s="81" t="n">
        <v>13</v>
      </c>
      <c r="AA568" s="81" t="n">
        <v>3</v>
      </c>
    </row>
    <row r="569" customFormat="false" ht="15" hidden="false" customHeight="true" outlineLevel="0" collapsed="false">
      <c r="A569" s="82" t="s">
        <v>526</v>
      </c>
      <c r="B569" s="76"/>
      <c r="C569" s="76"/>
      <c r="D569" s="76"/>
      <c r="E569" s="76"/>
      <c r="F569" s="76"/>
      <c r="G569" s="76"/>
      <c r="H569" s="76"/>
      <c r="I569" s="76"/>
      <c r="J569" s="76"/>
      <c r="K569" s="76"/>
      <c r="L569" s="76"/>
      <c r="M569" s="76"/>
      <c r="N569" s="76"/>
      <c r="O569" s="76"/>
      <c r="P569" s="76"/>
      <c r="Q569" s="76"/>
      <c r="R569" s="76"/>
      <c r="S569" s="76"/>
      <c r="T569" s="76"/>
      <c r="U569" s="76"/>
      <c r="V569" s="76"/>
      <c r="W569" s="76"/>
      <c r="X569" s="81" t="n">
        <v>19</v>
      </c>
      <c r="Y569" s="81" t="n">
        <v>16</v>
      </c>
      <c r="Z569" s="81" t="n">
        <v>14</v>
      </c>
      <c r="AA569" s="81" t="n">
        <v>13</v>
      </c>
    </row>
    <row r="570" customFormat="false" ht="15" hidden="false" customHeight="true" outlineLevel="0" collapsed="false">
      <c r="A570" s="82" t="s">
        <v>527</v>
      </c>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81" t="n">
        <v>19</v>
      </c>
      <c r="Z570" s="81" t="n">
        <v>16</v>
      </c>
      <c r="AA570" s="81" t="n">
        <v>14</v>
      </c>
    </row>
    <row r="571" customFormat="false" ht="15" hidden="false" customHeight="true" outlineLevel="0" collapsed="false">
      <c r="A571" s="82" t="s">
        <v>528</v>
      </c>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81" t="n">
        <v>19</v>
      </c>
      <c r="AA571" s="81" t="n">
        <v>16</v>
      </c>
    </row>
    <row r="572" customFormat="false" ht="15" hidden="false" customHeight="true" outlineLevel="0" collapsed="false">
      <c r="A572" s="82" t="s">
        <v>529</v>
      </c>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81" t="n">
        <v>19</v>
      </c>
    </row>
    <row r="573" customFormat="false" ht="15" hidden="false" customHeight="true" outlineLevel="0" collapsed="false">
      <c r="A573" s="34" t="s">
        <v>514</v>
      </c>
      <c r="B573" s="79" t="n">
        <v>3</v>
      </c>
      <c r="C573" s="79" t="n">
        <v>50</v>
      </c>
      <c r="D573" s="79" t="n">
        <v>80</v>
      </c>
      <c r="E573" s="79" t="n">
        <v>68</v>
      </c>
      <c r="F573" s="79" t="n">
        <v>107</v>
      </c>
      <c r="G573" s="79" t="n">
        <v>100</v>
      </c>
      <c r="H573" s="79" t="n">
        <v>73</v>
      </c>
      <c r="I573" s="79" t="n">
        <v>104</v>
      </c>
      <c r="J573" s="79" t="n">
        <v>83</v>
      </c>
      <c r="K573" s="79" t="n">
        <v>50</v>
      </c>
      <c r="L573" s="79" t="n">
        <v>75</v>
      </c>
      <c r="M573" s="79" t="n">
        <v>63</v>
      </c>
      <c r="N573" s="79" t="n">
        <v>42</v>
      </c>
      <c r="O573" s="79" t="n">
        <v>65</v>
      </c>
      <c r="P573" s="79" t="n">
        <v>60</v>
      </c>
      <c r="Q573" s="79" t="n">
        <v>46</v>
      </c>
      <c r="R573" s="79" t="n">
        <v>72</v>
      </c>
      <c r="S573" s="79" t="n">
        <v>73</v>
      </c>
      <c r="T573" s="79" t="n">
        <v>55</v>
      </c>
      <c r="U573" s="79" t="n">
        <v>77</v>
      </c>
      <c r="V573" s="79" t="n">
        <v>71</v>
      </c>
      <c r="W573" s="79" t="n">
        <v>71</v>
      </c>
      <c r="X573" s="79" t="n">
        <v>75</v>
      </c>
      <c r="Y573" s="79" t="n">
        <v>71</v>
      </c>
      <c r="Z573" s="79" t="n">
        <v>71</v>
      </c>
      <c r="AA573" s="79" t="n">
        <v>71</v>
      </c>
    </row>
    <row r="575" customFormat="false" ht="19.5" hidden="false" customHeight="true" outlineLevel="0" collapsed="false">
      <c r="A575" s="65" t="s">
        <v>431</v>
      </c>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row>
    <row r="576" customFormat="false" ht="15" hidden="false" customHeight="true" outlineLevel="0" collapsed="false">
      <c r="A576" s="80" t="s">
        <v>517</v>
      </c>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c r="AA576" s="80"/>
    </row>
    <row r="577" customFormat="false" ht="15" hidden="false" customHeight="true" outlineLevel="0" collapsed="false">
      <c r="A577" s="12" t="s">
        <v>513</v>
      </c>
      <c r="B577" s="12" t="s">
        <v>113</v>
      </c>
      <c r="C577" s="12" t="s">
        <v>114</v>
      </c>
      <c r="D577" s="12" t="s">
        <v>115</v>
      </c>
      <c r="E577" s="12" t="s">
        <v>116</v>
      </c>
      <c r="F577" s="12" t="s">
        <v>117</v>
      </c>
      <c r="G577" s="12" t="s">
        <v>118</v>
      </c>
      <c r="H577" s="12" t="s">
        <v>119</v>
      </c>
      <c r="I577" s="12" t="s">
        <v>120</v>
      </c>
      <c r="J577" s="12" t="s">
        <v>121</v>
      </c>
      <c r="K577" s="12" t="s">
        <v>122</v>
      </c>
      <c r="L577" s="12" t="s">
        <v>123</v>
      </c>
      <c r="M577" s="12" t="s">
        <v>124</v>
      </c>
      <c r="N577" s="12" t="s">
        <v>125</v>
      </c>
      <c r="O577" s="12" t="s">
        <v>126</v>
      </c>
      <c r="P577" s="12" t="s">
        <v>127</v>
      </c>
      <c r="Q577" s="12" t="s">
        <v>128</v>
      </c>
      <c r="R577" s="12" t="s">
        <v>129</v>
      </c>
      <c r="S577" s="12" t="s">
        <v>130</v>
      </c>
      <c r="T577" s="12" t="s">
        <v>131</v>
      </c>
      <c r="U577" s="12" t="s">
        <v>132</v>
      </c>
      <c r="V577" s="12" t="s">
        <v>518</v>
      </c>
      <c r="W577" s="12" t="s">
        <v>519</v>
      </c>
      <c r="X577" s="12" t="s">
        <v>520</v>
      </c>
      <c r="Y577" s="12" t="s">
        <v>521</v>
      </c>
      <c r="Z577" s="12" t="s">
        <v>522</v>
      </c>
      <c r="AA577" s="12" t="s">
        <v>523</v>
      </c>
    </row>
    <row r="578" customFormat="false" ht="15" hidden="false" customHeight="true" outlineLevel="0" collapsed="false">
      <c r="A578" s="30" t="s">
        <v>114</v>
      </c>
      <c r="B578" s="76"/>
      <c r="C578" s="74" t="n">
        <v>18</v>
      </c>
      <c r="D578" s="74" t="n">
        <v>15</v>
      </c>
      <c r="E578" s="74" t="n">
        <v>11</v>
      </c>
      <c r="F578" s="74" t="n">
        <v>10</v>
      </c>
      <c r="G578" s="74" t="n">
        <v>10</v>
      </c>
      <c r="H578" s="74" t="n">
        <v>2</v>
      </c>
      <c r="I578" s="74" t="n">
        <v>1</v>
      </c>
      <c r="J578" s="74" t="n">
        <v>1</v>
      </c>
      <c r="K578" s="74" t="n">
        <v>0</v>
      </c>
      <c r="L578" s="74" t="n">
        <v>0</v>
      </c>
      <c r="M578" s="74" t="n">
        <v>0</v>
      </c>
      <c r="N578" s="74" t="n">
        <v>0</v>
      </c>
      <c r="O578" s="74" t="n">
        <v>0</v>
      </c>
      <c r="P578" s="74" t="n">
        <v>0</v>
      </c>
      <c r="Q578" s="74" t="n">
        <v>0</v>
      </c>
      <c r="R578" s="74" t="n">
        <v>0</v>
      </c>
      <c r="S578" s="74" t="n">
        <v>0</v>
      </c>
      <c r="T578" s="74" t="n">
        <v>0</v>
      </c>
      <c r="U578" s="74" t="n">
        <v>0</v>
      </c>
      <c r="V578" s="81" t="n">
        <v>0</v>
      </c>
      <c r="W578" s="81" t="n">
        <v>0</v>
      </c>
      <c r="X578" s="81" t="n">
        <v>0</v>
      </c>
      <c r="Y578" s="81" t="n">
        <v>0</v>
      </c>
      <c r="Z578" s="81" t="n">
        <v>0</v>
      </c>
      <c r="AA578" s="81" t="n">
        <v>0</v>
      </c>
    </row>
    <row r="579" customFormat="false" ht="15" hidden="false" customHeight="true" outlineLevel="0" collapsed="false">
      <c r="A579" s="30" t="s">
        <v>115</v>
      </c>
      <c r="B579" s="76"/>
      <c r="C579" s="76"/>
      <c r="D579" s="74" t="n">
        <v>21</v>
      </c>
      <c r="E579" s="74" t="n">
        <v>19</v>
      </c>
      <c r="F579" s="74" t="n">
        <v>19</v>
      </c>
      <c r="G579" s="74" t="n">
        <v>17</v>
      </c>
      <c r="H579" s="74" t="n">
        <v>18</v>
      </c>
      <c r="I579" s="74" t="n">
        <v>6</v>
      </c>
      <c r="J579" s="74" t="n">
        <v>5</v>
      </c>
      <c r="K579" s="74" t="n">
        <v>1</v>
      </c>
      <c r="L579" s="74" t="n">
        <v>1</v>
      </c>
      <c r="M579" s="74" t="n">
        <v>1</v>
      </c>
      <c r="N579" s="74" t="n">
        <v>0</v>
      </c>
      <c r="O579" s="74" t="n">
        <v>0</v>
      </c>
      <c r="P579" s="74" t="n">
        <v>0</v>
      </c>
      <c r="Q579" s="74" t="n">
        <v>0</v>
      </c>
      <c r="R579" s="74" t="n">
        <v>0</v>
      </c>
      <c r="S579" s="74" t="n">
        <v>0</v>
      </c>
      <c r="T579" s="74" t="n">
        <v>0</v>
      </c>
      <c r="U579" s="74" t="n">
        <v>0</v>
      </c>
      <c r="V579" s="81" t="n">
        <v>0</v>
      </c>
      <c r="W579" s="81" t="n">
        <v>0</v>
      </c>
      <c r="X579" s="81" t="n">
        <v>0</v>
      </c>
      <c r="Y579" s="81" t="n">
        <v>0</v>
      </c>
      <c r="Z579" s="81" t="n">
        <v>0</v>
      </c>
      <c r="AA579" s="81" t="n">
        <v>0</v>
      </c>
    </row>
    <row r="580" customFormat="false" ht="15" hidden="false" customHeight="true" outlineLevel="0" collapsed="false">
      <c r="A580" s="30" t="s">
        <v>117</v>
      </c>
      <c r="B580" s="76"/>
      <c r="C580" s="76"/>
      <c r="D580" s="76"/>
      <c r="E580" s="76"/>
      <c r="F580" s="74" t="n">
        <v>17</v>
      </c>
      <c r="G580" s="74" t="n">
        <v>14</v>
      </c>
      <c r="H580" s="74" t="n">
        <v>11</v>
      </c>
      <c r="I580" s="74" t="n">
        <v>11</v>
      </c>
      <c r="J580" s="74" t="n">
        <v>11</v>
      </c>
      <c r="K580" s="74" t="n">
        <v>2</v>
      </c>
      <c r="L580" s="74" t="n">
        <v>1</v>
      </c>
      <c r="M580" s="74" t="n">
        <v>1</v>
      </c>
      <c r="N580" s="74" t="n">
        <v>1</v>
      </c>
      <c r="O580" s="74" t="n">
        <v>1</v>
      </c>
      <c r="P580" s="74" t="n">
        <v>1</v>
      </c>
      <c r="Q580" s="74" t="n">
        <v>0</v>
      </c>
      <c r="R580" s="74" t="n">
        <v>0</v>
      </c>
      <c r="S580" s="74" t="n">
        <v>0</v>
      </c>
      <c r="T580" s="74" t="n">
        <v>0</v>
      </c>
      <c r="U580" s="74" t="n">
        <v>0</v>
      </c>
      <c r="V580" s="81" t="n">
        <v>0</v>
      </c>
      <c r="W580" s="81" t="n">
        <v>0</v>
      </c>
      <c r="X580" s="81" t="n">
        <v>0</v>
      </c>
      <c r="Y580" s="81" t="n">
        <v>0</v>
      </c>
      <c r="Z580" s="81" t="n">
        <v>0</v>
      </c>
      <c r="AA580" s="81" t="n">
        <v>0</v>
      </c>
    </row>
    <row r="581" customFormat="false" ht="15" hidden="false" customHeight="true" outlineLevel="0" collapsed="false">
      <c r="A581" s="30" t="s">
        <v>118</v>
      </c>
      <c r="B581" s="76"/>
      <c r="C581" s="76"/>
      <c r="D581" s="76"/>
      <c r="E581" s="76"/>
      <c r="F581" s="76"/>
      <c r="G581" s="74" t="n">
        <v>10</v>
      </c>
      <c r="H581" s="74" t="n">
        <v>8</v>
      </c>
      <c r="I581" s="74" t="n">
        <v>8</v>
      </c>
      <c r="J581" s="74" t="n">
        <v>7</v>
      </c>
      <c r="K581" s="74" t="n">
        <v>8</v>
      </c>
      <c r="L581" s="74" t="n">
        <v>2</v>
      </c>
      <c r="M581" s="74" t="n">
        <v>1</v>
      </c>
      <c r="N581" s="74" t="n">
        <v>1</v>
      </c>
      <c r="O581" s="74" t="n">
        <v>0</v>
      </c>
      <c r="P581" s="74" t="n">
        <v>0</v>
      </c>
      <c r="Q581" s="74" t="n">
        <v>0</v>
      </c>
      <c r="R581" s="74" t="n">
        <v>0</v>
      </c>
      <c r="S581" s="74" t="n">
        <v>0</v>
      </c>
      <c r="T581" s="74" t="n">
        <v>0</v>
      </c>
      <c r="U581" s="74" t="n">
        <v>0</v>
      </c>
      <c r="V581" s="81" t="n">
        <v>0</v>
      </c>
      <c r="W581" s="81" t="n">
        <v>0</v>
      </c>
      <c r="X581" s="81" t="n">
        <v>0</v>
      </c>
      <c r="Y581" s="81" t="n">
        <v>0</v>
      </c>
      <c r="Z581" s="81" t="n">
        <v>0</v>
      </c>
      <c r="AA581" s="81" t="n">
        <v>0</v>
      </c>
    </row>
    <row r="582" customFormat="false" ht="15" hidden="false" customHeight="true" outlineLevel="0" collapsed="false">
      <c r="A582" s="30" t="s">
        <v>120</v>
      </c>
      <c r="B582" s="76"/>
      <c r="C582" s="76"/>
      <c r="D582" s="76"/>
      <c r="E582" s="76"/>
      <c r="F582" s="76"/>
      <c r="G582" s="76"/>
      <c r="H582" s="76"/>
      <c r="I582" s="74" t="n">
        <v>10</v>
      </c>
      <c r="J582" s="74" t="n">
        <v>9</v>
      </c>
      <c r="K582" s="74" t="n">
        <v>7</v>
      </c>
      <c r="L582" s="74" t="n">
        <v>8</v>
      </c>
      <c r="M582" s="74" t="n">
        <v>8</v>
      </c>
      <c r="N582" s="74" t="n">
        <v>0</v>
      </c>
      <c r="O582" s="74" t="n">
        <v>1</v>
      </c>
      <c r="P582" s="74" t="n">
        <v>0</v>
      </c>
      <c r="Q582" s="74" t="n">
        <v>0</v>
      </c>
      <c r="R582" s="74" t="n">
        <v>0</v>
      </c>
      <c r="S582" s="74" t="n">
        <v>1</v>
      </c>
      <c r="T582" s="74" t="n">
        <v>0</v>
      </c>
      <c r="U582" s="74" t="n">
        <v>0</v>
      </c>
      <c r="V582" s="81" t="n">
        <v>0</v>
      </c>
      <c r="W582" s="81" t="n">
        <v>0</v>
      </c>
      <c r="X582" s="81" t="n">
        <v>0</v>
      </c>
      <c r="Y582" s="81" t="n">
        <v>0</v>
      </c>
      <c r="Z582" s="81" t="n">
        <v>0</v>
      </c>
      <c r="AA582" s="81" t="n">
        <v>0</v>
      </c>
    </row>
    <row r="583" customFormat="false" ht="15" hidden="false" customHeight="true" outlineLevel="0" collapsed="false">
      <c r="A583" s="30" t="s">
        <v>121</v>
      </c>
      <c r="B583" s="76"/>
      <c r="C583" s="76"/>
      <c r="D583" s="76"/>
      <c r="E583" s="76"/>
      <c r="F583" s="76"/>
      <c r="G583" s="76"/>
      <c r="H583" s="76"/>
      <c r="I583" s="76"/>
      <c r="J583" s="74" t="n">
        <v>7</v>
      </c>
      <c r="K583" s="74" t="n">
        <v>6</v>
      </c>
      <c r="L583" s="74" t="n">
        <v>7</v>
      </c>
      <c r="M583" s="74" t="n">
        <v>6</v>
      </c>
      <c r="N583" s="74" t="n">
        <v>4</v>
      </c>
      <c r="O583" s="74" t="n">
        <v>1</v>
      </c>
      <c r="P583" s="74" t="n">
        <v>1</v>
      </c>
      <c r="Q583" s="74" t="n">
        <v>1</v>
      </c>
      <c r="R583" s="74" t="n">
        <v>0</v>
      </c>
      <c r="S583" s="74" t="n">
        <v>0</v>
      </c>
      <c r="T583" s="74" t="n">
        <v>0</v>
      </c>
      <c r="U583" s="74" t="n">
        <v>0</v>
      </c>
      <c r="V583" s="81" t="n">
        <v>0</v>
      </c>
      <c r="W583" s="81" t="n">
        <v>0</v>
      </c>
      <c r="X583" s="81" t="n">
        <v>0</v>
      </c>
      <c r="Y583" s="81" t="n">
        <v>0</v>
      </c>
      <c r="Z583" s="81" t="n">
        <v>0</v>
      </c>
      <c r="AA583" s="81" t="n">
        <v>0</v>
      </c>
    </row>
    <row r="584" customFormat="false" ht="15" hidden="false" customHeight="true" outlineLevel="0" collapsed="false">
      <c r="A584" s="30" t="s">
        <v>123</v>
      </c>
      <c r="B584" s="76"/>
      <c r="C584" s="76"/>
      <c r="D584" s="76"/>
      <c r="E584" s="76"/>
      <c r="F584" s="76"/>
      <c r="G584" s="76"/>
      <c r="H584" s="76"/>
      <c r="I584" s="76"/>
      <c r="J584" s="76"/>
      <c r="K584" s="76"/>
      <c r="L584" s="74" t="n">
        <v>8</v>
      </c>
      <c r="M584" s="74" t="n">
        <v>5</v>
      </c>
      <c r="N584" s="74" t="n">
        <v>0</v>
      </c>
      <c r="O584" s="74" t="n">
        <v>3</v>
      </c>
      <c r="P584" s="74" t="n">
        <v>3</v>
      </c>
      <c r="Q584" s="74" t="n">
        <v>4</v>
      </c>
      <c r="R584" s="74" t="n">
        <v>2</v>
      </c>
      <c r="S584" s="74" t="n">
        <v>1</v>
      </c>
      <c r="T584" s="74" t="n">
        <v>0</v>
      </c>
      <c r="U584" s="74" t="n">
        <v>0</v>
      </c>
      <c r="V584" s="81" t="n">
        <v>0</v>
      </c>
      <c r="W584" s="81" t="n">
        <v>0</v>
      </c>
      <c r="X584" s="81" t="n">
        <v>0</v>
      </c>
      <c r="Y584" s="81" t="n">
        <v>0</v>
      </c>
      <c r="Z584" s="81" t="n">
        <v>0</v>
      </c>
      <c r="AA584" s="81" t="n">
        <v>0</v>
      </c>
    </row>
    <row r="585" customFormat="false" ht="15" hidden="false" customHeight="true" outlineLevel="0" collapsed="false">
      <c r="A585" s="30" t="s">
        <v>124</v>
      </c>
      <c r="B585" s="76"/>
      <c r="C585" s="76"/>
      <c r="D585" s="76"/>
      <c r="E585" s="76"/>
      <c r="F585" s="76"/>
      <c r="G585" s="76"/>
      <c r="H585" s="76"/>
      <c r="I585" s="76"/>
      <c r="J585" s="76"/>
      <c r="K585" s="76"/>
      <c r="L585" s="76"/>
      <c r="M585" s="74" t="n">
        <v>12</v>
      </c>
      <c r="N585" s="74" t="n">
        <v>10</v>
      </c>
      <c r="O585" s="74" t="n">
        <v>9</v>
      </c>
      <c r="P585" s="74" t="n">
        <v>8</v>
      </c>
      <c r="Q585" s="74" t="n">
        <v>8</v>
      </c>
      <c r="R585" s="74" t="n">
        <v>1</v>
      </c>
      <c r="S585" s="74" t="n">
        <v>0</v>
      </c>
      <c r="T585" s="74" t="n">
        <v>0</v>
      </c>
      <c r="U585" s="74" t="n">
        <v>0</v>
      </c>
      <c r="V585" s="81" t="n">
        <v>0</v>
      </c>
      <c r="W585" s="81" t="n">
        <v>0</v>
      </c>
      <c r="X585" s="81" t="n">
        <v>0</v>
      </c>
      <c r="Y585" s="81" t="n">
        <v>0</v>
      </c>
      <c r="Z585" s="81" t="n">
        <v>0</v>
      </c>
      <c r="AA585" s="81" t="n">
        <v>0</v>
      </c>
    </row>
    <row r="586" customFormat="false" ht="15" hidden="false" customHeight="true" outlineLevel="0" collapsed="false">
      <c r="A586" s="30" t="s">
        <v>126</v>
      </c>
      <c r="B586" s="76"/>
      <c r="C586" s="76"/>
      <c r="D586" s="76"/>
      <c r="E586" s="76"/>
      <c r="F586" s="76"/>
      <c r="G586" s="76"/>
      <c r="H586" s="76"/>
      <c r="I586" s="76"/>
      <c r="J586" s="76"/>
      <c r="K586" s="76"/>
      <c r="L586" s="76"/>
      <c r="M586" s="76"/>
      <c r="N586" s="76"/>
      <c r="O586" s="74" t="n">
        <v>11</v>
      </c>
      <c r="P586" s="74" t="n">
        <v>8</v>
      </c>
      <c r="Q586" s="74" t="n">
        <v>6</v>
      </c>
      <c r="R586" s="74" t="n">
        <v>6</v>
      </c>
      <c r="S586" s="74" t="n">
        <v>5</v>
      </c>
      <c r="T586" s="74" t="n">
        <v>1</v>
      </c>
      <c r="U586" s="74" t="n">
        <v>2</v>
      </c>
      <c r="V586" s="81" t="n">
        <v>1</v>
      </c>
      <c r="W586" s="81" t="n">
        <v>0</v>
      </c>
      <c r="X586" s="81" t="n">
        <v>0</v>
      </c>
      <c r="Y586" s="81" t="n">
        <v>0</v>
      </c>
      <c r="Z586" s="81" t="n">
        <v>0</v>
      </c>
      <c r="AA586" s="81" t="n">
        <v>0</v>
      </c>
    </row>
    <row r="587" customFormat="false" ht="15" hidden="false" customHeight="true" outlineLevel="0" collapsed="false">
      <c r="A587" s="30" t="s">
        <v>127</v>
      </c>
      <c r="B587" s="76"/>
      <c r="C587" s="76"/>
      <c r="D587" s="76"/>
      <c r="E587" s="76"/>
      <c r="F587" s="76"/>
      <c r="G587" s="76"/>
      <c r="H587" s="76"/>
      <c r="I587" s="76"/>
      <c r="J587" s="76"/>
      <c r="K587" s="76"/>
      <c r="L587" s="76"/>
      <c r="M587" s="76"/>
      <c r="N587" s="76"/>
      <c r="O587" s="76"/>
      <c r="P587" s="74" t="n">
        <v>1</v>
      </c>
      <c r="Q587" s="74" t="n">
        <v>1</v>
      </c>
      <c r="R587" s="74" t="n">
        <v>1</v>
      </c>
      <c r="S587" s="74" t="n">
        <v>1</v>
      </c>
      <c r="T587" s="74" t="n">
        <v>1</v>
      </c>
      <c r="U587" s="74" t="n">
        <v>0</v>
      </c>
      <c r="V587" s="81" t="n">
        <v>0</v>
      </c>
      <c r="W587" s="81" t="n">
        <v>0</v>
      </c>
      <c r="X587" s="81" t="n">
        <v>0</v>
      </c>
      <c r="Y587" s="81" t="n">
        <v>0</v>
      </c>
      <c r="Z587" s="81" t="n">
        <v>0</v>
      </c>
      <c r="AA587" s="81" t="n">
        <v>0</v>
      </c>
    </row>
    <row r="588" customFormat="false" ht="15" hidden="false" customHeight="true" outlineLevel="0" collapsed="false">
      <c r="A588" s="30" t="s">
        <v>129</v>
      </c>
      <c r="B588" s="76"/>
      <c r="C588" s="76"/>
      <c r="D588" s="76"/>
      <c r="E588" s="76"/>
      <c r="F588" s="76"/>
      <c r="G588" s="76"/>
      <c r="H588" s="76"/>
      <c r="I588" s="76"/>
      <c r="J588" s="76"/>
      <c r="K588" s="76"/>
      <c r="L588" s="76"/>
      <c r="M588" s="76"/>
      <c r="N588" s="76"/>
      <c r="O588" s="76"/>
      <c r="P588" s="76"/>
      <c r="Q588" s="76"/>
      <c r="R588" s="74" t="n">
        <v>8</v>
      </c>
      <c r="S588" s="74" t="n">
        <v>6</v>
      </c>
      <c r="T588" s="74" t="n">
        <v>7</v>
      </c>
      <c r="U588" s="74" t="n">
        <v>7</v>
      </c>
      <c r="V588" s="81" t="n">
        <v>7</v>
      </c>
      <c r="W588" s="81" t="n">
        <v>2</v>
      </c>
      <c r="X588" s="81" t="n">
        <v>1</v>
      </c>
      <c r="Y588" s="81" t="n">
        <v>1</v>
      </c>
      <c r="Z588" s="81" t="n">
        <v>0</v>
      </c>
      <c r="AA588" s="81" t="n">
        <v>0</v>
      </c>
    </row>
    <row r="589" customFormat="false" ht="15" hidden="false" customHeight="true" outlineLevel="0" collapsed="false">
      <c r="A589" s="30" t="s">
        <v>130</v>
      </c>
      <c r="B589" s="76"/>
      <c r="C589" s="76"/>
      <c r="D589" s="76"/>
      <c r="E589" s="76"/>
      <c r="F589" s="76"/>
      <c r="G589" s="76"/>
      <c r="H589" s="76"/>
      <c r="I589" s="76"/>
      <c r="J589" s="76"/>
      <c r="K589" s="76"/>
      <c r="L589" s="76"/>
      <c r="M589" s="76"/>
      <c r="N589" s="76"/>
      <c r="O589" s="76"/>
      <c r="P589" s="76"/>
      <c r="Q589" s="76"/>
      <c r="R589" s="76"/>
      <c r="S589" s="74" t="n">
        <v>5</v>
      </c>
      <c r="T589" s="74" t="n">
        <v>3</v>
      </c>
      <c r="U589" s="74" t="n">
        <v>3</v>
      </c>
      <c r="V589" s="81" t="n">
        <v>3</v>
      </c>
      <c r="W589" s="81" t="n">
        <v>3</v>
      </c>
      <c r="X589" s="81" t="n">
        <v>1</v>
      </c>
      <c r="Y589" s="81" t="n">
        <v>0</v>
      </c>
      <c r="Z589" s="81" t="n">
        <v>0</v>
      </c>
      <c r="AA589" s="81" t="n">
        <v>0</v>
      </c>
    </row>
    <row r="590" customFormat="false" ht="15" hidden="false" customHeight="true" outlineLevel="0" collapsed="false">
      <c r="A590" s="30" t="s">
        <v>132</v>
      </c>
      <c r="B590" s="76"/>
      <c r="C590" s="76"/>
      <c r="D590" s="76"/>
      <c r="E590" s="76"/>
      <c r="F590" s="76"/>
      <c r="G590" s="76"/>
      <c r="H590" s="76"/>
      <c r="I590" s="76"/>
      <c r="J590" s="76"/>
      <c r="K590" s="76"/>
      <c r="L590" s="76"/>
      <c r="M590" s="76"/>
      <c r="N590" s="76"/>
      <c r="O590" s="76"/>
      <c r="P590" s="76"/>
      <c r="Q590" s="76"/>
      <c r="R590" s="76"/>
      <c r="S590" s="76"/>
      <c r="T590" s="76"/>
      <c r="U590" s="74" t="n">
        <v>3</v>
      </c>
      <c r="V590" s="81" t="n">
        <v>3</v>
      </c>
      <c r="W590" s="81" t="n">
        <v>2</v>
      </c>
      <c r="X590" s="81" t="n">
        <v>2</v>
      </c>
      <c r="Y590" s="81" t="n">
        <v>2</v>
      </c>
      <c r="Z590" s="81" t="n">
        <v>1</v>
      </c>
      <c r="AA590" s="81" t="n">
        <v>0</v>
      </c>
    </row>
    <row r="591" customFormat="false" ht="15" hidden="false" customHeight="true" outlineLevel="0" collapsed="false">
      <c r="A591" s="82" t="s">
        <v>524</v>
      </c>
      <c r="B591" s="76"/>
      <c r="C591" s="76"/>
      <c r="D591" s="76"/>
      <c r="E591" s="76"/>
      <c r="F591" s="76"/>
      <c r="G591" s="76"/>
      <c r="H591" s="76"/>
      <c r="I591" s="76"/>
      <c r="J591" s="76"/>
      <c r="K591" s="76"/>
      <c r="L591" s="76"/>
      <c r="M591" s="76"/>
      <c r="N591" s="76"/>
      <c r="O591" s="76"/>
      <c r="P591" s="76"/>
      <c r="Q591" s="76"/>
      <c r="R591" s="76"/>
      <c r="S591" s="76"/>
      <c r="T591" s="76"/>
      <c r="U591" s="76"/>
      <c r="V591" s="81" t="n">
        <v>5</v>
      </c>
      <c r="W591" s="81" t="n">
        <v>4</v>
      </c>
      <c r="X591" s="81" t="n">
        <v>3</v>
      </c>
      <c r="Y591" s="81" t="n">
        <v>3</v>
      </c>
      <c r="Z591" s="81" t="n">
        <v>3</v>
      </c>
      <c r="AA591" s="81" t="n">
        <v>1</v>
      </c>
    </row>
    <row r="592" customFormat="false" ht="15" hidden="false" customHeight="true" outlineLevel="0" collapsed="false">
      <c r="A592" s="82" t="s">
        <v>525</v>
      </c>
      <c r="B592" s="76"/>
      <c r="C592" s="76"/>
      <c r="D592" s="76"/>
      <c r="E592" s="76"/>
      <c r="F592" s="76"/>
      <c r="G592" s="76"/>
      <c r="H592" s="76"/>
      <c r="I592" s="76"/>
      <c r="J592" s="76"/>
      <c r="K592" s="76"/>
      <c r="L592" s="76"/>
      <c r="M592" s="76"/>
      <c r="N592" s="76"/>
      <c r="O592" s="76"/>
      <c r="P592" s="76"/>
      <c r="Q592" s="76"/>
      <c r="R592" s="76"/>
      <c r="S592" s="76"/>
      <c r="T592" s="76"/>
      <c r="U592" s="76"/>
      <c r="V592" s="76"/>
      <c r="W592" s="81" t="n">
        <v>5</v>
      </c>
      <c r="X592" s="81" t="n">
        <v>4</v>
      </c>
      <c r="Y592" s="81" t="n">
        <v>3</v>
      </c>
      <c r="Z592" s="81" t="n">
        <v>3</v>
      </c>
      <c r="AA592" s="81" t="n">
        <v>3</v>
      </c>
    </row>
    <row r="593" customFormat="false" ht="15" hidden="false" customHeight="true" outlineLevel="0" collapsed="false">
      <c r="A593" s="82" t="s">
        <v>526</v>
      </c>
      <c r="B593" s="76"/>
      <c r="C593" s="76"/>
      <c r="D593" s="76"/>
      <c r="E593" s="76"/>
      <c r="F593" s="76"/>
      <c r="G593" s="76"/>
      <c r="H593" s="76"/>
      <c r="I593" s="76"/>
      <c r="J593" s="76"/>
      <c r="K593" s="76"/>
      <c r="L593" s="76"/>
      <c r="M593" s="76"/>
      <c r="N593" s="76"/>
      <c r="O593" s="76"/>
      <c r="P593" s="76"/>
      <c r="Q593" s="76"/>
      <c r="R593" s="76"/>
      <c r="S593" s="76"/>
      <c r="T593" s="76"/>
      <c r="U593" s="76"/>
      <c r="V593" s="76"/>
      <c r="W593" s="76"/>
      <c r="X593" s="81" t="n">
        <v>5</v>
      </c>
      <c r="Y593" s="81" t="n">
        <v>4</v>
      </c>
      <c r="Z593" s="81" t="n">
        <v>3</v>
      </c>
      <c r="AA593" s="81" t="n">
        <v>3</v>
      </c>
    </row>
    <row r="594" customFormat="false" ht="15" hidden="false" customHeight="true" outlineLevel="0" collapsed="false">
      <c r="A594" s="82" t="s">
        <v>527</v>
      </c>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81" t="n">
        <v>5</v>
      </c>
      <c r="Z594" s="81" t="n">
        <v>4</v>
      </c>
      <c r="AA594" s="81" t="n">
        <v>3</v>
      </c>
    </row>
    <row r="595" customFormat="false" ht="15" hidden="false" customHeight="true" outlineLevel="0" collapsed="false">
      <c r="A595" s="82" t="s">
        <v>528</v>
      </c>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81" t="n">
        <v>5</v>
      </c>
      <c r="AA595" s="81" t="n">
        <v>4</v>
      </c>
    </row>
    <row r="596" customFormat="false" ht="15" hidden="false" customHeight="true" outlineLevel="0" collapsed="false">
      <c r="A596" s="82" t="s">
        <v>529</v>
      </c>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81" t="n">
        <v>5</v>
      </c>
    </row>
    <row r="597" customFormat="false" ht="15" hidden="false" customHeight="true" outlineLevel="0" collapsed="false">
      <c r="A597" s="34" t="s">
        <v>514</v>
      </c>
      <c r="B597" s="79"/>
      <c r="C597" s="79" t="n">
        <v>18</v>
      </c>
      <c r="D597" s="79" t="n">
        <v>36</v>
      </c>
      <c r="E597" s="79" t="n">
        <v>30</v>
      </c>
      <c r="F597" s="79" t="n">
        <v>46</v>
      </c>
      <c r="G597" s="79" t="n">
        <v>51</v>
      </c>
      <c r="H597" s="79" t="n">
        <v>39</v>
      </c>
      <c r="I597" s="79" t="n">
        <v>36</v>
      </c>
      <c r="J597" s="79" t="n">
        <v>40</v>
      </c>
      <c r="K597" s="79" t="n">
        <v>24</v>
      </c>
      <c r="L597" s="79" t="n">
        <v>27</v>
      </c>
      <c r="M597" s="79" t="n">
        <v>34</v>
      </c>
      <c r="N597" s="79" t="n">
        <v>16</v>
      </c>
      <c r="O597" s="79" t="n">
        <v>26</v>
      </c>
      <c r="P597" s="79" t="n">
        <v>22</v>
      </c>
      <c r="Q597" s="79" t="n">
        <v>20</v>
      </c>
      <c r="R597" s="79" t="n">
        <v>18</v>
      </c>
      <c r="S597" s="79" t="n">
        <v>19</v>
      </c>
      <c r="T597" s="79" t="n">
        <v>12</v>
      </c>
      <c r="U597" s="79" t="n">
        <v>15</v>
      </c>
      <c r="V597" s="79" t="n">
        <v>18</v>
      </c>
      <c r="W597" s="79" t="n">
        <v>16</v>
      </c>
      <c r="X597" s="79" t="n">
        <v>17</v>
      </c>
      <c r="Y597" s="79" t="n">
        <v>20</v>
      </c>
      <c r="Z597" s="79" t="n">
        <v>21</v>
      </c>
      <c r="AA597" s="79" t="n">
        <v>21</v>
      </c>
    </row>
    <row r="599" customFormat="false" ht="19.5" hidden="false" customHeight="true" outlineLevel="0" collapsed="false">
      <c r="A599" s="65" t="s">
        <v>432</v>
      </c>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row>
    <row r="600" customFormat="false" ht="15" hidden="false" customHeight="true" outlineLevel="0" collapsed="false">
      <c r="A600" s="80" t="s">
        <v>544</v>
      </c>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row>
    <row r="601" customFormat="false" ht="15" hidden="false" customHeight="true" outlineLevel="0" collapsed="false">
      <c r="A601" s="12" t="s">
        <v>513</v>
      </c>
      <c r="B601" s="12" t="s">
        <v>113</v>
      </c>
      <c r="C601" s="12" t="s">
        <v>114</v>
      </c>
      <c r="D601" s="12" t="s">
        <v>115</v>
      </c>
      <c r="E601" s="12" t="s">
        <v>116</v>
      </c>
      <c r="F601" s="12" t="s">
        <v>117</v>
      </c>
      <c r="G601" s="12" t="s">
        <v>118</v>
      </c>
      <c r="H601" s="12" t="s">
        <v>119</v>
      </c>
      <c r="I601" s="12" t="s">
        <v>120</v>
      </c>
      <c r="J601" s="12" t="s">
        <v>121</v>
      </c>
      <c r="K601" s="12" t="s">
        <v>122</v>
      </c>
      <c r="L601" s="12" t="s">
        <v>123</v>
      </c>
      <c r="M601" s="12" t="s">
        <v>124</v>
      </c>
      <c r="N601" s="12" t="s">
        <v>125</v>
      </c>
      <c r="O601" s="12" t="s">
        <v>126</v>
      </c>
      <c r="P601" s="12" t="s">
        <v>127</v>
      </c>
      <c r="Q601" s="12" t="s">
        <v>128</v>
      </c>
      <c r="R601" s="12" t="s">
        <v>129</v>
      </c>
      <c r="S601" s="12" t="s">
        <v>130</v>
      </c>
      <c r="T601" s="12" t="s">
        <v>131</v>
      </c>
      <c r="U601" s="12" t="s">
        <v>132</v>
      </c>
      <c r="V601" s="12" t="s">
        <v>518</v>
      </c>
      <c r="W601" s="12" t="s">
        <v>519</v>
      </c>
      <c r="X601" s="12" t="s">
        <v>520</v>
      </c>
      <c r="Y601" s="12" t="s">
        <v>521</v>
      </c>
      <c r="Z601" s="12" t="s">
        <v>522</v>
      </c>
      <c r="AA601" s="12" t="s">
        <v>523</v>
      </c>
    </row>
    <row r="602" customFormat="false" ht="15" hidden="false" customHeight="true" outlineLevel="0" collapsed="false">
      <c r="A602" s="30" t="s">
        <v>117</v>
      </c>
      <c r="B602" s="76"/>
      <c r="C602" s="76"/>
      <c r="D602" s="76"/>
      <c r="E602" s="76"/>
      <c r="F602" s="74" t="n">
        <v>8</v>
      </c>
      <c r="G602" s="74" t="n">
        <v>8</v>
      </c>
      <c r="H602" s="74" t="n">
        <v>6</v>
      </c>
      <c r="I602" s="74" t="n">
        <v>6</v>
      </c>
      <c r="J602" s="74" t="n">
        <v>6</v>
      </c>
      <c r="K602" s="74" t="n">
        <v>5</v>
      </c>
      <c r="L602" s="74" t="n">
        <v>1</v>
      </c>
      <c r="M602" s="74" t="n">
        <v>0</v>
      </c>
      <c r="N602" s="74" t="n">
        <v>0</v>
      </c>
      <c r="O602" s="74" t="n">
        <v>0</v>
      </c>
      <c r="P602" s="74" t="n">
        <v>0</v>
      </c>
      <c r="Q602" s="74" t="n">
        <v>0</v>
      </c>
      <c r="R602" s="74" t="n">
        <v>0</v>
      </c>
      <c r="S602" s="74" t="n">
        <v>0</v>
      </c>
      <c r="T602" s="74" t="n">
        <v>0</v>
      </c>
      <c r="U602" s="74" t="n">
        <v>0</v>
      </c>
      <c r="V602" s="81" t="n">
        <v>0</v>
      </c>
      <c r="W602" s="81" t="n">
        <v>0</v>
      </c>
      <c r="X602" s="81" t="n">
        <v>0</v>
      </c>
      <c r="Y602" s="81" t="n">
        <v>0</v>
      </c>
      <c r="Z602" s="81" t="n">
        <v>0</v>
      </c>
      <c r="AA602" s="81" t="n">
        <v>0</v>
      </c>
    </row>
    <row r="603" customFormat="false" ht="15" hidden="false" customHeight="true" outlineLevel="0" collapsed="false">
      <c r="A603" s="30" t="s">
        <v>118</v>
      </c>
      <c r="B603" s="76"/>
      <c r="C603" s="76"/>
      <c r="D603" s="76"/>
      <c r="E603" s="76"/>
      <c r="F603" s="76"/>
      <c r="G603" s="74" t="n">
        <v>13</v>
      </c>
      <c r="H603" s="74" t="n">
        <v>4</v>
      </c>
      <c r="I603" s="74" t="n">
        <v>4</v>
      </c>
      <c r="J603" s="74" t="n">
        <v>3</v>
      </c>
      <c r="K603" s="74" t="n">
        <v>2</v>
      </c>
      <c r="L603" s="74" t="n">
        <v>3</v>
      </c>
      <c r="M603" s="74" t="n">
        <v>0</v>
      </c>
      <c r="N603" s="74" t="n">
        <v>0</v>
      </c>
      <c r="O603" s="74" t="n">
        <v>1</v>
      </c>
      <c r="P603" s="74" t="n">
        <v>1</v>
      </c>
      <c r="Q603" s="74" t="n">
        <v>1</v>
      </c>
      <c r="R603" s="74" t="n">
        <v>0</v>
      </c>
      <c r="S603" s="74" t="n">
        <v>1</v>
      </c>
      <c r="T603" s="74" t="n">
        <v>1</v>
      </c>
      <c r="U603" s="74" t="n">
        <v>0</v>
      </c>
      <c r="V603" s="81" t="n">
        <v>0</v>
      </c>
      <c r="W603" s="81" t="n">
        <v>0</v>
      </c>
      <c r="X603" s="81" t="n">
        <v>0</v>
      </c>
      <c r="Y603" s="81" t="n">
        <v>0</v>
      </c>
      <c r="Z603" s="81" t="n">
        <v>0</v>
      </c>
      <c r="AA603" s="81" t="n">
        <v>0</v>
      </c>
    </row>
    <row r="604" customFormat="false" ht="15" hidden="false" customHeight="true" outlineLevel="0" collapsed="false">
      <c r="A604" s="30" t="s">
        <v>120</v>
      </c>
      <c r="B604" s="76"/>
      <c r="C604" s="76"/>
      <c r="D604" s="76"/>
      <c r="E604" s="76"/>
      <c r="F604" s="76"/>
      <c r="G604" s="76"/>
      <c r="H604" s="76"/>
      <c r="I604" s="74" t="n">
        <v>12</v>
      </c>
      <c r="J604" s="74" t="n">
        <v>6</v>
      </c>
      <c r="K604" s="74" t="n">
        <v>4</v>
      </c>
      <c r="L604" s="74" t="n">
        <v>4</v>
      </c>
      <c r="M604" s="74" t="n">
        <v>4</v>
      </c>
      <c r="N604" s="74" t="n">
        <v>3</v>
      </c>
      <c r="O604" s="74" t="n">
        <v>3</v>
      </c>
      <c r="P604" s="74" t="n">
        <v>2</v>
      </c>
      <c r="Q604" s="74" t="n">
        <v>1</v>
      </c>
      <c r="R604" s="74" t="n">
        <v>1</v>
      </c>
      <c r="S604" s="74" t="n">
        <v>0</v>
      </c>
      <c r="T604" s="74" t="n">
        <v>0</v>
      </c>
      <c r="U604" s="74" t="n">
        <v>0</v>
      </c>
      <c r="V604" s="81" t="n">
        <v>0</v>
      </c>
      <c r="W604" s="81" t="n">
        <v>0</v>
      </c>
      <c r="X604" s="81" t="n">
        <v>0</v>
      </c>
      <c r="Y604" s="81" t="n">
        <v>0</v>
      </c>
      <c r="Z604" s="81" t="n">
        <v>0</v>
      </c>
      <c r="AA604" s="81" t="n">
        <v>0</v>
      </c>
    </row>
    <row r="605" customFormat="false" ht="15" hidden="false" customHeight="true" outlineLevel="0" collapsed="false">
      <c r="A605" s="30" t="s">
        <v>121</v>
      </c>
      <c r="B605" s="76"/>
      <c r="C605" s="76"/>
      <c r="D605" s="76"/>
      <c r="E605" s="76"/>
      <c r="F605" s="76"/>
      <c r="G605" s="76"/>
      <c r="H605" s="76"/>
      <c r="I605" s="76"/>
      <c r="J605" s="74" t="n">
        <v>11</v>
      </c>
      <c r="K605" s="74" t="n">
        <v>9</v>
      </c>
      <c r="L605" s="74" t="n">
        <v>8</v>
      </c>
      <c r="M605" s="74" t="n">
        <v>7</v>
      </c>
      <c r="N605" s="74" t="n">
        <v>7</v>
      </c>
      <c r="O605" s="74" t="n">
        <v>2</v>
      </c>
      <c r="P605" s="74" t="n">
        <v>3</v>
      </c>
      <c r="Q605" s="74" t="n">
        <v>2</v>
      </c>
      <c r="R605" s="74" t="n">
        <v>1</v>
      </c>
      <c r="S605" s="74" t="n">
        <v>2</v>
      </c>
      <c r="T605" s="74" t="n">
        <v>2</v>
      </c>
      <c r="U605" s="74" t="n">
        <v>0</v>
      </c>
      <c r="V605" s="81" t="n">
        <v>0</v>
      </c>
      <c r="W605" s="81" t="n">
        <v>0</v>
      </c>
      <c r="X605" s="81" t="n">
        <v>0</v>
      </c>
      <c r="Y605" s="81" t="n">
        <v>0</v>
      </c>
      <c r="Z605" s="81" t="n">
        <v>0</v>
      </c>
      <c r="AA605" s="81" t="n">
        <v>0</v>
      </c>
    </row>
    <row r="606" customFormat="false" ht="15" hidden="false" customHeight="true" outlineLevel="0" collapsed="false">
      <c r="A606" s="30" t="s">
        <v>123</v>
      </c>
      <c r="B606" s="76"/>
      <c r="C606" s="76"/>
      <c r="D606" s="76"/>
      <c r="E606" s="76"/>
      <c r="F606" s="76"/>
      <c r="G606" s="76"/>
      <c r="H606" s="76"/>
      <c r="I606" s="76"/>
      <c r="J606" s="76"/>
      <c r="K606" s="76"/>
      <c r="L606" s="74" t="n">
        <v>21</v>
      </c>
      <c r="M606" s="74" t="n">
        <v>16</v>
      </c>
      <c r="N606" s="74" t="n">
        <v>14</v>
      </c>
      <c r="O606" s="74" t="n">
        <v>14</v>
      </c>
      <c r="P606" s="74" t="n">
        <v>14</v>
      </c>
      <c r="Q606" s="74" t="n">
        <v>4</v>
      </c>
      <c r="R606" s="74" t="n">
        <v>1</v>
      </c>
      <c r="S606" s="74" t="n">
        <v>2</v>
      </c>
      <c r="T606" s="74" t="n">
        <v>2</v>
      </c>
      <c r="U606" s="74" t="n">
        <v>0</v>
      </c>
      <c r="V606" s="81" t="n">
        <v>0</v>
      </c>
      <c r="W606" s="81" t="n">
        <v>0</v>
      </c>
      <c r="X606" s="81" t="n">
        <v>0</v>
      </c>
      <c r="Y606" s="81" t="n">
        <v>0</v>
      </c>
      <c r="Z606" s="81" t="n">
        <v>0</v>
      </c>
      <c r="AA606" s="81" t="n">
        <v>0</v>
      </c>
    </row>
    <row r="607" customFormat="false" ht="15" hidden="false" customHeight="true" outlineLevel="0" collapsed="false">
      <c r="A607" s="30" t="s">
        <v>124</v>
      </c>
      <c r="B607" s="76"/>
      <c r="C607" s="76"/>
      <c r="D607" s="76"/>
      <c r="E607" s="76"/>
      <c r="F607" s="76"/>
      <c r="G607" s="76"/>
      <c r="H607" s="76"/>
      <c r="I607" s="76"/>
      <c r="J607" s="76"/>
      <c r="K607" s="76"/>
      <c r="L607" s="76"/>
      <c r="M607" s="74" t="n">
        <v>26</v>
      </c>
      <c r="N607" s="74" t="n">
        <v>18</v>
      </c>
      <c r="O607" s="74" t="n">
        <v>18</v>
      </c>
      <c r="P607" s="74" t="n">
        <v>20</v>
      </c>
      <c r="Q607" s="74" t="n">
        <v>18</v>
      </c>
      <c r="R607" s="74" t="n">
        <v>8</v>
      </c>
      <c r="S607" s="74" t="n">
        <v>8</v>
      </c>
      <c r="T607" s="74" t="n">
        <v>4</v>
      </c>
      <c r="U607" s="74" t="n">
        <v>3</v>
      </c>
      <c r="V607" s="81" t="n">
        <v>2</v>
      </c>
      <c r="W607" s="81" t="n">
        <v>1</v>
      </c>
      <c r="X607" s="81" t="n">
        <v>0</v>
      </c>
      <c r="Y607" s="81" t="n">
        <v>0</v>
      </c>
      <c r="Z607" s="81" t="n">
        <v>0</v>
      </c>
      <c r="AA607" s="81" t="n">
        <v>0</v>
      </c>
    </row>
    <row r="608" customFormat="false" ht="15" hidden="false" customHeight="true" outlineLevel="0" collapsed="false">
      <c r="A608" s="30" t="s">
        <v>126</v>
      </c>
      <c r="B608" s="76"/>
      <c r="C608" s="76"/>
      <c r="D608" s="76"/>
      <c r="E608" s="76"/>
      <c r="F608" s="76"/>
      <c r="G608" s="76"/>
      <c r="H608" s="76"/>
      <c r="I608" s="76"/>
      <c r="J608" s="76"/>
      <c r="K608" s="76"/>
      <c r="L608" s="76"/>
      <c r="M608" s="76"/>
      <c r="N608" s="76"/>
      <c r="O608" s="74" t="n">
        <v>25</v>
      </c>
      <c r="P608" s="74" t="n">
        <v>20</v>
      </c>
      <c r="Q608" s="74" t="n">
        <v>16</v>
      </c>
      <c r="R608" s="74" t="n">
        <v>16</v>
      </c>
      <c r="S608" s="74" t="n">
        <v>15</v>
      </c>
      <c r="T608" s="74" t="n">
        <v>5</v>
      </c>
      <c r="U608" s="74" t="n">
        <v>3</v>
      </c>
      <c r="V608" s="81" t="n">
        <v>2</v>
      </c>
      <c r="W608" s="81" t="n">
        <v>2</v>
      </c>
      <c r="X608" s="81" t="n">
        <v>1</v>
      </c>
      <c r="Y608" s="81" t="n">
        <v>1</v>
      </c>
      <c r="Z608" s="81" t="n">
        <v>0</v>
      </c>
      <c r="AA608" s="81" t="n">
        <v>0</v>
      </c>
    </row>
    <row r="609" customFormat="false" ht="15" hidden="false" customHeight="true" outlineLevel="0" collapsed="false">
      <c r="A609" s="30" t="s">
        <v>127</v>
      </c>
      <c r="B609" s="76"/>
      <c r="C609" s="76"/>
      <c r="D609" s="76"/>
      <c r="E609" s="76"/>
      <c r="F609" s="76"/>
      <c r="G609" s="76"/>
      <c r="H609" s="76"/>
      <c r="I609" s="76"/>
      <c r="J609" s="76"/>
      <c r="K609" s="76"/>
      <c r="L609" s="76"/>
      <c r="M609" s="76"/>
      <c r="N609" s="76"/>
      <c r="O609" s="76"/>
      <c r="P609" s="74" t="n">
        <v>29</v>
      </c>
      <c r="Q609" s="74" t="n">
        <v>15</v>
      </c>
      <c r="R609" s="74" t="n">
        <v>16</v>
      </c>
      <c r="S609" s="74" t="n">
        <v>16</v>
      </c>
      <c r="T609" s="74" t="n">
        <v>16</v>
      </c>
      <c r="U609" s="74" t="n">
        <v>5</v>
      </c>
      <c r="V609" s="81" t="n">
        <v>3</v>
      </c>
      <c r="W609" s="81" t="n">
        <v>2</v>
      </c>
      <c r="X609" s="81" t="n">
        <v>2</v>
      </c>
      <c r="Y609" s="81" t="n">
        <v>1</v>
      </c>
      <c r="Z609" s="81" t="n">
        <v>1</v>
      </c>
      <c r="AA609" s="81" t="n">
        <v>0</v>
      </c>
    </row>
    <row r="610" customFormat="false" ht="15" hidden="false" customHeight="true" outlineLevel="0" collapsed="false">
      <c r="A610" s="30" t="s">
        <v>129</v>
      </c>
      <c r="B610" s="76"/>
      <c r="C610" s="76"/>
      <c r="D610" s="76"/>
      <c r="E610" s="76"/>
      <c r="F610" s="76"/>
      <c r="G610" s="76"/>
      <c r="H610" s="76"/>
      <c r="I610" s="76"/>
      <c r="J610" s="76"/>
      <c r="K610" s="76"/>
      <c r="L610" s="76"/>
      <c r="M610" s="76"/>
      <c r="N610" s="76"/>
      <c r="O610" s="76"/>
      <c r="P610" s="76"/>
      <c r="Q610" s="76"/>
      <c r="R610" s="74" t="n">
        <v>28</v>
      </c>
      <c r="S610" s="74" t="n">
        <v>24</v>
      </c>
      <c r="T610" s="74" t="n">
        <v>18</v>
      </c>
      <c r="U610" s="74" t="n">
        <v>22</v>
      </c>
      <c r="V610" s="81" t="n">
        <v>21</v>
      </c>
      <c r="W610" s="81" t="n">
        <v>10</v>
      </c>
      <c r="X610" s="81" t="n">
        <v>7</v>
      </c>
      <c r="Y610" s="81" t="n">
        <v>4</v>
      </c>
      <c r="Z610" s="81" t="n">
        <v>3</v>
      </c>
      <c r="AA610" s="81" t="n">
        <v>2</v>
      </c>
    </row>
    <row r="611" customFormat="false" ht="15" hidden="false" customHeight="true" outlineLevel="0" collapsed="false">
      <c r="A611" s="30" t="s">
        <v>130</v>
      </c>
      <c r="B611" s="76"/>
      <c r="C611" s="76"/>
      <c r="D611" s="76"/>
      <c r="E611" s="76"/>
      <c r="F611" s="76"/>
      <c r="G611" s="76"/>
      <c r="H611" s="76"/>
      <c r="I611" s="76"/>
      <c r="J611" s="76"/>
      <c r="K611" s="76"/>
      <c r="L611" s="76"/>
      <c r="M611" s="76"/>
      <c r="N611" s="76"/>
      <c r="O611" s="76"/>
      <c r="P611" s="76"/>
      <c r="Q611" s="76"/>
      <c r="R611" s="76"/>
      <c r="S611" s="74" t="n">
        <v>30</v>
      </c>
      <c r="T611" s="74" t="n">
        <v>17</v>
      </c>
      <c r="U611" s="74" t="n">
        <v>17</v>
      </c>
      <c r="V611" s="81" t="n">
        <v>17</v>
      </c>
      <c r="W611" s="81" t="n">
        <v>16</v>
      </c>
      <c r="X611" s="81" t="n">
        <v>8</v>
      </c>
      <c r="Y611" s="81" t="n">
        <v>5</v>
      </c>
      <c r="Z611" s="81" t="n">
        <v>3</v>
      </c>
      <c r="AA611" s="81" t="n">
        <v>3</v>
      </c>
    </row>
    <row r="612" customFormat="false" ht="15" hidden="false" customHeight="true" outlineLevel="0" collapsed="false">
      <c r="A612" s="30" t="s">
        <v>132</v>
      </c>
      <c r="B612" s="76"/>
      <c r="C612" s="76"/>
      <c r="D612" s="76"/>
      <c r="E612" s="76"/>
      <c r="F612" s="76"/>
      <c r="G612" s="76"/>
      <c r="H612" s="76"/>
      <c r="I612" s="76"/>
      <c r="J612" s="76"/>
      <c r="K612" s="76"/>
      <c r="L612" s="76"/>
      <c r="M612" s="76"/>
      <c r="N612" s="76"/>
      <c r="O612" s="76"/>
      <c r="P612" s="76"/>
      <c r="Q612" s="76"/>
      <c r="R612" s="76"/>
      <c r="S612" s="76"/>
      <c r="T612" s="76"/>
      <c r="U612" s="74" t="n">
        <v>43</v>
      </c>
      <c r="V612" s="81" t="n">
        <v>29</v>
      </c>
      <c r="W612" s="81" t="n">
        <v>26</v>
      </c>
      <c r="X612" s="81" t="n">
        <v>26</v>
      </c>
      <c r="Y612" s="81" t="n">
        <v>24</v>
      </c>
      <c r="Z612" s="81" t="n">
        <v>12</v>
      </c>
      <c r="AA612" s="81" t="n">
        <v>8</v>
      </c>
    </row>
    <row r="613" customFormat="false" ht="15" hidden="false" customHeight="true" outlineLevel="0" collapsed="false">
      <c r="A613" s="82" t="s">
        <v>524</v>
      </c>
      <c r="B613" s="76"/>
      <c r="C613" s="76"/>
      <c r="D613" s="76"/>
      <c r="E613" s="76"/>
      <c r="F613" s="76"/>
      <c r="G613" s="76"/>
      <c r="H613" s="76"/>
      <c r="I613" s="76"/>
      <c r="J613" s="76"/>
      <c r="K613" s="76"/>
      <c r="L613" s="76"/>
      <c r="M613" s="76"/>
      <c r="N613" s="76"/>
      <c r="O613" s="76"/>
      <c r="P613" s="76"/>
      <c r="Q613" s="76"/>
      <c r="R613" s="76"/>
      <c r="S613" s="76"/>
      <c r="T613" s="76"/>
      <c r="U613" s="76"/>
      <c r="V613" s="81" t="n">
        <v>34</v>
      </c>
      <c r="W613" s="81" t="n">
        <v>23</v>
      </c>
      <c r="X613" s="81" t="n">
        <v>20</v>
      </c>
      <c r="Y613" s="81" t="n">
        <v>20</v>
      </c>
      <c r="Z613" s="81" t="n">
        <v>19</v>
      </c>
      <c r="AA613" s="81" t="n">
        <v>9</v>
      </c>
    </row>
    <row r="614" customFormat="false" ht="15" hidden="false" customHeight="true" outlineLevel="0" collapsed="false">
      <c r="A614" s="82" t="s">
        <v>525</v>
      </c>
      <c r="B614" s="76"/>
      <c r="C614" s="76"/>
      <c r="D614" s="76"/>
      <c r="E614" s="76"/>
      <c r="F614" s="76"/>
      <c r="G614" s="76"/>
      <c r="H614" s="76"/>
      <c r="I614" s="76"/>
      <c r="J614" s="76"/>
      <c r="K614" s="76"/>
      <c r="L614" s="76"/>
      <c r="M614" s="76"/>
      <c r="N614" s="76"/>
      <c r="O614" s="76"/>
      <c r="P614" s="76"/>
      <c r="Q614" s="76"/>
      <c r="R614" s="76"/>
      <c r="S614" s="76"/>
      <c r="T614" s="76"/>
      <c r="U614" s="76"/>
      <c r="V614" s="76"/>
      <c r="W614" s="81" t="n">
        <v>34</v>
      </c>
      <c r="X614" s="81" t="n">
        <v>23</v>
      </c>
      <c r="Y614" s="81" t="n">
        <v>20</v>
      </c>
      <c r="Z614" s="81" t="n">
        <v>20</v>
      </c>
      <c r="AA614" s="81" t="n">
        <v>19</v>
      </c>
    </row>
    <row r="615" customFormat="false" ht="15" hidden="false" customHeight="true" outlineLevel="0" collapsed="false">
      <c r="A615" s="82" t="s">
        <v>526</v>
      </c>
      <c r="B615" s="76"/>
      <c r="C615" s="76"/>
      <c r="D615" s="76"/>
      <c r="E615" s="76"/>
      <c r="F615" s="76"/>
      <c r="G615" s="76"/>
      <c r="H615" s="76"/>
      <c r="I615" s="76"/>
      <c r="J615" s="76"/>
      <c r="K615" s="76"/>
      <c r="L615" s="76"/>
      <c r="M615" s="76"/>
      <c r="N615" s="76"/>
      <c r="O615" s="76"/>
      <c r="P615" s="76"/>
      <c r="Q615" s="76"/>
      <c r="R615" s="76"/>
      <c r="S615" s="76"/>
      <c r="T615" s="76"/>
      <c r="U615" s="76"/>
      <c r="V615" s="76"/>
      <c r="W615" s="76"/>
      <c r="X615" s="81" t="n">
        <v>34</v>
      </c>
      <c r="Y615" s="81" t="n">
        <v>23</v>
      </c>
      <c r="Z615" s="81" t="n">
        <v>20</v>
      </c>
      <c r="AA615" s="81" t="n">
        <v>20</v>
      </c>
    </row>
    <row r="616" customFormat="false" ht="15" hidden="false" customHeight="true" outlineLevel="0" collapsed="false">
      <c r="A616" s="82" t="s">
        <v>527</v>
      </c>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81" t="n">
        <v>34</v>
      </c>
      <c r="Z616" s="81" t="n">
        <v>23</v>
      </c>
      <c r="AA616" s="81" t="n">
        <v>20</v>
      </c>
    </row>
    <row r="617" customFormat="false" ht="15" hidden="false" customHeight="true" outlineLevel="0" collapsed="false">
      <c r="A617" s="82" t="s">
        <v>528</v>
      </c>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81" t="n">
        <v>34</v>
      </c>
      <c r="AA617" s="81" t="n">
        <v>23</v>
      </c>
    </row>
    <row r="618" customFormat="false" ht="15" hidden="false" customHeight="true" outlineLevel="0" collapsed="false">
      <c r="A618" s="82" t="s">
        <v>529</v>
      </c>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81" t="n">
        <v>34</v>
      </c>
    </row>
    <row r="619" customFormat="false" ht="15" hidden="false" customHeight="true" outlineLevel="0" collapsed="false">
      <c r="A619" s="34" t="s">
        <v>514</v>
      </c>
      <c r="B619" s="79"/>
      <c r="C619" s="79"/>
      <c r="D619" s="79"/>
      <c r="E619" s="79"/>
      <c r="F619" s="79" t="n">
        <v>8</v>
      </c>
      <c r="G619" s="79" t="n">
        <v>21</v>
      </c>
      <c r="H619" s="79" t="n">
        <v>10</v>
      </c>
      <c r="I619" s="79" t="n">
        <v>22</v>
      </c>
      <c r="J619" s="79" t="n">
        <v>26</v>
      </c>
      <c r="K619" s="79" t="n">
        <v>20</v>
      </c>
      <c r="L619" s="79" t="n">
        <v>37</v>
      </c>
      <c r="M619" s="79" t="n">
        <v>53</v>
      </c>
      <c r="N619" s="79" t="n">
        <v>42</v>
      </c>
      <c r="O619" s="79" t="n">
        <v>63</v>
      </c>
      <c r="P619" s="79" t="n">
        <v>89</v>
      </c>
      <c r="Q619" s="79" t="n">
        <v>57</v>
      </c>
      <c r="R619" s="79" t="n">
        <v>71</v>
      </c>
      <c r="S619" s="79" t="n">
        <v>98</v>
      </c>
      <c r="T619" s="79" t="n">
        <v>65</v>
      </c>
      <c r="U619" s="79" t="n">
        <v>93</v>
      </c>
      <c r="V619" s="79" t="n">
        <v>107</v>
      </c>
      <c r="W619" s="79" t="n">
        <v>113</v>
      </c>
      <c r="X619" s="79" t="n">
        <v>119</v>
      </c>
      <c r="Y619" s="79" t="n">
        <v>132</v>
      </c>
      <c r="Z619" s="79" t="n">
        <v>135</v>
      </c>
      <c r="AA619" s="79" t="n">
        <v>137</v>
      </c>
    </row>
    <row r="621" customFormat="false" ht="19.5" hidden="false" customHeight="true" outlineLevel="0" collapsed="false">
      <c r="A621" s="65" t="s">
        <v>433</v>
      </c>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row>
    <row r="622" customFormat="false" ht="15" hidden="false" customHeight="true" outlineLevel="0" collapsed="false">
      <c r="A622" s="80" t="s">
        <v>530</v>
      </c>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row>
    <row r="623" customFormat="false" ht="15" hidden="false" customHeight="true" outlineLevel="0" collapsed="false">
      <c r="A623" s="12" t="s">
        <v>513</v>
      </c>
      <c r="B623" s="12" t="s">
        <v>113</v>
      </c>
      <c r="C623" s="12" t="s">
        <v>114</v>
      </c>
      <c r="D623" s="12" t="s">
        <v>115</v>
      </c>
      <c r="E623" s="12" t="s">
        <v>116</v>
      </c>
      <c r="F623" s="12" t="s">
        <v>117</v>
      </c>
      <c r="G623" s="12" t="s">
        <v>118</v>
      </c>
      <c r="H623" s="12" t="s">
        <v>119</v>
      </c>
      <c r="I623" s="12" t="s">
        <v>120</v>
      </c>
      <c r="J623" s="12" t="s">
        <v>121</v>
      </c>
      <c r="K623" s="12" t="s">
        <v>122</v>
      </c>
      <c r="L623" s="12" t="s">
        <v>123</v>
      </c>
      <c r="M623" s="12" t="s">
        <v>124</v>
      </c>
      <c r="N623" s="12" t="s">
        <v>125</v>
      </c>
      <c r="O623" s="12" t="s">
        <v>126</v>
      </c>
      <c r="P623" s="12" t="s">
        <v>127</v>
      </c>
      <c r="Q623" s="12" t="s">
        <v>128</v>
      </c>
      <c r="R623" s="12" t="s">
        <v>129</v>
      </c>
      <c r="S623" s="12" t="s">
        <v>130</v>
      </c>
      <c r="T623" s="12" t="s">
        <v>131</v>
      </c>
      <c r="U623" s="12" t="s">
        <v>132</v>
      </c>
      <c r="V623" s="12" t="s">
        <v>518</v>
      </c>
      <c r="W623" s="12" t="s">
        <v>519</v>
      </c>
      <c r="X623" s="12" t="s">
        <v>520</v>
      </c>
      <c r="Y623" s="12" t="s">
        <v>521</v>
      </c>
      <c r="Z623" s="12" t="s">
        <v>522</v>
      </c>
      <c r="AA623" s="12" t="s">
        <v>523</v>
      </c>
    </row>
    <row r="624" customFormat="false" ht="15" hidden="false" customHeight="true" outlineLevel="0" collapsed="false">
      <c r="A624" s="30" t="s">
        <v>113</v>
      </c>
      <c r="B624" s="74" t="n">
        <v>3</v>
      </c>
      <c r="C624" s="74" t="n">
        <v>3</v>
      </c>
      <c r="D624" s="74" t="n">
        <v>3</v>
      </c>
      <c r="E624" s="74" t="n">
        <v>3</v>
      </c>
      <c r="F624" s="74" t="n">
        <v>3</v>
      </c>
      <c r="G624" s="74" t="n">
        <v>3</v>
      </c>
      <c r="H624" s="74" t="n">
        <v>0</v>
      </c>
      <c r="I624" s="74" t="n">
        <v>0</v>
      </c>
      <c r="J624" s="74" t="n">
        <v>0</v>
      </c>
      <c r="K624" s="74" t="n">
        <v>0</v>
      </c>
      <c r="L624" s="74" t="n">
        <v>0</v>
      </c>
      <c r="M624" s="74" t="n">
        <v>0</v>
      </c>
      <c r="N624" s="74" t="n">
        <v>0</v>
      </c>
      <c r="O624" s="74" t="n">
        <v>0</v>
      </c>
      <c r="P624" s="74" t="n">
        <v>0</v>
      </c>
      <c r="Q624" s="74" t="n">
        <v>0</v>
      </c>
      <c r="R624" s="74" t="n">
        <v>0</v>
      </c>
      <c r="S624" s="74" t="n">
        <v>0</v>
      </c>
      <c r="T624" s="74" t="n">
        <v>0</v>
      </c>
      <c r="U624" s="74" t="n">
        <v>0</v>
      </c>
      <c r="V624" s="81" t="n">
        <v>0</v>
      </c>
      <c r="W624" s="81" t="n">
        <v>0</v>
      </c>
      <c r="X624" s="81" t="n">
        <v>0</v>
      </c>
      <c r="Y624" s="81" t="n">
        <v>0</v>
      </c>
      <c r="Z624" s="81" t="n">
        <v>0</v>
      </c>
      <c r="AA624" s="81" t="n">
        <v>0</v>
      </c>
    </row>
    <row r="625" customFormat="false" ht="15" hidden="false" customHeight="true" outlineLevel="0" collapsed="false">
      <c r="A625" s="30" t="s">
        <v>114</v>
      </c>
      <c r="B625" s="76"/>
      <c r="C625" s="74" t="n">
        <v>6</v>
      </c>
      <c r="D625" s="74" t="n">
        <v>5</v>
      </c>
      <c r="E625" s="74" t="n">
        <v>3</v>
      </c>
      <c r="F625" s="74" t="n">
        <v>5</v>
      </c>
      <c r="G625" s="74" t="n">
        <v>4</v>
      </c>
      <c r="H625" s="74" t="n">
        <v>3</v>
      </c>
      <c r="I625" s="74" t="n">
        <v>3</v>
      </c>
      <c r="J625" s="74" t="n">
        <v>2</v>
      </c>
      <c r="K625" s="74" t="n">
        <v>1</v>
      </c>
      <c r="L625" s="74" t="n">
        <v>1</v>
      </c>
      <c r="M625" s="74" t="n">
        <v>0</v>
      </c>
      <c r="N625" s="74" t="n">
        <v>0</v>
      </c>
      <c r="O625" s="74" t="n">
        <v>0</v>
      </c>
      <c r="P625" s="74" t="n">
        <v>0</v>
      </c>
      <c r="Q625" s="74" t="n">
        <v>0</v>
      </c>
      <c r="R625" s="74" t="n">
        <v>0</v>
      </c>
      <c r="S625" s="74" t="n">
        <v>0</v>
      </c>
      <c r="T625" s="74" t="n">
        <v>0</v>
      </c>
      <c r="U625" s="74" t="n">
        <v>0</v>
      </c>
      <c r="V625" s="81" t="n">
        <v>0</v>
      </c>
      <c r="W625" s="81" t="n">
        <v>0</v>
      </c>
      <c r="X625" s="81" t="n">
        <v>0</v>
      </c>
      <c r="Y625" s="81" t="n">
        <v>0</v>
      </c>
      <c r="Z625" s="81" t="n">
        <v>0</v>
      </c>
      <c r="AA625" s="81" t="n">
        <v>0</v>
      </c>
    </row>
    <row r="626" customFormat="false" ht="15" hidden="false" customHeight="true" outlineLevel="0" collapsed="false">
      <c r="A626" s="30" t="s">
        <v>115</v>
      </c>
      <c r="B626" s="76"/>
      <c r="C626" s="76"/>
      <c r="D626" s="74" t="n">
        <v>3</v>
      </c>
      <c r="E626" s="74" t="n">
        <v>3</v>
      </c>
      <c r="F626" s="74" t="n">
        <v>3</v>
      </c>
      <c r="G626" s="74" t="n">
        <v>3</v>
      </c>
      <c r="H626" s="74" t="n">
        <v>3</v>
      </c>
      <c r="I626" s="74" t="n">
        <v>3</v>
      </c>
      <c r="J626" s="74" t="n">
        <v>0</v>
      </c>
      <c r="K626" s="74" t="n">
        <v>0</v>
      </c>
      <c r="L626" s="74" t="n">
        <v>0</v>
      </c>
      <c r="M626" s="74" t="n">
        <v>0</v>
      </c>
      <c r="N626" s="74" t="n">
        <v>0</v>
      </c>
      <c r="O626" s="74" t="n">
        <v>0</v>
      </c>
      <c r="P626" s="74" t="n">
        <v>0</v>
      </c>
      <c r="Q626" s="74" t="n">
        <v>0</v>
      </c>
      <c r="R626" s="74" t="n">
        <v>0</v>
      </c>
      <c r="S626" s="74" t="n">
        <v>0</v>
      </c>
      <c r="T626" s="74" t="n">
        <v>0</v>
      </c>
      <c r="U626" s="74" t="n">
        <v>0</v>
      </c>
      <c r="V626" s="81" t="n">
        <v>0</v>
      </c>
      <c r="W626" s="81" t="n">
        <v>0</v>
      </c>
      <c r="X626" s="81" t="n">
        <v>0</v>
      </c>
      <c r="Y626" s="81" t="n">
        <v>0</v>
      </c>
      <c r="Z626" s="81" t="n">
        <v>0</v>
      </c>
      <c r="AA626" s="81" t="n">
        <v>0</v>
      </c>
    </row>
    <row r="627" customFormat="false" ht="15" hidden="false" customHeight="true" outlineLevel="0" collapsed="false">
      <c r="A627" s="30" t="s">
        <v>117</v>
      </c>
      <c r="B627" s="76"/>
      <c r="C627" s="76"/>
      <c r="D627" s="76"/>
      <c r="E627" s="76"/>
      <c r="F627" s="74" t="n">
        <v>9</v>
      </c>
      <c r="G627" s="74" t="n">
        <v>8</v>
      </c>
      <c r="H627" s="74" t="n">
        <v>7</v>
      </c>
      <c r="I627" s="74" t="n">
        <v>8</v>
      </c>
      <c r="J627" s="74" t="n">
        <v>7</v>
      </c>
      <c r="K627" s="74" t="n">
        <v>2</v>
      </c>
      <c r="L627" s="74" t="n">
        <v>0</v>
      </c>
      <c r="M627" s="74" t="n">
        <v>0</v>
      </c>
      <c r="N627" s="74" t="n">
        <v>0</v>
      </c>
      <c r="O627" s="74" t="n">
        <v>0</v>
      </c>
      <c r="P627" s="74" t="n">
        <v>1</v>
      </c>
      <c r="Q627" s="74" t="n">
        <v>0</v>
      </c>
      <c r="R627" s="74" t="n">
        <v>0</v>
      </c>
      <c r="S627" s="74" t="n">
        <v>0</v>
      </c>
      <c r="T627" s="74" t="n">
        <v>0</v>
      </c>
      <c r="U627" s="74" t="n">
        <v>0</v>
      </c>
      <c r="V627" s="81" t="n">
        <v>0</v>
      </c>
      <c r="W627" s="81" t="n">
        <v>0</v>
      </c>
      <c r="X627" s="81" t="n">
        <v>0</v>
      </c>
      <c r="Y627" s="81" t="n">
        <v>0</v>
      </c>
      <c r="Z627" s="81" t="n">
        <v>0</v>
      </c>
      <c r="AA627" s="81" t="n">
        <v>0</v>
      </c>
    </row>
    <row r="628" customFormat="false" ht="15" hidden="false" customHeight="true" outlineLevel="0" collapsed="false">
      <c r="A628" s="30" t="s">
        <v>118</v>
      </c>
      <c r="B628" s="76"/>
      <c r="C628" s="76"/>
      <c r="D628" s="76"/>
      <c r="E628" s="76"/>
      <c r="F628" s="76"/>
      <c r="G628" s="74" t="n">
        <v>7</v>
      </c>
      <c r="H628" s="74" t="n">
        <v>3</v>
      </c>
      <c r="I628" s="74" t="n">
        <v>3</v>
      </c>
      <c r="J628" s="74" t="n">
        <v>4</v>
      </c>
      <c r="K628" s="74" t="n">
        <v>3</v>
      </c>
      <c r="L628" s="74" t="n">
        <v>3</v>
      </c>
      <c r="M628" s="74" t="n">
        <v>4</v>
      </c>
      <c r="N628" s="74" t="n">
        <v>2</v>
      </c>
      <c r="O628" s="74" t="n">
        <v>2</v>
      </c>
      <c r="P628" s="74" t="n">
        <v>2</v>
      </c>
      <c r="Q628" s="74" t="n">
        <v>2</v>
      </c>
      <c r="R628" s="74" t="n">
        <v>1</v>
      </c>
      <c r="S628" s="74" t="n">
        <v>0</v>
      </c>
      <c r="T628" s="74" t="n">
        <v>0</v>
      </c>
      <c r="U628" s="74" t="n">
        <v>0</v>
      </c>
      <c r="V628" s="81" t="n">
        <v>0</v>
      </c>
      <c r="W628" s="81" t="n">
        <v>0</v>
      </c>
      <c r="X628" s="81" t="n">
        <v>0</v>
      </c>
      <c r="Y628" s="81" t="n">
        <v>0</v>
      </c>
      <c r="Z628" s="81" t="n">
        <v>0</v>
      </c>
      <c r="AA628" s="81" t="n">
        <v>0</v>
      </c>
    </row>
    <row r="629" customFormat="false" ht="15" hidden="false" customHeight="true" outlineLevel="0" collapsed="false">
      <c r="A629" s="30" t="s">
        <v>120</v>
      </c>
      <c r="B629" s="76"/>
      <c r="C629" s="76"/>
      <c r="D629" s="76"/>
      <c r="E629" s="76"/>
      <c r="F629" s="76"/>
      <c r="G629" s="76"/>
      <c r="H629" s="76"/>
      <c r="I629" s="74" t="n">
        <v>9</v>
      </c>
      <c r="J629" s="74" t="n">
        <v>6</v>
      </c>
      <c r="K629" s="74" t="n">
        <v>6</v>
      </c>
      <c r="L629" s="74" t="n">
        <v>6</v>
      </c>
      <c r="M629" s="74" t="n">
        <v>7</v>
      </c>
      <c r="N629" s="74" t="n">
        <v>2</v>
      </c>
      <c r="O629" s="74" t="n">
        <v>2</v>
      </c>
      <c r="P629" s="74" t="n">
        <v>1</v>
      </c>
      <c r="Q629" s="74" t="n">
        <v>1</v>
      </c>
      <c r="R629" s="74" t="n">
        <v>1</v>
      </c>
      <c r="S629" s="74" t="n">
        <v>0</v>
      </c>
      <c r="T629" s="74" t="n">
        <v>1</v>
      </c>
      <c r="U629" s="74" t="n">
        <v>1</v>
      </c>
      <c r="V629" s="81" t="n">
        <v>0</v>
      </c>
      <c r="W629" s="81" t="n">
        <v>0</v>
      </c>
      <c r="X629" s="81" t="n">
        <v>0</v>
      </c>
      <c r="Y629" s="81" t="n">
        <v>0</v>
      </c>
      <c r="Z629" s="81" t="n">
        <v>0</v>
      </c>
      <c r="AA629" s="81" t="n">
        <v>0</v>
      </c>
    </row>
    <row r="630" customFormat="false" ht="15" hidden="false" customHeight="true" outlineLevel="0" collapsed="false">
      <c r="A630" s="30" t="s">
        <v>121</v>
      </c>
      <c r="B630" s="76"/>
      <c r="C630" s="76"/>
      <c r="D630" s="76"/>
      <c r="E630" s="76"/>
      <c r="F630" s="76"/>
      <c r="G630" s="76"/>
      <c r="H630" s="76"/>
      <c r="I630" s="76"/>
      <c r="J630" s="74" t="n">
        <v>11</v>
      </c>
      <c r="K630" s="74" t="n">
        <v>7</v>
      </c>
      <c r="L630" s="74" t="n">
        <v>6</v>
      </c>
      <c r="M630" s="74" t="n">
        <v>7</v>
      </c>
      <c r="N630" s="74" t="n">
        <v>5</v>
      </c>
      <c r="O630" s="74" t="n">
        <v>3</v>
      </c>
      <c r="P630" s="74" t="n">
        <v>1</v>
      </c>
      <c r="Q630" s="74" t="n">
        <v>0</v>
      </c>
      <c r="R630" s="74" t="n">
        <v>0</v>
      </c>
      <c r="S630" s="74" t="n">
        <v>0</v>
      </c>
      <c r="T630" s="74" t="n">
        <v>0</v>
      </c>
      <c r="U630" s="74" t="n">
        <v>0</v>
      </c>
      <c r="V630" s="81" t="n">
        <v>0</v>
      </c>
      <c r="W630" s="81" t="n">
        <v>0</v>
      </c>
      <c r="X630" s="81" t="n">
        <v>0</v>
      </c>
      <c r="Y630" s="81" t="n">
        <v>0</v>
      </c>
      <c r="Z630" s="81" t="n">
        <v>0</v>
      </c>
      <c r="AA630" s="81" t="n">
        <v>0</v>
      </c>
    </row>
    <row r="631" customFormat="false" ht="15" hidden="false" customHeight="true" outlineLevel="0" collapsed="false">
      <c r="A631" s="30" t="s">
        <v>123</v>
      </c>
      <c r="B631" s="76"/>
      <c r="C631" s="76"/>
      <c r="D631" s="76"/>
      <c r="E631" s="76"/>
      <c r="F631" s="76"/>
      <c r="G631" s="76"/>
      <c r="H631" s="76"/>
      <c r="I631" s="76"/>
      <c r="J631" s="76"/>
      <c r="K631" s="76"/>
      <c r="L631" s="74" t="n">
        <v>21</v>
      </c>
      <c r="M631" s="74" t="n">
        <v>20</v>
      </c>
      <c r="N631" s="74" t="n">
        <v>15</v>
      </c>
      <c r="O631" s="74" t="n">
        <v>14</v>
      </c>
      <c r="P631" s="74" t="n">
        <v>13</v>
      </c>
      <c r="Q631" s="74" t="n">
        <v>7</v>
      </c>
      <c r="R631" s="74" t="n">
        <v>1</v>
      </c>
      <c r="S631" s="74" t="n">
        <v>2</v>
      </c>
      <c r="T631" s="74" t="n">
        <v>1</v>
      </c>
      <c r="U631" s="74" t="n">
        <v>1</v>
      </c>
      <c r="V631" s="81" t="n">
        <v>1</v>
      </c>
      <c r="W631" s="81" t="n">
        <v>0</v>
      </c>
      <c r="X631" s="81" t="n">
        <v>0</v>
      </c>
      <c r="Y631" s="81" t="n">
        <v>0</v>
      </c>
      <c r="Z631" s="81" t="n">
        <v>0</v>
      </c>
      <c r="AA631" s="81" t="n">
        <v>0</v>
      </c>
    </row>
    <row r="632" customFormat="false" ht="15" hidden="false" customHeight="true" outlineLevel="0" collapsed="false">
      <c r="A632" s="30" t="s">
        <v>124</v>
      </c>
      <c r="B632" s="76"/>
      <c r="C632" s="76"/>
      <c r="D632" s="76"/>
      <c r="E632" s="76"/>
      <c r="F632" s="76"/>
      <c r="G632" s="76"/>
      <c r="H632" s="76"/>
      <c r="I632" s="76"/>
      <c r="J632" s="76"/>
      <c r="K632" s="76"/>
      <c r="L632" s="76"/>
      <c r="M632" s="74" t="n">
        <v>13</v>
      </c>
      <c r="N632" s="74" t="n">
        <v>9</v>
      </c>
      <c r="O632" s="74" t="n">
        <v>8</v>
      </c>
      <c r="P632" s="74" t="n">
        <v>9</v>
      </c>
      <c r="Q632" s="74" t="n">
        <v>7</v>
      </c>
      <c r="R632" s="74" t="n">
        <v>4</v>
      </c>
      <c r="S632" s="74" t="n">
        <v>2</v>
      </c>
      <c r="T632" s="74" t="n">
        <v>1</v>
      </c>
      <c r="U632" s="74" t="n">
        <v>2</v>
      </c>
      <c r="V632" s="81" t="n">
        <v>1</v>
      </c>
      <c r="W632" s="81" t="n">
        <v>1</v>
      </c>
      <c r="X632" s="81" t="n">
        <v>1</v>
      </c>
      <c r="Y632" s="81" t="n">
        <v>0</v>
      </c>
      <c r="Z632" s="81" t="n">
        <v>0</v>
      </c>
      <c r="AA632" s="81" t="n">
        <v>0</v>
      </c>
    </row>
    <row r="633" customFormat="false" ht="15" hidden="false" customHeight="true" outlineLevel="0" collapsed="false">
      <c r="A633" s="30" t="s">
        <v>125</v>
      </c>
      <c r="B633" s="76"/>
      <c r="C633" s="76"/>
      <c r="D633" s="76"/>
      <c r="E633" s="76"/>
      <c r="F633" s="76"/>
      <c r="G633" s="76"/>
      <c r="H633" s="76"/>
      <c r="I633" s="76"/>
      <c r="J633" s="76"/>
      <c r="K633" s="76"/>
      <c r="L633" s="76"/>
      <c r="M633" s="76"/>
      <c r="N633" s="74" t="n">
        <v>1</v>
      </c>
      <c r="O633" s="74" t="n">
        <v>1</v>
      </c>
      <c r="P633" s="74" t="n">
        <v>1</v>
      </c>
      <c r="Q633" s="74" t="n">
        <v>1</v>
      </c>
      <c r="R633" s="74" t="n">
        <v>1</v>
      </c>
      <c r="S633" s="74" t="n">
        <v>1</v>
      </c>
      <c r="T633" s="74" t="n">
        <v>1</v>
      </c>
      <c r="U633" s="74" t="n">
        <v>0</v>
      </c>
      <c r="V633" s="81" t="n">
        <v>0</v>
      </c>
      <c r="W633" s="81" t="n">
        <v>0</v>
      </c>
      <c r="X633" s="81" t="n">
        <v>0</v>
      </c>
      <c r="Y633" s="81" t="n">
        <v>0</v>
      </c>
      <c r="Z633" s="81" t="n">
        <v>0</v>
      </c>
      <c r="AA633" s="81" t="n">
        <v>0</v>
      </c>
    </row>
    <row r="634" customFormat="false" ht="15" hidden="false" customHeight="true" outlineLevel="0" collapsed="false">
      <c r="A634" s="30" t="s">
        <v>126</v>
      </c>
      <c r="B634" s="76"/>
      <c r="C634" s="76"/>
      <c r="D634" s="76"/>
      <c r="E634" s="76"/>
      <c r="F634" s="76"/>
      <c r="G634" s="76"/>
      <c r="H634" s="76"/>
      <c r="I634" s="76"/>
      <c r="J634" s="76"/>
      <c r="K634" s="76"/>
      <c r="L634" s="76"/>
      <c r="M634" s="76"/>
      <c r="N634" s="76"/>
      <c r="O634" s="74" t="n">
        <v>19</v>
      </c>
      <c r="P634" s="74" t="n">
        <v>11</v>
      </c>
      <c r="Q634" s="74" t="n">
        <v>9</v>
      </c>
      <c r="R634" s="74" t="n">
        <v>12</v>
      </c>
      <c r="S634" s="74" t="n">
        <v>12</v>
      </c>
      <c r="T634" s="74" t="n">
        <v>5</v>
      </c>
      <c r="U634" s="74" t="n">
        <v>2</v>
      </c>
      <c r="V634" s="81" t="n">
        <v>1</v>
      </c>
      <c r="W634" s="81" t="n">
        <v>1</v>
      </c>
      <c r="X634" s="81" t="n">
        <v>1</v>
      </c>
      <c r="Y634" s="81" t="n">
        <v>0</v>
      </c>
      <c r="Z634" s="81" t="n">
        <v>0</v>
      </c>
      <c r="AA634" s="81" t="n">
        <v>0</v>
      </c>
    </row>
    <row r="635" customFormat="false" ht="15" hidden="false" customHeight="true" outlineLevel="0" collapsed="false">
      <c r="A635" s="30" t="s">
        <v>127</v>
      </c>
      <c r="B635" s="76"/>
      <c r="C635" s="76"/>
      <c r="D635" s="76"/>
      <c r="E635" s="76"/>
      <c r="F635" s="76"/>
      <c r="G635" s="76"/>
      <c r="H635" s="76"/>
      <c r="I635" s="76"/>
      <c r="J635" s="76"/>
      <c r="K635" s="76"/>
      <c r="L635" s="76"/>
      <c r="M635" s="76"/>
      <c r="N635" s="76"/>
      <c r="O635" s="76"/>
      <c r="P635" s="74" t="n">
        <v>15</v>
      </c>
      <c r="Q635" s="74" t="n">
        <v>9</v>
      </c>
      <c r="R635" s="74" t="n">
        <v>8</v>
      </c>
      <c r="S635" s="74" t="n">
        <v>7</v>
      </c>
      <c r="T635" s="74" t="n">
        <v>6</v>
      </c>
      <c r="U635" s="74" t="n">
        <v>2</v>
      </c>
      <c r="V635" s="81" t="n">
        <v>1</v>
      </c>
      <c r="W635" s="81" t="n">
        <v>1</v>
      </c>
      <c r="X635" s="81" t="n">
        <v>0</v>
      </c>
      <c r="Y635" s="81" t="n">
        <v>0</v>
      </c>
      <c r="Z635" s="81" t="n">
        <v>0</v>
      </c>
      <c r="AA635" s="81" t="n">
        <v>0</v>
      </c>
    </row>
    <row r="636" customFormat="false" ht="15" hidden="false" customHeight="true" outlineLevel="0" collapsed="false">
      <c r="A636" s="30" t="s">
        <v>129</v>
      </c>
      <c r="B636" s="76"/>
      <c r="C636" s="76"/>
      <c r="D636" s="76"/>
      <c r="E636" s="76"/>
      <c r="F636" s="76"/>
      <c r="G636" s="76"/>
      <c r="H636" s="76"/>
      <c r="I636" s="76"/>
      <c r="J636" s="76"/>
      <c r="K636" s="76"/>
      <c r="L636" s="76"/>
      <c r="M636" s="76"/>
      <c r="N636" s="76"/>
      <c r="O636" s="76"/>
      <c r="P636" s="76"/>
      <c r="Q636" s="76"/>
      <c r="R636" s="74" t="n">
        <v>22</v>
      </c>
      <c r="S636" s="74" t="n">
        <v>20</v>
      </c>
      <c r="T636" s="74" t="n">
        <v>15</v>
      </c>
      <c r="U636" s="74" t="n">
        <v>18</v>
      </c>
      <c r="V636" s="81" t="n">
        <v>16</v>
      </c>
      <c r="W636" s="81" t="n">
        <v>9</v>
      </c>
      <c r="X636" s="81" t="n">
        <v>4</v>
      </c>
      <c r="Y636" s="81" t="n">
        <v>2</v>
      </c>
      <c r="Z636" s="81" t="n">
        <v>2</v>
      </c>
      <c r="AA636" s="81" t="n">
        <v>2</v>
      </c>
    </row>
    <row r="637" customFormat="false" ht="15" hidden="false" customHeight="true" outlineLevel="0" collapsed="false">
      <c r="A637" s="30" t="s">
        <v>130</v>
      </c>
      <c r="B637" s="76"/>
      <c r="C637" s="76"/>
      <c r="D637" s="76"/>
      <c r="E637" s="76"/>
      <c r="F637" s="76"/>
      <c r="G637" s="76"/>
      <c r="H637" s="76"/>
      <c r="I637" s="76"/>
      <c r="J637" s="76"/>
      <c r="K637" s="76"/>
      <c r="L637" s="76"/>
      <c r="M637" s="76"/>
      <c r="N637" s="76"/>
      <c r="O637" s="76"/>
      <c r="P637" s="76"/>
      <c r="Q637" s="76"/>
      <c r="R637" s="76"/>
      <c r="S637" s="74" t="n">
        <v>16</v>
      </c>
      <c r="T637" s="74" t="n">
        <v>11</v>
      </c>
      <c r="U637" s="74" t="n">
        <v>13</v>
      </c>
      <c r="V637" s="81" t="n">
        <v>14</v>
      </c>
      <c r="W637" s="81" t="n">
        <v>13</v>
      </c>
      <c r="X637" s="81" t="n">
        <v>7</v>
      </c>
      <c r="Y637" s="81" t="n">
        <v>3</v>
      </c>
      <c r="Z637" s="81" t="n">
        <v>2</v>
      </c>
      <c r="AA637" s="81" t="n">
        <v>2</v>
      </c>
    </row>
    <row r="638" customFormat="false" ht="15" hidden="false" customHeight="true" outlineLevel="0" collapsed="false">
      <c r="A638" s="30" t="s">
        <v>132</v>
      </c>
      <c r="B638" s="76"/>
      <c r="C638" s="76"/>
      <c r="D638" s="76"/>
      <c r="E638" s="76"/>
      <c r="F638" s="76"/>
      <c r="G638" s="76"/>
      <c r="H638" s="76"/>
      <c r="I638" s="76"/>
      <c r="J638" s="76"/>
      <c r="K638" s="76"/>
      <c r="L638" s="76"/>
      <c r="M638" s="76"/>
      <c r="N638" s="76"/>
      <c r="O638" s="76"/>
      <c r="P638" s="76"/>
      <c r="Q638" s="76"/>
      <c r="R638" s="76"/>
      <c r="S638" s="76"/>
      <c r="T638" s="76"/>
      <c r="U638" s="74" t="n">
        <v>20</v>
      </c>
      <c r="V638" s="81" t="n">
        <v>16</v>
      </c>
      <c r="W638" s="81" t="n">
        <v>13</v>
      </c>
      <c r="X638" s="81" t="n">
        <v>14</v>
      </c>
      <c r="Y638" s="81" t="n">
        <v>13</v>
      </c>
      <c r="Z638" s="81" t="n">
        <v>7</v>
      </c>
      <c r="AA638" s="81" t="n">
        <v>3</v>
      </c>
    </row>
    <row r="639" customFormat="false" ht="15" hidden="false" customHeight="true" outlineLevel="0" collapsed="false">
      <c r="A639" s="82" t="s">
        <v>524</v>
      </c>
      <c r="B639" s="76"/>
      <c r="C639" s="76"/>
      <c r="D639" s="76"/>
      <c r="E639" s="76"/>
      <c r="F639" s="76"/>
      <c r="G639" s="76"/>
      <c r="H639" s="76"/>
      <c r="I639" s="76"/>
      <c r="J639" s="76"/>
      <c r="K639" s="76"/>
      <c r="L639" s="76"/>
      <c r="M639" s="76"/>
      <c r="N639" s="76"/>
      <c r="O639" s="76"/>
      <c r="P639" s="76"/>
      <c r="Q639" s="76"/>
      <c r="R639" s="76"/>
      <c r="S639" s="76"/>
      <c r="T639" s="76"/>
      <c r="U639" s="76"/>
      <c r="V639" s="81" t="n">
        <v>19</v>
      </c>
      <c r="W639" s="81" t="n">
        <v>15</v>
      </c>
      <c r="X639" s="81" t="n">
        <v>13</v>
      </c>
      <c r="Y639" s="81" t="n">
        <v>14</v>
      </c>
      <c r="Z639" s="81" t="n">
        <v>12</v>
      </c>
      <c r="AA639" s="81" t="n">
        <v>7</v>
      </c>
    </row>
    <row r="640" customFormat="false" ht="15" hidden="false" customHeight="true" outlineLevel="0" collapsed="false">
      <c r="A640" s="82" t="s">
        <v>525</v>
      </c>
      <c r="B640" s="76"/>
      <c r="C640" s="76"/>
      <c r="D640" s="76"/>
      <c r="E640" s="76"/>
      <c r="F640" s="76"/>
      <c r="G640" s="76"/>
      <c r="H640" s="76"/>
      <c r="I640" s="76"/>
      <c r="J640" s="76"/>
      <c r="K640" s="76"/>
      <c r="L640" s="76"/>
      <c r="M640" s="76"/>
      <c r="N640" s="76"/>
      <c r="O640" s="76"/>
      <c r="P640" s="76"/>
      <c r="Q640" s="76"/>
      <c r="R640" s="76"/>
      <c r="S640" s="76"/>
      <c r="T640" s="76"/>
      <c r="U640" s="76"/>
      <c r="V640" s="76"/>
      <c r="W640" s="81" t="n">
        <v>19</v>
      </c>
      <c r="X640" s="81" t="n">
        <v>15</v>
      </c>
      <c r="Y640" s="81" t="n">
        <v>13</v>
      </c>
      <c r="Z640" s="81" t="n">
        <v>14</v>
      </c>
      <c r="AA640" s="81" t="n">
        <v>12</v>
      </c>
    </row>
    <row r="641" customFormat="false" ht="15" hidden="false" customHeight="true" outlineLevel="0" collapsed="false">
      <c r="A641" s="82" t="s">
        <v>526</v>
      </c>
      <c r="B641" s="76"/>
      <c r="C641" s="76"/>
      <c r="D641" s="76"/>
      <c r="E641" s="76"/>
      <c r="F641" s="76"/>
      <c r="G641" s="76"/>
      <c r="H641" s="76"/>
      <c r="I641" s="76"/>
      <c r="J641" s="76"/>
      <c r="K641" s="76"/>
      <c r="L641" s="76"/>
      <c r="M641" s="76"/>
      <c r="N641" s="76"/>
      <c r="O641" s="76"/>
      <c r="P641" s="76"/>
      <c r="Q641" s="76"/>
      <c r="R641" s="76"/>
      <c r="S641" s="76"/>
      <c r="T641" s="76"/>
      <c r="U641" s="76"/>
      <c r="V641" s="76"/>
      <c r="W641" s="76"/>
      <c r="X641" s="81" t="n">
        <v>19</v>
      </c>
      <c r="Y641" s="81" t="n">
        <v>15</v>
      </c>
      <c r="Z641" s="81" t="n">
        <v>13</v>
      </c>
      <c r="AA641" s="81" t="n">
        <v>14</v>
      </c>
    </row>
    <row r="642" customFormat="false" ht="15" hidden="false" customHeight="true" outlineLevel="0" collapsed="false">
      <c r="A642" s="82" t="s">
        <v>527</v>
      </c>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81" t="n">
        <v>19</v>
      </c>
      <c r="Z642" s="81" t="n">
        <v>15</v>
      </c>
      <c r="AA642" s="81" t="n">
        <v>13</v>
      </c>
    </row>
    <row r="643" customFormat="false" ht="15" hidden="false" customHeight="true" outlineLevel="0" collapsed="false">
      <c r="A643" s="82" t="s">
        <v>528</v>
      </c>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81" t="n">
        <v>19</v>
      </c>
      <c r="AA643" s="81" t="n">
        <v>15</v>
      </c>
    </row>
    <row r="644" customFormat="false" ht="15" hidden="false" customHeight="true" outlineLevel="0" collapsed="false">
      <c r="A644" s="82" t="s">
        <v>529</v>
      </c>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81" t="n">
        <v>19</v>
      </c>
    </row>
    <row r="645" customFormat="false" ht="15" hidden="false" customHeight="true" outlineLevel="0" collapsed="false">
      <c r="A645" s="34" t="s">
        <v>514</v>
      </c>
      <c r="B645" s="79" t="n">
        <v>3</v>
      </c>
      <c r="C645" s="79" t="n">
        <v>9</v>
      </c>
      <c r="D645" s="79" t="n">
        <v>11</v>
      </c>
      <c r="E645" s="79" t="n">
        <v>9</v>
      </c>
      <c r="F645" s="79" t="n">
        <v>20</v>
      </c>
      <c r="G645" s="79" t="n">
        <v>25</v>
      </c>
      <c r="H645" s="79" t="n">
        <v>16</v>
      </c>
      <c r="I645" s="79" t="n">
        <v>26</v>
      </c>
      <c r="J645" s="79" t="n">
        <v>30</v>
      </c>
      <c r="K645" s="79" t="n">
        <v>19</v>
      </c>
      <c r="L645" s="79" t="n">
        <v>37</v>
      </c>
      <c r="M645" s="79" t="n">
        <v>51</v>
      </c>
      <c r="N645" s="79" t="n">
        <v>34</v>
      </c>
      <c r="O645" s="79" t="n">
        <v>49</v>
      </c>
      <c r="P645" s="79" t="n">
        <v>54</v>
      </c>
      <c r="Q645" s="79" t="n">
        <v>36</v>
      </c>
      <c r="R645" s="79" t="n">
        <v>50</v>
      </c>
      <c r="S645" s="79" t="n">
        <v>60</v>
      </c>
      <c r="T645" s="79" t="n">
        <v>41</v>
      </c>
      <c r="U645" s="79" t="n">
        <v>59</v>
      </c>
      <c r="V645" s="79" t="n">
        <v>69</v>
      </c>
      <c r="W645" s="79" t="n">
        <v>72</v>
      </c>
      <c r="X645" s="79" t="n">
        <v>74</v>
      </c>
      <c r="Y645" s="79" t="n">
        <v>80</v>
      </c>
      <c r="Z645" s="79" t="n">
        <v>84</v>
      </c>
      <c r="AA645" s="79" t="n">
        <v>86</v>
      </c>
    </row>
    <row r="647" customFormat="false" ht="19.5" hidden="false" customHeight="true" outlineLevel="0" collapsed="false">
      <c r="A647" s="65" t="s">
        <v>434</v>
      </c>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row>
    <row r="648" customFormat="false" ht="15" hidden="false" customHeight="true" outlineLevel="0" collapsed="false">
      <c r="A648" s="80" t="s">
        <v>542</v>
      </c>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row>
    <row r="649" customFormat="false" ht="15" hidden="false" customHeight="true" outlineLevel="0" collapsed="false">
      <c r="A649" s="12" t="s">
        <v>513</v>
      </c>
      <c r="B649" s="12" t="s">
        <v>113</v>
      </c>
      <c r="C649" s="12" t="s">
        <v>114</v>
      </c>
      <c r="D649" s="12" t="s">
        <v>115</v>
      </c>
      <c r="E649" s="12" t="s">
        <v>116</v>
      </c>
      <c r="F649" s="12" t="s">
        <v>117</v>
      </c>
      <c r="G649" s="12" t="s">
        <v>118</v>
      </c>
      <c r="H649" s="12" t="s">
        <v>119</v>
      </c>
      <c r="I649" s="12" t="s">
        <v>120</v>
      </c>
      <c r="J649" s="12" t="s">
        <v>121</v>
      </c>
      <c r="K649" s="12" t="s">
        <v>122</v>
      </c>
      <c r="L649" s="12" t="s">
        <v>123</v>
      </c>
      <c r="M649" s="12" t="s">
        <v>124</v>
      </c>
      <c r="N649" s="12" t="s">
        <v>125</v>
      </c>
      <c r="O649" s="12" t="s">
        <v>126</v>
      </c>
      <c r="P649" s="12" t="s">
        <v>127</v>
      </c>
      <c r="Q649" s="12" t="s">
        <v>128</v>
      </c>
      <c r="R649" s="12" t="s">
        <v>129</v>
      </c>
      <c r="S649" s="12" t="s">
        <v>130</v>
      </c>
      <c r="T649" s="12" t="s">
        <v>131</v>
      </c>
      <c r="U649" s="12" t="s">
        <v>132</v>
      </c>
      <c r="V649" s="12" t="s">
        <v>518</v>
      </c>
      <c r="W649" s="12" t="s">
        <v>519</v>
      </c>
      <c r="X649" s="12" t="s">
        <v>520</v>
      </c>
      <c r="Y649" s="12" t="s">
        <v>521</v>
      </c>
      <c r="Z649" s="12" t="s">
        <v>522</v>
      </c>
      <c r="AA649" s="12" t="s">
        <v>523</v>
      </c>
    </row>
    <row r="650" customFormat="false" ht="15" hidden="false" customHeight="true" outlineLevel="0" collapsed="false">
      <c r="A650" s="30" t="s">
        <v>120</v>
      </c>
      <c r="B650" s="76"/>
      <c r="C650" s="76"/>
      <c r="D650" s="76"/>
      <c r="E650" s="76"/>
      <c r="F650" s="76"/>
      <c r="G650" s="76"/>
      <c r="H650" s="76"/>
      <c r="I650" s="74" t="n">
        <v>10</v>
      </c>
      <c r="J650" s="74" t="n">
        <v>9</v>
      </c>
      <c r="K650" s="74" t="n">
        <v>7</v>
      </c>
      <c r="L650" s="74" t="n">
        <v>9</v>
      </c>
      <c r="M650" s="74" t="n">
        <v>3</v>
      </c>
      <c r="N650" s="74" t="n">
        <v>1</v>
      </c>
      <c r="O650" s="74" t="n">
        <v>1</v>
      </c>
      <c r="P650" s="74" t="n">
        <v>0</v>
      </c>
      <c r="Q650" s="74" t="n">
        <v>0</v>
      </c>
      <c r="R650" s="74" t="n">
        <v>1</v>
      </c>
      <c r="S650" s="74" t="n">
        <v>0</v>
      </c>
      <c r="T650" s="74" t="n">
        <v>0</v>
      </c>
      <c r="U650" s="74" t="n">
        <v>0</v>
      </c>
      <c r="V650" s="81" t="n">
        <v>0</v>
      </c>
      <c r="W650" s="81" t="n">
        <v>0</v>
      </c>
      <c r="X650" s="81" t="n">
        <v>0</v>
      </c>
      <c r="Y650" s="81" t="n">
        <v>0</v>
      </c>
      <c r="Z650" s="81" t="n">
        <v>0</v>
      </c>
      <c r="AA650" s="81" t="n">
        <v>0</v>
      </c>
    </row>
    <row r="651" customFormat="false" ht="15" hidden="false" customHeight="true" outlineLevel="0" collapsed="false">
      <c r="A651" s="30" t="s">
        <v>121</v>
      </c>
      <c r="B651" s="76"/>
      <c r="C651" s="76"/>
      <c r="D651" s="76"/>
      <c r="E651" s="76"/>
      <c r="F651" s="76"/>
      <c r="G651" s="76"/>
      <c r="H651" s="76"/>
      <c r="I651" s="76"/>
      <c r="J651" s="74" t="n">
        <v>20</v>
      </c>
      <c r="K651" s="74" t="n">
        <v>17</v>
      </c>
      <c r="L651" s="74" t="n">
        <v>17</v>
      </c>
      <c r="M651" s="74" t="n">
        <v>16</v>
      </c>
      <c r="N651" s="74" t="n">
        <v>4</v>
      </c>
      <c r="O651" s="74" t="n">
        <v>3</v>
      </c>
      <c r="P651" s="74" t="n">
        <v>1</v>
      </c>
      <c r="Q651" s="74" t="n">
        <v>0</v>
      </c>
      <c r="R651" s="74" t="n">
        <v>1</v>
      </c>
      <c r="S651" s="74" t="n">
        <v>0</v>
      </c>
      <c r="T651" s="74" t="n">
        <v>0</v>
      </c>
      <c r="U651" s="74" t="n">
        <v>0</v>
      </c>
      <c r="V651" s="81" t="n">
        <v>0</v>
      </c>
      <c r="W651" s="81" t="n">
        <v>0</v>
      </c>
      <c r="X651" s="81" t="n">
        <v>0</v>
      </c>
      <c r="Y651" s="81" t="n">
        <v>0</v>
      </c>
      <c r="Z651" s="81" t="n">
        <v>0</v>
      </c>
      <c r="AA651" s="81" t="n">
        <v>0</v>
      </c>
    </row>
    <row r="652" customFormat="false" ht="15" hidden="false" customHeight="true" outlineLevel="0" collapsed="false">
      <c r="A652" s="30" t="s">
        <v>122</v>
      </c>
      <c r="B652" s="76"/>
      <c r="C652" s="76"/>
      <c r="D652" s="76"/>
      <c r="E652" s="76"/>
      <c r="F652" s="76"/>
      <c r="G652" s="76"/>
      <c r="H652" s="76"/>
      <c r="I652" s="76"/>
      <c r="J652" s="76"/>
      <c r="K652" s="74" t="n">
        <v>1</v>
      </c>
      <c r="L652" s="74" t="n">
        <v>1</v>
      </c>
      <c r="M652" s="74" t="n">
        <v>1</v>
      </c>
      <c r="N652" s="74" t="n">
        <v>1</v>
      </c>
      <c r="O652" s="74" t="n">
        <v>1</v>
      </c>
      <c r="P652" s="74" t="n">
        <v>0</v>
      </c>
      <c r="Q652" s="74" t="n">
        <v>0</v>
      </c>
      <c r="R652" s="74" t="n">
        <v>0</v>
      </c>
      <c r="S652" s="74" t="n">
        <v>0</v>
      </c>
      <c r="T652" s="74" t="n">
        <v>0</v>
      </c>
      <c r="U652" s="74" t="n">
        <v>0</v>
      </c>
      <c r="V652" s="81" t="n">
        <v>0</v>
      </c>
      <c r="W652" s="81" t="n">
        <v>0</v>
      </c>
      <c r="X652" s="81" t="n">
        <v>0</v>
      </c>
      <c r="Y652" s="81" t="n">
        <v>0</v>
      </c>
      <c r="Z652" s="81" t="n">
        <v>0</v>
      </c>
      <c r="AA652" s="81" t="n">
        <v>0</v>
      </c>
    </row>
    <row r="653" customFormat="false" ht="15" hidden="false" customHeight="true" outlineLevel="0" collapsed="false">
      <c r="A653" s="30" t="s">
        <v>123</v>
      </c>
      <c r="B653" s="76"/>
      <c r="C653" s="76"/>
      <c r="D653" s="76"/>
      <c r="E653" s="76"/>
      <c r="F653" s="76"/>
      <c r="G653" s="76"/>
      <c r="H653" s="76"/>
      <c r="I653" s="76"/>
      <c r="J653" s="76"/>
      <c r="K653" s="76"/>
      <c r="L653" s="74" t="n">
        <v>32</v>
      </c>
      <c r="M653" s="74" t="n">
        <v>27</v>
      </c>
      <c r="N653" s="74" t="n">
        <v>24</v>
      </c>
      <c r="O653" s="74" t="n">
        <v>25</v>
      </c>
      <c r="P653" s="74" t="n">
        <v>1</v>
      </c>
      <c r="Q653" s="74" t="n">
        <v>0</v>
      </c>
      <c r="R653" s="74" t="n">
        <v>0</v>
      </c>
      <c r="S653" s="74" t="n">
        <v>0</v>
      </c>
      <c r="T653" s="74" t="n">
        <v>0</v>
      </c>
      <c r="U653" s="74" t="n">
        <v>0</v>
      </c>
      <c r="V653" s="81" t="n">
        <v>0</v>
      </c>
      <c r="W653" s="81" t="n">
        <v>0</v>
      </c>
      <c r="X653" s="81" t="n">
        <v>0</v>
      </c>
      <c r="Y653" s="81" t="n">
        <v>0</v>
      </c>
      <c r="Z653" s="81" t="n">
        <v>0</v>
      </c>
      <c r="AA653" s="81" t="n">
        <v>0</v>
      </c>
    </row>
    <row r="654" customFormat="false" ht="15" hidden="false" customHeight="true" outlineLevel="0" collapsed="false">
      <c r="A654" s="30" t="s">
        <v>124</v>
      </c>
      <c r="B654" s="76"/>
      <c r="C654" s="76"/>
      <c r="D654" s="76"/>
      <c r="E654" s="76"/>
      <c r="F654" s="76"/>
      <c r="G654" s="76"/>
      <c r="H654" s="76"/>
      <c r="I654" s="76"/>
      <c r="J654" s="76"/>
      <c r="K654" s="76"/>
      <c r="L654" s="76"/>
      <c r="M654" s="74" t="n">
        <v>25</v>
      </c>
      <c r="N654" s="74" t="n">
        <v>24</v>
      </c>
      <c r="O654" s="74" t="n">
        <v>23</v>
      </c>
      <c r="P654" s="74" t="n">
        <v>20</v>
      </c>
      <c r="Q654" s="74" t="n">
        <v>1</v>
      </c>
      <c r="R654" s="74" t="n">
        <v>4</v>
      </c>
      <c r="S654" s="74" t="n">
        <v>2</v>
      </c>
      <c r="T654" s="74" t="n">
        <v>0</v>
      </c>
      <c r="U654" s="74" t="n">
        <v>0</v>
      </c>
      <c r="V654" s="81" t="n">
        <v>0</v>
      </c>
      <c r="W654" s="81" t="n">
        <v>0</v>
      </c>
      <c r="X654" s="81" t="n">
        <v>0</v>
      </c>
      <c r="Y654" s="81" t="n">
        <v>0</v>
      </c>
      <c r="Z654" s="81" t="n">
        <v>0</v>
      </c>
      <c r="AA654" s="81" t="n">
        <v>0</v>
      </c>
    </row>
    <row r="655" customFormat="false" ht="15" hidden="false" customHeight="true" outlineLevel="0" collapsed="false">
      <c r="A655" s="30" t="s">
        <v>125</v>
      </c>
      <c r="B655" s="76"/>
      <c r="C655" s="76"/>
      <c r="D655" s="76"/>
      <c r="E655" s="76"/>
      <c r="F655" s="76"/>
      <c r="G655" s="76"/>
      <c r="H655" s="76"/>
      <c r="I655" s="76"/>
      <c r="J655" s="76"/>
      <c r="K655" s="76"/>
      <c r="L655" s="76"/>
      <c r="M655" s="76"/>
      <c r="N655" s="74" t="n">
        <v>1</v>
      </c>
      <c r="O655" s="74" t="n">
        <v>1</v>
      </c>
      <c r="P655" s="74" t="n">
        <v>0</v>
      </c>
      <c r="Q655" s="74" t="n">
        <v>0</v>
      </c>
      <c r="R655" s="74" t="n">
        <v>0</v>
      </c>
      <c r="S655" s="74" t="n">
        <v>0</v>
      </c>
      <c r="T655" s="74" t="n">
        <v>0</v>
      </c>
      <c r="U655" s="74" t="n">
        <v>0</v>
      </c>
      <c r="V655" s="81" t="n">
        <v>0</v>
      </c>
      <c r="W655" s="81" t="n">
        <v>0</v>
      </c>
      <c r="X655" s="81" t="n">
        <v>0</v>
      </c>
      <c r="Y655" s="81" t="n">
        <v>0</v>
      </c>
      <c r="Z655" s="81" t="n">
        <v>0</v>
      </c>
      <c r="AA655" s="81" t="n">
        <v>0</v>
      </c>
    </row>
    <row r="656" customFormat="false" ht="15" hidden="false" customHeight="true" outlineLevel="0" collapsed="false">
      <c r="A656" s="30" t="s">
        <v>126</v>
      </c>
      <c r="B656" s="76"/>
      <c r="C656" s="76"/>
      <c r="D656" s="76"/>
      <c r="E656" s="76"/>
      <c r="F656" s="76"/>
      <c r="G656" s="76"/>
      <c r="H656" s="76"/>
      <c r="I656" s="76"/>
      <c r="J656" s="76"/>
      <c r="K656" s="76"/>
      <c r="L656" s="76"/>
      <c r="M656" s="76"/>
      <c r="N656" s="76"/>
      <c r="O656" s="74" t="n">
        <v>18</v>
      </c>
      <c r="P656" s="74" t="n">
        <v>17</v>
      </c>
      <c r="Q656" s="74" t="n">
        <v>14</v>
      </c>
      <c r="R656" s="74" t="n">
        <v>17</v>
      </c>
      <c r="S656" s="74" t="n">
        <v>5</v>
      </c>
      <c r="T656" s="74" t="n">
        <v>2</v>
      </c>
      <c r="U656" s="74" t="n">
        <v>3</v>
      </c>
      <c r="V656" s="81" t="n">
        <v>0</v>
      </c>
      <c r="W656" s="81" t="n">
        <v>0</v>
      </c>
      <c r="X656" s="81" t="n">
        <v>0</v>
      </c>
      <c r="Y656" s="81" t="n">
        <v>0</v>
      </c>
      <c r="Z656" s="81" t="n">
        <v>0</v>
      </c>
      <c r="AA656" s="81" t="n">
        <v>0</v>
      </c>
    </row>
    <row r="657" customFormat="false" ht="15" hidden="false" customHeight="true" outlineLevel="0" collapsed="false">
      <c r="A657" s="30" t="s">
        <v>127</v>
      </c>
      <c r="B657" s="76"/>
      <c r="C657" s="76"/>
      <c r="D657" s="76"/>
      <c r="E657" s="76"/>
      <c r="F657" s="76"/>
      <c r="G657" s="76"/>
      <c r="H657" s="76"/>
      <c r="I657" s="76"/>
      <c r="J657" s="76"/>
      <c r="K657" s="76"/>
      <c r="L657" s="76"/>
      <c r="M657" s="76"/>
      <c r="N657" s="76"/>
      <c r="O657" s="76"/>
      <c r="P657" s="74" t="n">
        <v>19</v>
      </c>
      <c r="Q657" s="74" t="n">
        <v>16</v>
      </c>
      <c r="R657" s="74" t="n">
        <v>17</v>
      </c>
      <c r="S657" s="74" t="n">
        <v>16</v>
      </c>
      <c r="T657" s="74" t="n">
        <v>1</v>
      </c>
      <c r="U657" s="74" t="n">
        <v>1</v>
      </c>
      <c r="V657" s="81" t="n">
        <v>0</v>
      </c>
      <c r="W657" s="81" t="n">
        <v>0</v>
      </c>
      <c r="X657" s="81" t="n">
        <v>0</v>
      </c>
      <c r="Y657" s="81" t="n">
        <v>0</v>
      </c>
      <c r="Z657" s="81" t="n">
        <v>0</v>
      </c>
      <c r="AA657" s="81" t="n">
        <v>0</v>
      </c>
    </row>
    <row r="658" customFormat="false" ht="15" hidden="false" customHeight="true" outlineLevel="0" collapsed="false">
      <c r="A658" s="30" t="s">
        <v>128</v>
      </c>
      <c r="B658" s="76"/>
      <c r="C658" s="76"/>
      <c r="D658" s="76"/>
      <c r="E658" s="76"/>
      <c r="F658" s="76"/>
      <c r="G658" s="76"/>
      <c r="H658" s="76"/>
      <c r="I658" s="76"/>
      <c r="J658" s="76"/>
      <c r="K658" s="76"/>
      <c r="L658" s="76"/>
      <c r="M658" s="76"/>
      <c r="N658" s="76"/>
      <c r="O658" s="76"/>
      <c r="P658" s="76"/>
      <c r="Q658" s="74" t="n">
        <v>9</v>
      </c>
      <c r="R658" s="74" t="n">
        <v>9</v>
      </c>
      <c r="S658" s="74" t="n">
        <v>0</v>
      </c>
      <c r="T658" s="74" t="n">
        <v>0</v>
      </c>
      <c r="U658" s="74" t="n">
        <v>0</v>
      </c>
      <c r="V658" s="81" t="n">
        <v>0</v>
      </c>
      <c r="W658" s="81" t="n">
        <v>0</v>
      </c>
      <c r="X658" s="81" t="n">
        <v>0</v>
      </c>
      <c r="Y658" s="81" t="n">
        <v>0</v>
      </c>
      <c r="Z658" s="81" t="n">
        <v>0</v>
      </c>
      <c r="AA658" s="81" t="n">
        <v>0</v>
      </c>
    </row>
    <row r="659" customFormat="false" ht="15" hidden="false" customHeight="true" outlineLevel="0" collapsed="false">
      <c r="A659" s="30" t="s">
        <v>129</v>
      </c>
      <c r="B659" s="76"/>
      <c r="C659" s="76"/>
      <c r="D659" s="76"/>
      <c r="E659" s="76"/>
      <c r="F659" s="76"/>
      <c r="G659" s="76"/>
      <c r="H659" s="76"/>
      <c r="I659" s="76"/>
      <c r="J659" s="76"/>
      <c r="K659" s="76"/>
      <c r="L659" s="76"/>
      <c r="M659" s="76"/>
      <c r="N659" s="76"/>
      <c r="O659" s="76"/>
      <c r="P659" s="76"/>
      <c r="Q659" s="76"/>
      <c r="R659" s="74" t="n">
        <v>31</v>
      </c>
      <c r="S659" s="74" t="n">
        <v>31</v>
      </c>
      <c r="T659" s="74" t="n">
        <v>25</v>
      </c>
      <c r="U659" s="74" t="n">
        <v>28</v>
      </c>
      <c r="V659" s="81" t="n">
        <v>4</v>
      </c>
      <c r="W659" s="81" t="n">
        <v>3</v>
      </c>
      <c r="X659" s="81" t="n">
        <v>2</v>
      </c>
      <c r="Y659" s="81" t="n">
        <v>0</v>
      </c>
      <c r="Z659" s="81" t="n">
        <v>0</v>
      </c>
      <c r="AA659" s="81" t="n">
        <v>0</v>
      </c>
    </row>
    <row r="660" customFormat="false" ht="15" hidden="false" customHeight="true" outlineLevel="0" collapsed="false">
      <c r="A660" s="30" t="s">
        <v>130</v>
      </c>
      <c r="B660" s="76"/>
      <c r="C660" s="76"/>
      <c r="D660" s="76"/>
      <c r="E660" s="76"/>
      <c r="F660" s="76"/>
      <c r="G660" s="76"/>
      <c r="H660" s="76"/>
      <c r="I660" s="76"/>
      <c r="J660" s="76"/>
      <c r="K660" s="76"/>
      <c r="L660" s="76"/>
      <c r="M660" s="76"/>
      <c r="N660" s="76"/>
      <c r="O660" s="76"/>
      <c r="P660" s="76"/>
      <c r="Q660" s="76"/>
      <c r="R660" s="76"/>
      <c r="S660" s="74" t="n">
        <v>18</v>
      </c>
      <c r="T660" s="74" t="n">
        <v>18</v>
      </c>
      <c r="U660" s="74" t="n">
        <v>15</v>
      </c>
      <c r="V660" s="81" t="n">
        <v>15</v>
      </c>
      <c r="W660" s="81" t="n">
        <v>2</v>
      </c>
      <c r="X660" s="81" t="n">
        <v>2</v>
      </c>
      <c r="Y660" s="81" t="n">
        <v>1</v>
      </c>
      <c r="Z660" s="81" t="n">
        <v>0</v>
      </c>
      <c r="AA660" s="81" t="n">
        <v>0</v>
      </c>
    </row>
    <row r="661" customFormat="false" ht="15" hidden="false" customHeight="true" outlineLevel="0" collapsed="false">
      <c r="A661" s="30" t="s">
        <v>131</v>
      </c>
      <c r="B661" s="76"/>
      <c r="C661" s="76"/>
      <c r="D661" s="76"/>
      <c r="E661" s="76"/>
      <c r="F661" s="76"/>
      <c r="G661" s="76"/>
      <c r="H661" s="76"/>
      <c r="I661" s="76"/>
      <c r="J661" s="76"/>
      <c r="K661" s="76"/>
      <c r="L661" s="76"/>
      <c r="M661" s="76"/>
      <c r="N661" s="76"/>
      <c r="O661" s="76"/>
      <c r="P661" s="76"/>
      <c r="Q661" s="76"/>
      <c r="R661" s="76"/>
      <c r="S661" s="76"/>
      <c r="T661" s="74" t="n">
        <v>8</v>
      </c>
      <c r="U661" s="74" t="n">
        <v>8</v>
      </c>
      <c r="V661" s="81" t="n">
        <v>7</v>
      </c>
      <c r="W661" s="81" t="n">
        <v>7</v>
      </c>
      <c r="X661" s="81" t="n">
        <v>1</v>
      </c>
      <c r="Y661" s="81" t="n">
        <v>1</v>
      </c>
      <c r="Z661" s="81" t="n">
        <v>0</v>
      </c>
      <c r="AA661" s="81" t="n">
        <v>0</v>
      </c>
    </row>
    <row r="662" customFormat="false" ht="15" hidden="false" customHeight="true" outlineLevel="0" collapsed="false">
      <c r="A662" s="30" t="s">
        <v>132</v>
      </c>
      <c r="B662" s="76"/>
      <c r="C662" s="76"/>
      <c r="D662" s="76"/>
      <c r="E662" s="76"/>
      <c r="F662" s="76"/>
      <c r="G662" s="76"/>
      <c r="H662" s="76"/>
      <c r="I662" s="76"/>
      <c r="J662" s="76"/>
      <c r="K662" s="76"/>
      <c r="L662" s="76"/>
      <c r="M662" s="76"/>
      <c r="N662" s="76"/>
      <c r="O662" s="76"/>
      <c r="P662" s="76"/>
      <c r="Q662" s="76"/>
      <c r="R662" s="76"/>
      <c r="S662" s="76"/>
      <c r="T662" s="76"/>
      <c r="U662" s="74" t="n">
        <v>25</v>
      </c>
      <c r="V662" s="81" t="n">
        <v>22</v>
      </c>
      <c r="W662" s="81" t="n">
        <v>20</v>
      </c>
      <c r="X662" s="81" t="n">
        <v>20</v>
      </c>
      <c r="Y662" s="81" t="n">
        <v>3</v>
      </c>
      <c r="Z662" s="81" t="n">
        <v>2</v>
      </c>
      <c r="AA662" s="81" t="n">
        <v>1</v>
      </c>
    </row>
    <row r="663" customFormat="false" ht="15" hidden="false" customHeight="true" outlineLevel="0" collapsed="false">
      <c r="A663" s="82" t="s">
        <v>524</v>
      </c>
      <c r="B663" s="76"/>
      <c r="C663" s="76"/>
      <c r="D663" s="76"/>
      <c r="E663" s="76"/>
      <c r="F663" s="76"/>
      <c r="G663" s="76"/>
      <c r="H663" s="76"/>
      <c r="I663" s="76"/>
      <c r="J663" s="76"/>
      <c r="K663" s="76"/>
      <c r="L663" s="76"/>
      <c r="M663" s="76"/>
      <c r="N663" s="76"/>
      <c r="O663" s="76"/>
      <c r="P663" s="76"/>
      <c r="Q663" s="76"/>
      <c r="R663" s="76"/>
      <c r="S663" s="76"/>
      <c r="T663" s="76"/>
      <c r="U663" s="76"/>
      <c r="V663" s="81" t="n">
        <v>17</v>
      </c>
      <c r="W663" s="81" t="n">
        <v>15</v>
      </c>
      <c r="X663" s="81" t="n">
        <v>14</v>
      </c>
      <c r="Y663" s="81" t="n">
        <v>14</v>
      </c>
      <c r="Z663" s="81" t="n">
        <v>2</v>
      </c>
      <c r="AA663" s="81" t="n">
        <v>2</v>
      </c>
    </row>
    <row r="664" customFormat="false" ht="15" hidden="false" customHeight="true" outlineLevel="0" collapsed="false">
      <c r="A664" s="82" t="s">
        <v>525</v>
      </c>
      <c r="B664" s="76"/>
      <c r="C664" s="76"/>
      <c r="D664" s="76"/>
      <c r="E664" s="76"/>
      <c r="F664" s="76"/>
      <c r="G664" s="76"/>
      <c r="H664" s="76"/>
      <c r="I664" s="76"/>
      <c r="J664" s="76"/>
      <c r="K664" s="76"/>
      <c r="L664" s="76"/>
      <c r="M664" s="76"/>
      <c r="N664" s="76"/>
      <c r="O664" s="76"/>
      <c r="P664" s="76"/>
      <c r="Q664" s="76"/>
      <c r="R664" s="76"/>
      <c r="S664" s="76"/>
      <c r="T664" s="76"/>
      <c r="U664" s="76"/>
      <c r="V664" s="76"/>
      <c r="W664" s="81" t="n">
        <v>17</v>
      </c>
      <c r="X664" s="81" t="n">
        <v>15</v>
      </c>
      <c r="Y664" s="81" t="n">
        <v>14</v>
      </c>
      <c r="Z664" s="81" t="n">
        <v>14</v>
      </c>
      <c r="AA664" s="81" t="n">
        <v>2</v>
      </c>
    </row>
    <row r="665" customFormat="false" ht="15" hidden="false" customHeight="true" outlineLevel="0" collapsed="false">
      <c r="A665" s="82" t="s">
        <v>526</v>
      </c>
      <c r="B665" s="76"/>
      <c r="C665" s="76"/>
      <c r="D665" s="76"/>
      <c r="E665" s="76"/>
      <c r="F665" s="76"/>
      <c r="G665" s="76"/>
      <c r="H665" s="76"/>
      <c r="I665" s="76"/>
      <c r="J665" s="76"/>
      <c r="K665" s="76"/>
      <c r="L665" s="76"/>
      <c r="M665" s="76"/>
      <c r="N665" s="76"/>
      <c r="O665" s="76"/>
      <c r="P665" s="76"/>
      <c r="Q665" s="76"/>
      <c r="R665" s="76"/>
      <c r="S665" s="76"/>
      <c r="T665" s="76"/>
      <c r="U665" s="76"/>
      <c r="V665" s="76"/>
      <c r="W665" s="76"/>
      <c r="X665" s="81" t="n">
        <v>17</v>
      </c>
      <c r="Y665" s="81" t="n">
        <v>15</v>
      </c>
      <c r="Z665" s="81" t="n">
        <v>14</v>
      </c>
      <c r="AA665" s="81" t="n">
        <v>14</v>
      </c>
    </row>
    <row r="666" customFormat="false" ht="15" hidden="false" customHeight="true" outlineLevel="0" collapsed="false">
      <c r="A666" s="82" t="s">
        <v>527</v>
      </c>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81" t="n">
        <v>17</v>
      </c>
      <c r="Z666" s="81" t="n">
        <v>15</v>
      </c>
      <c r="AA666" s="81" t="n">
        <v>14</v>
      </c>
    </row>
    <row r="667" customFormat="false" ht="15" hidden="false" customHeight="true" outlineLevel="0" collapsed="false">
      <c r="A667" s="82" t="s">
        <v>528</v>
      </c>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81" t="n">
        <v>17</v>
      </c>
      <c r="AA667" s="81" t="n">
        <v>15</v>
      </c>
    </row>
    <row r="668" customFormat="false" ht="15" hidden="false" customHeight="true" outlineLevel="0" collapsed="false">
      <c r="A668" s="82" t="s">
        <v>529</v>
      </c>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81" t="n">
        <v>17</v>
      </c>
    </row>
    <row r="669" customFormat="false" ht="15" hidden="false" customHeight="true" outlineLevel="0" collapsed="false">
      <c r="A669" s="34" t="s">
        <v>514</v>
      </c>
      <c r="B669" s="79"/>
      <c r="C669" s="79"/>
      <c r="D669" s="79"/>
      <c r="E669" s="79"/>
      <c r="F669" s="79"/>
      <c r="G669" s="79"/>
      <c r="H669" s="79"/>
      <c r="I669" s="79" t="n">
        <v>10</v>
      </c>
      <c r="J669" s="79" t="n">
        <v>29</v>
      </c>
      <c r="K669" s="79" t="n">
        <v>25</v>
      </c>
      <c r="L669" s="79" t="n">
        <v>59</v>
      </c>
      <c r="M669" s="79" t="n">
        <v>72</v>
      </c>
      <c r="N669" s="79" t="n">
        <v>55</v>
      </c>
      <c r="O669" s="79" t="n">
        <v>72</v>
      </c>
      <c r="P669" s="79" t="n">
        <v>58</v>
      </c>
      <c r="Q669" s="79" t="n">
        <v>40</v>
      </c>
      <c r="R669" s="79" t="n">
        <v>80</v>
      </c>
      <c r="S669" s="79" t="n">
        <v>72</v>
      </c>
      <c r="T669" s="79" t="n">
        <v>54</v>
      </c>
      <c r="U669" s="79" t="n">
        <v>80</v>
      </c>
      <c r="V669" s="79" t="n">
        <v>66</v>
      </c>
      <c r="W669" s="79" t="n">
        <v>65</v>
      </c>
      <c r="X669" s="79" t="n">
        <v>70</v>
      </c>
      <c r="Y669" s="79" t="n">
        <v>64</v>
      </c>
      <c r="Z669" s="79" t="n">
        <v>64</v>
      </c>
      <c r="AA669" s="79" t="n">
        <v>64</v>
      </c>
    </row>
    <row r="671" customFormat="false" ht="30" hidden="false" customHeight="true" outlineLevel="0" collapsed="false">
      <c r="A671" s="65" t="s">
        <v>435</v>
      </c>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row>
    <row r="672" customFormat="false" ht="15" hidden="false" customHeight="true" outlineLevel="0" collapsed="false">
      <c r="A672" s="80" t="s">
        <v>545</v>
      </c>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c r="AA672" s="80"/>
    </row>
    <row r="673" customFormat="false" ht="15" hidden="false" customHeight="true" outlineLevel="0" collapsed="false">
      <c r="A673" s="12" t="s">
        <v>513</v>
      </c>
      <c r="B673" s="12" t="s">
        <v>113</v>
      </c>
      <c r="C673" s="12" t="s">
        <v>114</v>
      </c>
      <c r="D673" s="12" t="s">
        <v>115</v>
      </c>
      <c r="E673" s="12" t="s">
        <v>116</v>
      </c>
      <c r="F673" s="12" t="s">
        <v>117</v>
      </c>
      <c r="G673" s="12" t="s">
        <v>118</v>
      </c>
      <c r="H673" s="12" t="s">
        <v>119</v>
      </c>
      <c r="I673" s="12" t="s">
        <v>120</v>
      </c>
      <c r="J673" s="12" t="s">
        <v>121</v>
      </c>
      <c r="K673" s="12" t="s">
        <v>122</v>
      </c>
      <c r="L673" s="12" t="s">
        <v>123</v>
      </c>
      <c r="M673" s="12" t="s">
        <v>124</v>
      </c>
      <c r="N673" s="12" t="s">
        <v>125</v>
      </c>
      <c r="O673" s="12" t="s">
        <v>126</v>
      </c>
      <c r="P673" s="12" t="s">
        <v>127</v>
      </c>
      <c r="Q673" s="12" t="s">
        <v>128</v>
      </c>
      <c r="R673" s="12" t="s">
        <v>129</v>
      </c>
      <c r="S673" s="12" t="s">
        <v>130</v>
      </c>
      <c r="T673" s="12" t="s">
        <v>131</v>
      </c>
      <c r="U673" s="12" t="s">
        <v>132</v>
      </c>
      <c r="V673" s="12" t="s">
        <v>518</v>
      </c>
      <c r="W673" s="12" t="s">
        <v>519</v>
      </c>
      <c r="X673" s="12" t="s">
        <v>520</v>
      </c>
      <c r="Y673" s="12" t="s">
        <v>521</v>
      </c>
      <c r="Z673" s="12" t="s">
        <v>522</v>
      </c>
      <c r="AA673" s="12" t="s">
        <v>523</v>
      </c>
    </row>
    <row r="674" customFormat="false" ht="15" hidden="false" customHeight="true" outlineLevel="0" collapsed="false">
      <c r="A674" s="30" t="s">
        <v>123</v>
      </c>
      <c r="B674" s="76"/>
      <c r="C674" s="76"/>
      <c r="D674" s="76"/>
      <c r="E674" s="76"/>
      <c r="F674" s="76"/>
      <c r="G674" s="76"/>
      <c r="H674" s="76"/>
      <c r="I674" s="76"/>
      <c r="J674" s="76"/>
      <c r="K674" s="76"/>
      <c r="L674" s="74" t="n">
        <v>14</v>
      </c>
      <c r="M674" s="74" t="n">
        <v>12</v>
      </c>
      <c r="N674" s="74" t="n">
        <v>10</v>
      </c>
      <c r="O674" s="74" t="n">
        <v>8</v>
      </c>
      <c r="P674" s="74" t="n">
        <v>8</v>
      </c>
      <c r="Q674" s="74" t="n">
        <v>1</v>
      </c>
      <c r="R674" s="74" t="n">
        <v>2</v>
      </c>
      <c r="S674" s="74" t="n">
        <v>1</v>
      </c>
      <c r="T674" s="74" t="n">
        <v>0</v>
      </c>
      <c r="U674" s="74" t="n">
        <v>0</v>
      </c>
      <c r="V674" s="81" t="n">
        <v>0</v>
      </c>
      <c r="W674" s="81" t="n">
        <v>0</v>
      </c>
      <c r="X674" s="81" t="n">
        <v>0</v>
      </c>
      <c r="Y674" s="81" t="n">
        <v>0</v>
      </c>
      <c r="Z674" s="81" t="n">
        <v>0</v>
      </c>
      <c r="AA674" s="81" t="n">
        <v>0</v>
      </c>
    </row>
    <row r="675" customFormat="false" ht="15" hidden="false" customHeight="true" outlineLevel="0" collapsed="false">
      <c r="A675" s="30" t="s">
        <v>124</v>
      </c>
      <c r="B675" s="76"/>
      <c r="C675" s="76"/>
      <c r="D675" s="76"/>
      <c r="E675" s="76"/>
      <c r="F675" s="76"/>
      <c r="G675" s="76"/>
      <c r="H675" s="76"/>
      <c r="I675" s="76"/>
      <c r="J675" s="76"/>
      <c r="K675" s="76"/>
      <c r="L675" s="76"/>
      <c r="M675" s="74" t="n">
        <v>12</v>
      </c>
      <c r="N675" s="74" t="n">
        <v>6</v>
      </c>
      <c r="O675" s="74" t="n">
        <v>6</v>
      </c>
      <c r="P675" s="74" t="n">
        <v>6</v>
      </c>
      <c r="Q675" s="74" t="n">
        <v>6</v>
      </c>
      <c r="R675" s="74" t="n">
        <v>0</v>
      </c>
      <c r="S675" s="74" t="n">
        <v>0</v>
      </c>
      <c r="T675" s="74" t="n">
        <v>0</v>
      </c>
      <c r="U675" s="74" t="n">
        <v>0</v>
      </c>
      <c r="V675" s="81" t="n">
        <v>0</v>
      </c>
      <c r="W675" s="81" t="n">
        <v>0</v>
      </c>
      <c r="X675" s="81" t="n">
        <v>0</v>
      </c>
      <c r="Y675" s="81" t="n">
        <v>0</v>
      </c>
      <c r="Z675" s="81" t="n">
        <v>0</v>
      </c>
      <c r="AA675" s="81" t="n">
        <v>0</v>
      </c>
    </row>
    <row r="676" customFormat="false" ht="15" hidden="false" customHeight="true" outlineLevel="0" collapsed="false">
      <c r="A676" s="30" t="s">
        <v>126</v>
      </c>
      <c r="B676" s="76"/>
      <c r="C676" s="76"/>
      <c r="D676" s="76"/>
      <c r="E676" s="76"/>
      <c r="F676" s="76"/>
      <c r="G676" s="76"/>
      <c r="H676" s="76"/>
      <c r="I676" s="76"/>
      <c r="J676" s="76"/>
      <c r="K676" s="76"/>
      <c r="L676" s="76"/>
      <c r="M676" s="76"/>
      <c r="N676" s="76"/>
      <c r="O676" s="74" t="n">
        <v>31</v>
      </c>
      <c r="P676" s="74" t="n">
        <v>26</v>
      </c>
      <c r="Q676" s="74" t="n">
        <v>22</v>
      </c>
      <c r="R676" s="74" t="n">
        <v>21</v>
      </c>
      <c r="S676" s="74" t="n">
        <v>21</v>
      </c>
      <c r="T676" s="74" t="n">
        <v>0</v>
      </c>
      <c r="U676" s="74" t="n">
        <v>0</v>
      </c>
      <c r="V676" s="81" t="n">
        <v>0</v>
      </c>
      <c r="W676" s="81" t="n">
        <v>0</v>
      </c>
      <c r="X676" s="81" t="n">
        <v>0</v>
      </c>
      <c r="Y676" s="81" t="n">
        <v>0</v>
      </c>
      <c r="Z676" s="81" t="n">
        <v>0</v>
      </c>
      <c r="AA676" s="81" t="n">
        <v>0</v>
      </c>
    </row>
    <row r="677" customFormat="false" ht="15" hidden="false" customHeight="true" outlineLevel="0" collapsed="false">
      <c r="A677" s="30" t="s">
        <v>127</v>
      </c>
      <c r="B677" s="76"/>
      <c r="C677" s="76"/>
      <c r="D677" s="76"/>
      <c r="E677" s="76"/>
      <c r="F677" s="76"/>
      <c r="G677" s="76"/>
      <c r="H677" s="76"/>
      <c r="I677" s="76"/>
      <c r="J677" s="76"/>
      <c r="K677" s="76"/>
      <c r="L677" s="76"/>
      <c r="M677" s="76"/>
      <c r="N677" s="76"/>
      <c r="O677" s="76"/>
      <c r="P677" s="74" t="n">
        <v>23</v>
      </c>
      <c r="Q677" s="74" t="n">
        <v>18</v>
      </c>
      <c r="R677" s="74" t="n">
        <v>19</v>
      </c>
      <c r="S677" s="74" t="n">
        <v>17</v>
      </c>
      <c r="T677" s="74" t="n">
        <v>16</v>
      </c>
      <c r="U677" s="74" t="n">
        <v>4</v>
      </c>
      <c r="V677" s="81" t="n">
        <v>8</v>
      </c>
      <c r="W677" s="81" t="n">
        <v>4</v>
      </c>
      <c r="X677" s="81" t="n">
        <v>2</v>
      </c>
      <c r="Y677" s="81" t="n">
        <v>1</v>
      </c>
      <c r="Z677" s="81" t="n">
        <v>0</v>
      </c>
      <c r="AA677" s="81" t="n">
        <v>0</v>
      </c>
    </row>
    <row r="678" customFormat="false" ht="15" hidden="false" customHeight="true" outlineLevel="0" collapsed="false">
      <c r="A678" s="30" t="s">
        <v>129</v>
      </c>
      <c r="B678" s="76"/>
      <c r="C678" s="76"/>
      <c r="D678" s="76"/>
      <c r="E678" s="76"/>
      <c r="F678" s="76"/>
      <c r="G678" s="76"/>
      <c r="H678" s="76"/>
      <c r="I678" s="76"/>
      <c r="J678" s="76"/>
      <c r="K678" s="76"/>
      <c r="L678" s="76"/>
      <c r="M678" s="76"/>
      <c r="N678" s="76"/>
      <c r="O678" s="76"/>
      <c r="P678" s="76"/>
      <c r="Q678" s="76"/>
      <c r="R678" s="74" t="n">
        <v>23</v>
      </c>
      <c r="S678" s="74" t="n">
        <v>16</v>
      </c>
      <c r="T678" s="74" t="n">
        <v>11</v>
      </c>
      <c r="U678" s="74" t="n">
        <v>12</v>
      </c>
      <c r="V678" s="81" t="n">
        <v>12</v>
      </c>
      <c r="W678" s="81" t="n">
        <v>1</v>
      </c>
      <c r="X678" s="81" t="n">
        <v>2</v>
      </c>
      <c r="Y678" s="81" t="n">
        <v>1</v>
      </c>
      <c r="Z678" s="81" t="n">
        <v>0</v>
      </c>
      <c r="AA678" s="81" t="n">
        <v>0</v>
      </c>
    </row>
    <row r="679" customFormat="false" ht="15" hidden="false" customHeight="true" outlineLevel="0" collapsed="false">
      <c r="A679" s="30" t="s">
        <v>130</v>
      </c>
      <c r="B679" s="76"/>
      <c r="C679" s="76"/>
      <c r="D679" s="76"/>
      <c r="E679" s="76"/>
      <c r="F679" s="76"/>
      <c r="G679" s="76"/>
      <c r="H679" s="76"/>
      <c r="I679" s="76"/>
      <c r="J679" s="76"/>
      <c r="K679" s="76"/>
      <c r="L679" s="76"/>
      <c r="M679" s="76"/>
      <c r="N679" s="76"/>
      <c r="O679" s="76"/>
      <c r="P679" s="76"/>
      <c r="Q679" s="76"/>
      <c r="R679" s="76"/>
      <c r="S679" s="74" t="n">
        <v>9</v>
      </c>
      <c r="T679" s="74" t="n">
        <v>8</v>
      </c>
      <c r="U679" s="74" t="n">
        <v>7</v>
      </c>
      <c r="V679" s="81" t="n">
        <v>6</v>
      </c>
      <c r="W679" s="81" t="n">
        <v>6</v>
      </c>
      <c r="X679" s="81" t="n">
        <v>0</v>
      </c>
      <c r="Y679" s="81" t="n">
        <v>1</v>
      </c>
      <c r="Z679" s="81" t="n">
        <v>0</v>
      </c>
      <c r="AA679" s="81" t="n">
        <v>0</v>
      </c>
    </row>
    <row r="680" customFormat="false" ht="15" hidden="false" customHeight="true" outlineLevel="0" collapsed="false">
      <c r="A680" s="30" t="s">
        <v>132</v>
      </c>
      <c r="B680" s="76"/>
      <c r="C680" s="76"/>
      <c r="D680" s="76"/>
      <c r="E680" s="76"/>
      <c r="F680" s="76"/>
      <c r="G680" s="76"/>
      <c r="H680" s="76"/>
      <c r="I680" s="76"/>
      <c r="J680" s="76"/>
      <c r="K680" s="76"/>
      <c r="L680" s="76"/>
      <c r="M680" s="76"/>
      <c r="N680" s="76"/>
      <c r="O680" s="76"/>
      <c r="P680" s="76"/>
      <c r="Q680" s="76"/>
      <c r="R680" s="76"/>
      <c r="S680" s="76"/>
      <c r="T680" s="76"/>
      <c r="U680" s="74" t="n">
        <v>17</v>
      </c>
      <c r="V680" s="81" t="n">
        <v>12</v>
      </c>
      <c r="W680" s="81" t="n">
        <v>10</v>
      </c>
      <c r="X680" s="81" t="n">
        <v>9</v>
      </c>
      <c r="Y680" s="81" t="n">
        <v>9</v>
      </c>
      <c r="Z680" s="81" t="n">
        <v>1</v>
      </c>
      <c r="AA680" s="81" t="n">
        <v>1</v>
      </c>
    </row>
    <row r="681" customFormat="false" ht="15" hidden="false" customHeight="true" outlineLevel="0" collapsed="false">
      <c r="A681" s="82" t="s">
        <v>524</v>
      </c>
      <c r="B681" s="76"/>
      <c r="C681" s="76"/>
      <c r="D681" s="76"/>
      <c r="E681" s="76"/>
      <c r="F681" s="76"/>
      <c r="G681" s="76"/>
      <c r="H681" s="76"/>
      <c r="I681" s="76"/>
      <c r="J681" s="76"/>
      <c r="K681" s="76"/>
      <c r="L681" s="76"/>
      <c r="M681" s="76"/>
      <c r="N681" s="76"/>
      <c r="O681" s="76"/>
      <c r="P681" s="76"/>
      <c r="Q681" s="76"/>
      <c r="R681" s="76"/>
      <c r="S681" s="76"/>
      <c r="T681" s="76"/>
      <c r="U681" s="76"/>
      <c r="V681" s="81" t="n">
        <v>16</v>
      </c>
      <c r="W681" s="81" t="n">
        <v>11</v>
      </c>
      <c r="X681" s="81" t="n">
        <v>10</v>
      </c>
      <c r="Y681" s="81" t="n">
        <v>9</v>
      </c>
      <c r="Z681" s="81" t="n">
        <v>9</v>
      </c>
      <c r="AA681" s="81" t="n">
        <v>1</v>
      </c>
    </row>
    <row r="682" customFormat="false" ht="15" hidden="false" customHeight="true" outlineLevel="0" collapsed="false">
      <c r="A682" s="82" t="s">
        <v>525</v>
      </c>
      <c r="B682" s="76"/>
      <c r="C682" s="76"/>
      <c r="D682" s="76"/>
      <c r="E682" s="76"/>
      <c r="F682" s="76"/>
      <c r="G682" s="76"/>
      <c r="H682" s="76"/>
      <c r="I682" s="76"/>
      <c r="J682" s="76"/>
      <c r="K682" s="76"/>
      <c r="L682" s="76"/>
      <c r="M682" s="76"/>
      <c r="N682" s="76"/>
      <c r="O682" s="76"/>
      <c r="P682" s="76"/>
      <c r="Q682" s="76"/>
      <c r="R682" s="76"/>
      <c r="S682" s="76"/>
      <c r="T682" s="76"/>
      <c r="U682" s="76"/>
      <c r="V682" s="76"/>
      <c r="W682" s="81" t="n">
        <v>16</v>
      </c>
      <c r="X682" s="81" t="n">
        <v>11</v>
      </c>
      <c r="Y682" s="81" t="n">
        <v>10</v>
      </c>
      <c r="Z682" s="81" t="n">
        <v>9</v>
      </c>
      <c r="AA682" s="81" t="n">
        <v>9</v>
      </c>
    </row>
    <row r="683" customFormat="false" ht="15" hidden="false" customHeight="true" outlineLevel="0" collapsed="false">
      <c r="A683" s="82" t="s">
        <v>526</v>
      </c>
      <c r="B683" s="76"/>
      <c r="C683" s="76"/>
      <c r="D683" s="76"/>
      <c r="E683" s="76"/>
      <c r="F683" s="76"/>
      <c r="G683" s="76"/>
      <c r="H683" s="76"/>
      <c r="I683" s="76"/>
      <c r="J683" s="76"/>
      <c r="K683" s="76"/>
      <c r="L683" s="76"/>
      <c r="M683" s="76"/>
      <c r="N683" s="76"/>
      <c r="O683" s="76"/>
      <c r="P683" s="76"/>
      <c r="Q683" s="76"/>
      <c r="R683" s="76"/>
      <c r="S683" s="76"/>
      <c r="T683" s="76"/>
      <c r="U683" s="76"/>
      <c r="V683" s="76"/>
      <c r="W683" s="76"/>
      <c r="X683" s="81" t="n">
        <v>16</v>
      </c>
      <c r="Y683" s="81" t="n">
        <v>11</v>
      </c>
      <c r="Z683" s="81" t="n">
        <v>10</v>
      </c>
      <c r="AA683" s="81" t="n">
        <v>9</v>
      </c>
    </row>
    <row r="684" customFormat="false" ht="15" hidden="false" customHeight="true" outlineLevel="0" collapsed="false">
      <c r="A684" s="82" t="s">
        <v>527</v>
      </c>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81" t="n">
        <v>16</v>
      </c>
      <c r="Z684" s="81" t="n">
        <v>11</v>
      </c>
      <c r="AA684" s="81" t="n">
        <v>10</v>
      </c>
    </row>
    <row r="685" customFormat="false" ht="15" hidden="false" customHeight="true" outlineLevel="0" collapsed="false">
      <c r="A685" s="82" t="s">
        <v>528</v>
      </c>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81" t="n">
        <v>16</v>
      </c>
      <c r="AA685" s="81" t="n">
        <v>11</v>
      </c>
    </row>
    <row r="686" customFormat="false" ht="15" hidden="false" customHeight="true" outlineLevel="0" collapsed="false">
      <c r="A686" s="82" t="s">
        <v>529</v>
      </c>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81" t="n">
        <v>16</v>
      </c>
    </row>
    <row r="687" customFormat="false" ht="15" hidden="false" customHeight="true" outlineLevel="0" collapsed="false">
      <c r="A687" s="34" t="s">
        <v>514</v>
      </c>
      <c r="B687" s="79"/>
      <c r="C687" s="79"/>
      <c r="D687" s="79"/>
      <c r="E687" s="79"/>
      <c r="F687" s="79"/>
      <c r="G687" s="79"/>
      <c r="H687" s="79"/>
      <c r="I687" s="79"/>
      <c r="J687" s="79"/>
      <c r="K687" s="79"/>
      <c r="L687" s="79" t="n">
        <v>14</v>
      </c>
      <c r="M687" s="79" t="n">
        <v>24</v>
      </c>
      <c r="N687" s="79" t="n">
        <v>16</v>
      </c>
      <c r="O687" s="79" t="n">
        <v>45</v>
      </c>
      <c r="P687" s="79" t="n">
        <v>63</v>
      </c>
      <c r="Q687" s="79" t="n">
        <v>47</v>
      </c>
      <c r="R687" s="79" t="n">
        <v>65</v>
      </c>
      <c r="S687" s="79" t="n">
        <v>64</v>
      </c>
      <c r="T687" s="79" t="n">
        <v>35</v>
      </c>
      <c r="U687" s="79" t="n">
        <v>40</v>
      </c>
      <c r="V687" s="79" t="n">
        <v>54</v>
      </c>
      <c r="W687" s="79" t="n">
        <v>49</v>
      </c>
      <c r="X687" s="79" t="n">
        <v>50</v>
      </c>
      <c r="Y687" s="79" t="n">
        <v>57</v>
      </c>
      <c r="Z687" s="79" t="n">
        <v>56</v>
      </c>
      <c r="AA687" s="79" t="n">
        <v>57</v>
      </c>
    </row>
    <row r="689" customFormat="false" ht="19.5" hidden="false" customHeight="true" outlineLevel="0" collapsed="false">
      <c r="A689" s="65" t="s">
        <v>436</v>
      </c>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row>
    <row r="690" customFormat="false" ht="15" hidden="false" customHeight="true" outlineLevel="0" collapsed="false">
      <c r="A690" s="80" t="s">
        <v>546</v>
      </c>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row>
    <row r="691" customFormat="false" ht="15" hidden="false" customHeight="true" outlineLevel="0" collapsed="false">
      <c r="A691" s="12" t="s">
        <v>513</v>
      </c>
      <c r="B691" s="12" t="s">
        <v>113</v>
      </c>
      <c r="C691" s="12" t="s">
        <v>114</v>
      </c>
      <c r="D691" s="12" t="s">
        <v>115</v>
      </c>
      <c r="E691" s="12" t="s">
        <v>116</v>
      </c>
      <c r="F691" s="12" t="s">
        <v>117</v>
      </c>
      <c r="G691" s="12" t="s">
        <v>118</v>
      </c>
      <c r="H691" s="12" t="s">
        <v>119</v>
      </c>
      <c r="I691" s="12" t="s">
        <v>120</v>
      </c>
      <c r="J691" s="12" t="s">
        <v>121</v>
      </c>
      <c r="K691" s="12" t="s">
        <v>122</v>
      </c>
      <c r="L691" s="12" t="s">
        <v>123</v>
      </c>
      <c r="M691" s="12" t="s">
        <v>124</v>
      </c>
      <c r="N691" s="12" t="s">
        <v>125</v>
      </c>
      <c r="O691" s="12" t="s">
        <v>126</v>
      </c>
      <c r="P691" s="12" t="s">
        <v>127</v>
      </c>
      <c r="Q691" s="12" t="s">
        <v>128</v>
      </c>
      <c r="R691" s="12" t="s">
        <v>129</v>
      </c>
      <c r="S691" s="12" t="s">
        <v>130</v>
      </c>
      <c r="T691" s="12" t="s">
        <v>131</v>
      </c>
      <c r="U691" s="12" t="s">
        <v>132</v>
      </c>
      <c r="V691" s="12" t="s">
        <v>518</v>
      </c>
      <c r="W691" s="12" t="s">
        <v>519</v>
      </c>
      <c r="X691" s="12" t="s">
        <v>520</v>
      </c>
      <c r="Y691" s="12" t="s">
        <v>521</v>
      </c>
      <c r="Z691" s="12" t="s">
        <v>522</v>
      </c>
      <c r="AA691" s="12" t="s">
        <v>523</v>
      </c>
    </row>
    <row r="692" customFormat="false" ht="15" hidden="false" customHeight="true" outlineLevel="0" collapsed="false">
      <c r="A692" s="30" t="s">
        <v>124</v>
      </c>
      <c r="B692" s="76"/>
      <c r="C692" s="76"/>
      <c r="D692" s="76"/>
      <c r="E692" s="76"/>
      <c r="F692" s="76"/>
      <c r="G692" s="76"/>
      <c r="H692" s="76"/>
      <c r="I692" s="76"/>
      <c r="J692" s="76"/>
      <c r="K692" s="76"/>
      <c r="L692" s="76"/>
      <c r="M692" s="74" t="n">
        <v>20</v>
      </c>
      <c r="N692" s="74" t="n">
        <v>13</v>
      </c>
      <c r="O692" s="74" t="n">
        <v>15</v>
      </c>
      <c r="P692" s="74" t="n">
        <v>14</v>
      </c>
      <c r="Q692" s="74" t="n">
        <v>1</v>
      </c>
      <c r="R692" s="74" t="n">
        <v>1</v>
      </c>
      <c r="S692" s="74" t="n">
        <v>0</v>
      </c>
      <c r="T692" s="74" t="n">
        <v>0</v>
      </c>
      <c r="U692" s="74" t="n">
        <v>0</v>
      </c>
      <c r="V692" s="81" t="n">
        <v>0</v>
      </c>
      <c r="W692" s="81" t="n">
        <v>0</v>
      </c>
      <c r="X692" s="81" t="n">
        <v>0</v>
      </c>
      <c r="Y692" s="81" t="n">
        <v>0</v>
      </c>
      <c r="Z692" s="81" t="n">
        <v>0</v>
      </c>
      <c r="AA692" s="81" t="n">
        <v>0</v>
      </c>
    </row>
    <row r="693" customFormat="false" ht="15" hidden="false" customHeight="true" outlineLevel="0" collapsed="false">
      <c r="A693" s="30" t="s">
        <v>126</v>
      </c>
      <c r="B693" s="76"/>
      <c r="C693" s="76"/>
      <c r="D693" s="76"/>
      <c r="E693" s="76"/>
      <c r="F693" s="76"/>
      <c r="G693" s="76"/>
      <c r="H693" s="76"/>
      <c r="I693" s="76"/>
      <c r="J693" s="76"/>
      <c r="K693" s="76"/>
      <c r="L693" s="76"/>
      <c r="M693" s="76"/>
      <c r="N693" s="76"/>
      <c r="O693" s="74" t="n">
        <v>19</v>
      </c>
      <c r="P693" s="74" t="n">
        <v>14</v>
      </c>
      <c r="Q693" s="74" t="n">
        <v>13</v>
      </c>
      <c r="R693" s="74" t="n">
        <v>15</v>
      </c>
      <c r="S693" s="74" t="n">
        <v>6</v>
      </c>
      <c r="T693" s="74" t="n">
        <v>0</v>
      </c>
      <c r="U693" s="74" t="n">
        <v>1</v>
      </c>
      <c r="V693" s="81" t="n">
        <v>0</v>
      </c>
      <c r="W693" s="81" t="n">
        <v>0</v>
      </c>
      <c r="X693" s="81" t="n">
        <v>0</v>
      </c>
      <c r="Y693" s="81" t="n">
        <v>0</v>
      </c>
      <c r="Z693" s="81" t="n">
        <v>0</v>
      </c>
      <c r="AA693" s="81" t="n">
        <v>0</v>
      </c>
    </row>
    <row r="694" customFormat="false" ht="15" hidden="false" customHeight="true" outlineLevel="0" collapsed="false">
      <c r="A694" s="30" t="s">
        <v>127</v>
      </c>
      <c r="B694" s="76"/>
      <c r="C694" s="76"/>
      <c r="D694" s="76"/>
      <c r="E694" s="76"/>
      <c r="F694" s="76"/>
      <c r="G694" s="76"/>
      <c r="H694" s="76"/>
      <c r="I694" s="76"/>
      <c r="J694" s="76"/>
      <c r="K694" s="76"/>
      <c r="L694" s="76"/>
      <c r="M694" s="76"/>
      <c r="N694" s="76"/>
      <c r="O694" s="76"/>
      <c r="P694" s="74" t="n">
        <v>10</v>
      </c>
      <c r="Q694" s="74" t="n">
        <v>7</v>
      </c>
      <c r="R694" s="74" t="n">
        <v>6</v>
      </c>
      <c r="S694" s="74" t="n">
        <v>6</v>
      </c>
      <c r="T694" s="74" t="n">
        <v>0</v>
      </c>
      <c r="U694" s="74" t="n">
        <v>0</v>
      </c>
      <c r="V694" s="81" t="n">
        <v>0</v>
      </c>
      <c r="W694" s="81" t="n">
        <v>0</v>
      </c>
      <c r="X694" s="81" t="n">
        <v>0</v>
      </c>
      <c r="Y694" s="81" t="n">
        <v>0</v>
      </c>
      <c r="Z694" s="81" t="n">
        <v>0</v>
      </c>
      <c r="AA694" s="81" t="n">
        <v>0</v>
      </c>
    </row>
    <row r="695" customFormat="false" ht="15" hidden="false" customHeight="true" outlineLevel="0" collapsed="false">
      <c r="A695" s="30" t="s">
        <v>129</v>
      </c>
      <c r="B695" s="76"/>
      <c r="C695" s="76"/>
      <c r="D695" s="76"/>
      <c r="E695" s="76"/>
      <c r="F695" s="76"/>
      <c r="G695" s="76"/>
      <c r="H695" s="76"/>
      <c r="I695" s="76"/>
      <c r="J695" s="76"/>
      <c r="K695" s="76"/>
      <c r="L695" s="76"/>
      <c r="M695" s="76"/>
      <c r="N695" s="76"/>
      <c r="O695" s="76"/>
      <c r="P695" s="76"/>
      <c r="Q695" s="76"/>
      <c r="R695" s="74" t="n">
        <v>13</v>
      </c>
      <c r="S695" s="74" t="n">
        <v>10</v>
      </c>
      <c r="T695" s="74" t="n">
        <v>9</v>
      </c>
      <c r="U695" s="74" t="n">
        <v>9</v>
      </c>
      <c r="V695" s="81" t="n">
        <v>1</v>
      </c>
      <c r="W695" s="81" t="n">
        <v>1</v>
      </c>
      <c r="X695" s="81" t="n">
        <v>0</v>
      </c>
      <c r="Y695" s="81" t="n">
        <v>0</v>
      </c>
      <c r="Z695" s="81" t="n">
        <v>0</v>
      </c>
      <c r="AA695" s="81" t="n">
        <v>0</v>
      </c>
    </row>
    <row r="696" customFormat="false" ht="15" hidden="false" customHeight="true" outlineLevel="0" collapsed="false">
      <c r="A696" s="30" t="s">
        <v>130</v>
      </c>
      <c r="B696" s="76"/>
      <c r="C696" s="76"/>
      <c r="D696" s="76"/>
      <c r="E696" s="76"/>
      <c r="F696" s="76"/>
      <c r="G696" s="76"/>
      <c r="H696" s="76"/>
      <c r="I696" s="76"/>
      <c r="J696" s="76"/>
      <c r="K696" s="76"/>
      <c r="L696" s="76"/>
      <c r="M696" s="76"/>
      <c r="N696" s="76"/>
      <c r="O696" s="76"/>
      <c r="P696" s="76"/>
      <c r="Q696" s="76"/>
      <c r="R696" s="76"/>
      <c r="S696" s="74" t="n">
        <v>2</v>
      </c>
      <c r="T696" s="74" t="n">
        <v>2</v>
      </c>
      <c r="U696" s="74" t="n">
        <v>2</v>
      </c>
      <c r="V696" s="81" t="n">
        <v>2</v>
      </c>
      <c r="W696" s="81" t="n">
        <v>0</v>
      </c>
      <c r="X696" s="81" t="n">
        <v>0</v>
      </c>
      <c r="Y696" s="81" t="n">
        <v>0</v>
      </c>
      <c r="Z696" s="81" t="n">
        <v>0</v>
      </c>
      <c r="AA696" s="81" t="n">
        <v>0</v>
      </c>
    </row>
    <row r="697" customFormat="false" ht="15" hidden="false" customHeight="true" outlineLevel="0" collapsed="false">
      <c r="A697" s="30" t="s">
        <v>132</v>
      </c>
      <c r="B697" s="76"/>
      <c r="C697" s="76"/>
      <c r="D697" s="76"/>
      <c r="E697" s="76"/>
      <c r="F697" s="76"/>
      <c r="G697" s="76"/>
      <c r="H697" s="76"/>
      <c r="I697" s="76"/>
      <c r="J697" s="76"/>
      <c r="K697" s="76"/>
      <c r="L697" s="76"/>
      <c r="M697" s="76"/>
      <c r="N697" s="76"/>
      <c r="O697" s="76"/>
      <c r="P697" s="76"/>
      <c r="Q697" s="76"/>
      <c r="R697" s="76"/>
      <c r="S697" s="76"/>
      <c r="T697" s="76"/>
      <c r="U697" s="74" t="n">
        <v>7</v>
      </c>
      <c r="V697" s="81" t="n">
        <v>5</v>
      </c>
      <c r="W697" s="81" t="n">
        <v>5</v>
      </c>
      <c r="X697" s="81" t="n">
        <v>5</v>
      </c>
      <c r="Y697" s="81" t="n">
        <v>0</v>
      </c>
      <c r="Z697" s="81" t="n">
        <v>0</v>
      </c>
      <c r="AA697" s="81" t="n">
        <v>0</v>
      </c>
    </row>
    <row r="698" customFormat="false" ht="15" hidden="false" customHeight="true" outlineLevel="0" collapsed="false">
      <c r="A698" s="82" t="s">
        <v>524</v>
      </c>
      <c r="B698" s="76"/>
      <c r="C698" s="76"/>
      <c r="D698" s="76"/>
      <c r="E698" s="76"/>
      <c r="F698" s="76"/>
      <c r="G698" s="76"/>
      <c r="H698" s="76"/>
      <c r="I698" s="76"/>
      <c r="J698" s="76"/>
      <c r="K698" s="76"/>
      <c r="L698" s="76"/>
      <c r="M698" s="76"/>
      <c r="N698" s="76"/>
      <c r="O698" s="76"/>
      <c r="P698" s="76"/>
      <c r="Q698" s="76"/>
      <c r="R698" s="76"/>
      <c r="S698" s="76"/>
      <c r="T698" s="76"/>
      <c r="U698" s="76"/>
      <c r="V698" s="81" t="n">
        <v>7</v>
      </c>
      <c r="W698" s="81" t="n">
        <v>5</v>
      </c>
      <c r="X698" s="81" t="n">
        <v>5</v>
      </c>
      <c r="Y698" s="81" t="n">
        <v>5</v>
      </c>
      <c r="Z698" s="81" t="n">
        <v>0</v>
      </c>
      <c r="AA698" s="81" t="n">
        <v>0</v>
      </c>
    </row>
    <row r="699" customFormat="false" ht="15" hidden="false" customHeight="true" outlineLevel="0" collapsed="false">
      <c r="A699" s="82" t="s">
        <v>525</v>
      </c>
      <c r="B699" s="76"/>
      <c r="C699" s="76"/>
      <c r="D699" s="76"/>
      <c r="E699" s="76"/>
      <c r="F699" s="76"/>
      <c r="G699" s="76"/>
      <c r="H699" s="76"/>
      <c r="I699" s="76"/>
      <c r="J699" s="76"/>
      <c r="K699" s="76"/>
      <c r="L699" s="76"/>
      <c r="M699" s="76"/>
      <c r="N699" s="76"/>
      <c r="O699" s="76"/>
      <c r="P699" s="76"/>
      <c r="Q699" s="76"/>
      <c r="R699" s="76"/>
      <c r="S699" s="76"/>
      <c r="T699" s="76"/>
      <c r="U699" s="76"/>
      <c r="V699" s="76"/>
      <c r="W699" s="81" t="n">
        <v>7</v>
      </c>
      <c r="X699" s="81" t="n">
        <v>5</v>
      </c>
      <c r="Y699" s="81" t="n">
        <v>5</v>
      </c>
      <c r="Z699" s="81" t="n">
        <v>5</v>
      </c>
      <c r="AA699" s="81" t="n">
        <v>0</v>
      </c>
    </row>
    <row r="700" customFormat="false" ht="15" hidden="false" customHeight="true" outlineLevel="0" collapsed="false">
      <c r="A700" s="82" t="s">
        <v>526</v>
      </c>
      <c r="B700" s="76"/>
      <c r="C700" s="76"/>
      <c r="D700" s="76"/>
      <c r="E700" s="76"/>
      <c r="F700" s="76"/>
      <c r="G700" s="76"/>
      <c r="H700" s="76"/>
      <c r="I700" s="76"/>
      <c r="J700" s="76"/>
      <c r="K700" s="76"/>
      <c r="L700" s="76"/>
      <c r="M700" s="76"/>
      <c r="N700" s="76"/>
      <c r="O700" s="76"/>
      <c r="P700" s="76"/>
      <c r="Q700" s="76"/>
      <c r="R700" s="76"/>
      <c r="S700" s="76"/>
      <c r="T700" s="76"/>
      <c r="U700" s="76"/>
      <c r="V700" s="76"/>
      <c r="W700" s="76"/>
      <c r="X700" s="81" t="n">
        <v>7</v>
      </c>
      <c r="Y700" s="81" t="n">
        <v>5</v>
      </c>
      <c r="Z700" s="81" t="n">
        <v>5</v>
      </c>
      <c r="AA700" s="81" t="n">
        <v>5</v>
      </c>
    </row>
    <row r="701" customFormat="false" ht="15" hidden="false" customHeight="true" outlineLevel="0" collapsed="false">
      <c r="A701" s="82" t="s">
        <v>527</v>
      </c>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81" t="n">
        <v>7</v>
      </c>
      <c r="Z701" s="81" t="n">
        <v>5</v>
      </c>
      <c r="AA701" s="81" t="n">
        <v>5</v>
      </c>
    </row>
    <row r="702" customFormat="false" ht="15" hidden="false" customHeight="true" outlineLevel="0" collapsed="false">
      <c r="A702" s="82" t="s">
        <v>528</v>
      </c>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81" t="n">
        <v>7</v>
      </c>
      <c r="AA702" s="81" t="n">
        <v>5</v>
      </c>
    </row>
    <row r="703" customFormat="false" ht="15" hidden="false" customHeight="true" outlineLevel="0" collapsed="false">
      <c r="A703" s="82" t="s">
        <v>529</v>
      </c>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81" t="n">
        <v>7</v>
      </c>
    </row>
    <row r="704" customFormat="false" ht="15" hidden="false" customHeight="true" outlineLevel="0" collapsed="false">
      <c r="A704" s="34" t="s">
        <v>514</v>
      </c>
      <c r="B704" s="79"/>
      <c r="C704" s="79"/>
      <c r="D704" s="79"/>
      <c r="E704" s="79"/>
      <c r="F704" s="79"/>
      <c r="G704" s="79"/>
      <c r="H704" s="79"/>
      <c r="I704" s="79"/>
      <c r="J704" s="79"/>
      <c r="K704" s="79"/>
      <c r="L704" s="79"/>
      <c r="M704" s="79" t="n">
        <v>20</v>
      </c>
      <c r="N704" s="79" t="n">
        <v>13</v>
      </c>
      <c r="O704" s="79" t="n">
        <v>34</v>
      </c>
      <c r="P704" s="79" t="n">
        <v>38</v>
      </c>
      <c r="Q704" s="79" t="n">
        <v>21</v>
      </c>
      <c r="R704" s="79" t="n">
        <v>35</v>
      </c>
      <c r="S704" s="79" t="n">
        <v>24</v>
      </c>
      <c r="T704" s="79" t="n">
        <v>11</v>
      </c>
      <c r="U704" s="79" t="n">
        <v>19</v>
      </c>
      <c r="V704" s="79" t="n">
        <v>14</v>
      </c>
      <c r="W704" s="79" t="n">
        <v>18</v>
      </c>
      <c r="X704" s="79" t="n">
        <v>22</v>
      </c>
      <c r="Y704" s="79" t="n">
        <v>22</v>
      </c>
      <c r="Z704" s="79" t="n">
        <v>22</v>
      </c>
      <c r="AA704" s="79" t="n">
        <v>22</v>
      </c>
    </row>
    <row r="706" customFormat="false" ht="19.5" hidden="false" customHeight="true" outlineLevel="0" collapsed="false">
      <c r="A706" s="65" t="s">
        <v>437</v>
      </c>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row>
    <row r="707" customFormat="false" ht="15" hidden="false" customHeight="true" outlineLevel="0" collapsed="false">
      <c r="A707" s="80" t="s">
        <v>547</v>
      </c>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c r="AA707" s="80"/>
    </row>
    <row r="708" customFormat="false" ht="15" hidden="false" customHeight="true" outlineLevel="0" collapsed="false">
      <c r="A708" s="12" t="s">
        <v>513</v>
      </c>
      <c r="B708" s="12" t="s">
        <v>113</v>
      </c>
      <c r="C708" s="12" t="s">
        <v>114</v>
      </c>
      <c r="D708" s="12" t="s">
        <v>115</v>
      </c>
      <c r="E708" s="12" t="s">
        <v>116</v>
      </c>
      <c r="F708" s="12" t="s">
        <v>117</v>
      </c>
      <c r="G708" s="12" t="s">
        <v>118</v>
      </c>
      <c r="H708" s="12" t="s">
        <v>119</v>
      </c>
      <c r="I708" s="12" t="s">
        <v>120</v>
      </c>
      <c r="J708" s="12" t="s">
        <v>121</v>
      </c>
      <c r="K708" s="12" t="s">
        <v>122</v>
      </c>
      <c r="L708" s="12" t="s">
        <v>123</v>
      </c>
      <c r="M708" s="12" t="s">
        <v>124</v>
      </c>
      <c r="N708" s="12" t="s">
        <v>125</v>
      </c>
      <c r="O708" s="12" t="s">
        <v>126</v>
      </c>
      <c r="P708" s="12" t="s">
        <v>127</v>
      </c>
      <c r="Q708" s="12" t="s">
        <v>128</v>
      </c>
      <c r="R708" s="12" t="s">
        <v>129</v>
      </c>
      <c r="S708" s="12" t="s">
        <v>130</v>
      </c>
      <c r="T708" s="12" t="s">
        <v>131</v>
      </c>
      <c r="U708" s="12" t="s">
        <v>132</v>
      </c>
      <c r="V708" s="12" t="s">
        <v>518</v>
      </c>
      <c r="W708" s="12" t="s">
        <v>519</v>
      </c>
      <c r="X708" s="12" t="s">
        <v>520</v>
      </c>
      <c r="Y708" s="12" t="s">
        <v>521</v>
      </c>
      <c r="Z708" s="12" t="s">
        <v>522</v>
      </c>
      <c r="AA708" s="12" t="s">
        <v>523</v>
      </c>
    </row>
    <row r="709" customFormat="false" ht="15" hidden="false" customHeight="true" outlineLevel="0" collapsed="false">
      <c r="A709" s="30" t="s">
        <v>114</v>
      </c>
      <c r="B709" s="76"/>
      <c r="C709" s="74" t="n">
        <v>85</v>
      </c>
      <c r="D709" s="74" t="n">
        <v>75</v>
      </c>
      <c r="E709" s="74" t="n">
        <v>63</v>
      </c>
      <c r="F709" s="74" t="n">
        <v>71</v>
      </c>
      <c r="G709" s="74" t="n">
        <v>66</v>
      </c>
      <c r="H709" s="74" t="n">
        <v>60</v>
      </c>
      <c r="I709" s="74" t="n">
        <v>62</v>
      </c>
      <c r="J709" s="74" t="n">
        <v>23</v>
      </c>
      <c r="K709" s="74" t="n">
        <v>8</v>
      </c>
      <c r="L709" s="74" t="n">
        <v>7</v>
      </c>
      <c r="M709" s="74" t="n">
        <v>4</v>
      </c>
      <c r="N709" s="74" t="n">
        <v>3</v>
      </c>
      <c r="O709" s="74" t="n">
        <v>2</v>
      </c>
      <c r="P709" s="74" t="n">
        <v>0</v>
      </c>
      <c r="Q709" s="74" t="n">
        <v>0</v>
      </c>
      <c r="R709" s="74" t="n">
        <v>0</v>
      </c>
      <c r="S709" s="74" t="n">
        <v>0</v>
      </c>
      <c r="T709" s="74" t="n">
        <v>0</v>
      </c>
      <c r="U709" s="74" t="n">
        <v>0</v>
      </c>
      <c r="V709" s="81" t="n">
        <v>0</v>
      </c>
      <c r="W709" s="81" t="n">
        <v>0</v>
      </c>
      <c r="X709" s="81" t="n">
        <v>0</v>
      </c>
      <c r="Y709" s="81" t="n">
        <v>0</v>
      </c>
      <c r="Z709" s="81" t="n">
        <v>0</v>
      </c>
      <c r="AA709" s="81" t="n">
        <v>0</v>
      </c>
    </row>
    <row r="710" customFormat="false" ht="15" hidden="false" customHeight="true" outlineLevel="0" collapsed="false">
      <c r="A710" s="30" t="s">
        <v>115</v>
      </c>
      <c r="B710" s="76"/>
      <c r="C710" s="76"/>
      <c r="D710" s="74" t="n">
        <v>80</v>
      </c>
      <c r="E710" s="74" t="n">
        <v>74</v>
      </c>
      <c r="F710" s="74" t="n">
        <v>71</v>
      </c>
      <c r="G710" s="74" t="n">
        <v>65</v>
      </c>
      <c r="H710" s="74" t="n">
        <v>58</v>
      </c>
      <c r="I710" s="74" t="n">
        <v>62</v>
      </c>
      <c r="J710" s="74" t="n">
        <v>58</v>
      </c>
      <c r="K710" s="74" t="n">
        <v>11</v>
      </c>
      <c r="L710" s="74" t="n">
        <v>8</v>
      </c>
      <c r="M710" s="74" t="n">
        <v>6</v>
      </c>
      <c r="N710" s="74" t="n">
        <v>4</v>
      </c>
      <c r="O710" s="74" t="n">
        <v>2</v>
      </c>
      <c r="P710" s="74" t="n">
        <v>0</v>
      </c>
      <c r="Q710" s="74" t="n">
        <v>1</v>
      </c>
      <c r="R710" s="74" t="n">
        <v>2</v>
      </c>
      <c r="S710" s="74" t="n">
        <v>2</v>
      </c>
      <c r="T710" s="74" t="n">
        <v>2</v>
      </c>
      <c r="U710" s="74" t="n">
        <v>2</v>
      </c>
      <c r="V710" s="81" t="n">
        <v>2</v>
      </c>
      <c r="W710" s="81" t="n">
        <v>2</v>
      </c>
      <c r="X710" s="81" t="n">
        <v>2</v>
      </c>
      <c r="Y710" s="81" t="n">
        <v>2</v>
      </c>
      <c r="Z710" s="81" t="n">
        <v>2</v>
      </c>
      <c r="AA710" s="81" t="n">
        <v>2</v>
      </c>
    </row>
    <row r="711" customFormat="false" ht="15" hidden="false" customHeight="true" outlineLevel="0" collapsed="false">
      <c r="A711" s="30" t="s">
        <v>116</v>
      </c>
      <c r="B711" s="76"/>
      <c r="C711" s="76"/>
      <c r="D711" s="76"/>
      <c r="E711" s="74" t="n">
        <v>1</v>
      </c>
      <c r="F711" s="74" t="n">
        <v>1</v>
      </c>
      <c r="G711" s="74" t="n">
        <v>0</v>
      </c>
      <c r="H711" s="74" t="n">
        <v>0</v>
      </c>
      <c r="I711" s="74" t="n">
        <v>0</v>
      </c>
      <c r="J711" s="74" t="n">
        <v>0</v>
      </c>
      <c r="K711" s="74" t="n">
        <v>0</v>
      </c>
      <c r="L711" s="74" t="n">
        <v>0</v>
      </c>
      <c r="M711" s="74" t="n">
        <v>0</v>
      </c>
      <c r="N711" s="74" t="n">
        <v>0</v>
      </c>
      <c r="O711" s="74" t="n">
        <v>0</v>
      </c>
      <c r="P711" s="74" t="n">
        <v>0</v>
      </c>
      <c r="Q711" s="74" t="n">
        <v>0</v>
      </c>
      <c r="R711" s="74" t="n">
        <v>0</v>
      </c>
      <c r="S711" s="74" t="n">
        <v>0</v>
      </c>
      <c r="T711" s="74" t="n">
        <v>0</v>
      </c>
      <c r="U711" s="74" t="n">
        <v>0</v>
      </c>
      <c r="V711" s="81" t="n">
        <v>0</v>
      </c>
      <c r="W711" s="81" t="n">
        <v>0</v>
      </c>
      <c r="X711" s="81" t="n">
        <v>0</v>
      </c>
      <c r="Y711" s="81" t="n">
        <v>0</v>
      </c>
      <c r="Z711" s="81" t="n">
        <v>0</v>
      </c>
      <c r="AA711" s="81" t="n">
        <v>0</v>
      </c>
    </row>
    <row r="712" customFormat="false" ht="15" hidden="false" customHeight="true" outlineLevel="0" collapsed="false">
      <c r="A712" s="30" t="s">
        <v>117</v>
      </c>
      <c r="B712" s="76"/>
      <c r="C712" s="76"/>
      <c r="D712" s="76"/>
      <c r="E712" s="76"/>
      <c r="F712" s="74" t="n">
        <v>115</v>
      </c>
      <c r="G712" s="74" t="n">
        <v>102</v>
      </c>
      <c r="H712" s="74" t="n">
        <v>80</v>
      </c>
      <c r="I712" s="74" t="n">
        <v>84</v>
      </c>
      <c r="J712" s="74" t="n">
        <v>83</v>
      </c>
      <c r="K712" s="74" t="n">
        <v>79</v>
      </c>
      <c r="L712" s="74" t="n">
        <v>74</v>
      </c>
      <c r="M712" s="74" t="n">
        <v>32</v>
      </c>
      <c r="N712" s="74" t="n">
        <v>21</v>
      </c>
      <c r="O712" s="74" t="n">
        <v>12</v>
      </c>
      <c r="P712" s="74" t="n">
        <v>7</v>
      </c>
      <c r="Q712" s="74" t="n">
        <v>5</v>
      </c>
      <c r="R712" s="74" t="n">
        <v>3</v>
      </c>
      <c r="S712" s="74" t="n">
        <v>1</v>
      </c>
      <c r="T712" s="74" t="n">
        <v>1</v>
      </c>
      <c r="U712" s="74" t="n">
        <v>0</v>
      </c>
      <c r="V712" s="81" t="n">
        <v>0</v>
      </c>
      <c r="W712" s="81" t="n">
        <v>0</v>
      </c>
      <c r="X712" s="81" t="n">
        <v>0</v>
      </c>
      <c r="Y712" s="81" t="n">
        <v>0</v>
      </c>
      <c r="Z712" s="81" t="n">
        <v>0</v>
      </c>
      <c r="AA712" s="81" t="n">
        <v>0</v>
      </c>
    </row>
    <row r="713" customFormat="false" ht="15" hidden="false" customHeight="true" outlineLevel="0" collapsed="false">
      <c r="A713" s="30" t="s">
        <v>118</v>
      </c>
      <c r="B713" s="76"/>
      <c r="C713" s="76"/>
      <c r="D713" s="76"/>
      <c r="E713" s="76"/>
      <c r="F713" s="76"/>
      <c r="G713" s="74" t="n">
        <v>115</v>
      </c>
      <c r="H713" s="74" t="n">
        <v>95</v>
      </c>
      <c r="I713" s="74" t="n">
        <v>91</v>
      </c>
      <c r="J713" s="74" t="n">
        <v>82</v>
      </c>
      <c r="K713" s="74" t="n">
        <v>75</v>
      </c>
      <c r="L713" s="74" t="n">
        <v>76</v>
      </c>
      <c r="M713" s="74" t="n">
        <v>75</v>
      </c>
      <c r="N713" s="74" t="n">
        <v>26</v>
      </c>
      <c r="O713" s="74" t="n">
        <v>21</v>
      </c>
      <c r="P713" s="74" t="n">
        <v>12</v>
      </c>
      <c r="Q713" s="74" t="n">
        <v>7</v>
      </c>
      <c r="R713" s="74" t="n">
        <v>6</v>
      </c>
      <c r="S713" s="74" t="n">
        <v>3</v>
      </c>
      <c r="T713" s="74" t="n">
        <v>2</v>
      </c>
      <c r="U713" s="74" t="n">
        <v>2</v>
      </c>
      <c r="V713" s="81" t="n">
        <v>1</v>
      </c>
      <c r="W713" s="81" t="n">
        <v>1</v>
      </c>
      <c r="X713" s="81" t="n">
        <v>1</v>
      </c>
      <c r="Y713" s="81" t="n">
        <v>1</v>
      </c>
      <c r="Z713" s="81" t="n">
        <v>1</v>
      </c>
      <c r="AA713" s="81" t="n">
        <v>1</v>
      </c>
    </row>
    <row r="714" customFormat="false" ht="15" hidden="false" customHeight="true" outlineLevel="0" collapsed="false">
      <c r="A714" s="30" t="s">
        <v>119</v>
      </c>
      <c r="B714" s="76"/>
      <c r="C714" s="76"/>
      <c r="D714" s="76"/>
      <c r="E714" s="76"/>
      <c r="F714" s="76"/>
      <c r="G714" s="76"/>
      <c r="H714" s="74" t="n">
        <v>3</v>
      </c>
      <c r="I714" s="74" t="n">
        <v>3</v>
      </c>
      <c r="J714" s="74" t="n">
        <v>3</v>
      </c>
      <c r="K714" s="74" t="n">
        <v>3</v>
      </c>
      <c r="L714" s="74" t="n">
        <v>3</v>
      </c>
      <c r="M714" s="74" t="n">
        <v>3</v>
      </c>
      <c r="N714" s="74" t="n">
        <v>2</v>
      </c>
      <c r="O714" s="74" t="n">
        <v>1</v>
      </c>
      <c r="P714" s="74" t="n">
        <v>0</v>
      </c>
      <c r="Q714" s="74" t="n">
        <v>0</v>
      </c>
      <c r="R714" s="74" t="n">
        <v>0</v>
      </c>
      <c r="S714" s="74" t="n">
        <v>0</v>
      </c>
      <c r="T714" s="74" t="n">
        <v>0</v>
      </c>
      <c r="U714" s="74" t="n">
        <v>0</v>
      </c>
      <c r="V714" s="81" t="n">
        <v>0</v>
      </c>
      <c r="W714" s="81" t="n">
        <v>0</v>
      </c>
      <c r="X714" s="81" t="n">
        <v>0</v>
      </c>
      <c r="Y714" s="81" t="n">
        <v>0</v>
      </c>
      <c r="Z714" s="81" t="n">
        <v>0</v>
      </c>
      <c r="AA714" s="81" t="n">
        <v>0</v>
      </c>
    </row>
    <row r="715" customFormat="false" ht="15" hidden="false" customHeight="true" outlineLevel="0" collapsed="false">
      <c r="A715" s="30" t="s">
        <v>120</v>
      </c>
      <c r="B715" s="76"/>
      <c r="C715" s="76"/>
      <c r="D715" s="76"/>
      <c r="E715" s="76"/>
      <c r="F715" s="76"/>
      <c r="G715" s="76"/>
      <c r="H715" s="76"/>
      <c r="I715" s="74" t="n">
        <v>120</v>
      </c>
      <c r="J715" s="74" t="n">
        <v>109</v>
      </c>
      <c r="K715" s="74" t="n">
        <v>91</v>
      </c>
      <c r="L715" s="74" t="n">
        <v>97</v>
      </c>
      <c r="M715" s="74" t="n">
        <v>94</v>
      </c>
      <c r="N715" s="74" t="n">
        <v>89</v>
      </c>
      <c r="O715" s="74" t="n">
        <v>93</v>
      </c>
      <c r="P715" s="74" t="n">
        <v>41</v>
      </c>
      <c r="Q715" s="74" t="n">
        <v>20</v>
      </c>
      <c r="R715" s="74" t="n">
        <v>9</v>
      </c>
      <c r="S715" s="74" t="n">
        <v>4</v>
      </c>
      <c r="T715" s="74" t="n">
        <v>2</v>
      </c>
      <c r="U715" s="74" t="n">
        <v>2</v>
      </c>
      <c r="V715" s="81" t="n">
        <v>1</v>
      </c>
      <c r="W715" s="81" t="n">
        <v>1</v>
      </c>
      <c r="X715" s="81" t="n">
        <v>0</v>
      </c>
      <c r="Y715" s="81" t="n">
        <v>0</v>
      </c>
      <c r="Z715" s="81" t="n">
        <v>0</v>
      </c>
      <c r="AA715" s="81" t="n">
        <v>0</v>
      </c>
    </row>
    <row r="716" customFormat="false" ht="15" hidden="false" customHeight="true" outlineLevel="0" collapsed="false">
      <c r="A716" s="30" t="s">
        <v>121</v>
      </c>
      <c r="B716" s="76"/>
      <c r="C716" s="76"/>
      <c r="D716" s="76"/>
      <c r="E716" s="76"/>
      <c r="F716" s="76"/>
      <c r="G716" s="76"/>
      <c r="H716" s="76"/>
      <c r="I716" s="76"/>
      <c r="J716" s="74" t="n">
        <v>54</v>
      </c>
      <c r="K716" s="74" t="n">
        <v>42</v>
      </c>
      <c r="L716" s="74" t="n">
        <v>45</v>
      </c>
      <c r="M716" s="74" t="n">
        <v>37</v>
      </c>
      <c r="N716" s="74" t="n">
        <v>34</v>
      </c>
      <c r="O716" s="74" t="n">
        <v>41</v>
      </c>
      <c r="P716" s="74" t="n">
        <v>38</v>
      </c>
      <c r="Q716" s="74" t="n">
        <v>16</v>
      </c>
      <c r="R716" s="74" t="n">
        <v>13</v>
      </c>
      <c r="S716" s="74" t="n">
        <v>9</v>
      </c>
      <c r="T716" s="74" t="n">
        <v>7</v>
      </c>
      <c r="U716" s="74" t="n">
        <v>4</v>
      </c>
      <c r="V716" s="81" t="n">
        <v>2</v>
      </c>
      <c r="W716" s="81" t="n">
        <v>1</v>
      </c>
      <c r="X716" s="81" t="n">
        <v>1</v>
      </c>
      <c r="Y716" s="81" t="n">
        <v>0</v>
      </c>
      <c r="Z716" s="81" t="n">
        <v>0</v>
      </c>
      <c r="AA716" s="81" t="n">
        <v>0</v>
      </c>
    </row>
    <row r="717" customFormat="false" ht="15" hidden="false" customHeight="true" outlineLevel="0" collapsed="false">
      <c r="A717" s="30" t="s">
        <v>122</v>
      </c>
      <c r="B717" s="76"/>
      <c r="C717" s="76"/>
      <c r="D717" s="76"/>
      <c r="E717" s="76"/>
      <c r="F717" s="76"/>
      <c r="G717" s="76"/>
      <c r="H717" s="76"/>
      <c r="I717" s="76"/>
      <c r="J717" s="76"/>
      <c r="K717" s="74" t="n">
        <v>1</v>
      </c>
      <c r="L717" s="74" t="n">
        <v>1</v>
      </c>
      <c r="M717" s="74" t="n">
        <v>1</v>
      </c>
      <c r="N717" s="74" t="n">
        <v>1</v>
      </c>
      <c r="O717" s="74" t="n">
        <v>0</v>
      </c>
      <c r="P717" s="74" t="n">
        <v>0</v>
      </c>
      <c r="Q717" s="74" t="n">
        <v>0</v>
      </c>
      <c r="R717" s="74" t="n">
        <v>0</v>
      </c>
      <c r="S717" s="74" t="n">
        <v>0</v>
      </c>
      <c r="T717" s="74" t="n">
        <v>0</v>
      </c>
      <c r="U717" s="74" t="n">
        <v>0</v>
      </c>
      <c r="V717" s="81" t="n">
        <v>0</v>
      </c>
      <c r="W717" s="81" t="n">
        <v>0</v>
      </c>
      <c r="X717" s="81" t="n">
        <v>0</v>
      </c>
      <c r="Y717" s="81" t="n">
        <v>0</v>
      </c>
      <c r="Z717" s="81" t="n">
        <v>0</v>
      </c>
      <c r="AA717" s="81" t="n">
        <v>0</v>
      </c>
    </row>
    <row r="718" customFormat="false" ht="15" hidden="false" customHeight="true" outlineLevel="0" collapsed="false">
      <c r="A718" s="30" t="s">
        <v>123</v>
      </c>
      <c r="B718" s="76"/>
      <c r="C718" s="76"/>
      <c r="D718" s="76"/>
      <c r="E718" s="76"/>
      <c r="F718" s="76"/>
      <c r="G718" s="76"/>
      <c r="H718" s="76"/>
      <c r="I718" s="76"/>
      <c r="J718" s="76"/>
      <c r="K718" s="76"/>
      <c r="L718" s="74" t="n">
        <v>125</v>
      </c>
      <c r="M718" s="74" t="n">
        <v>117</v>
      </c>
      <c r="N718" s="74" t="n">
        <v>99</v>
      </c>
      <c r="O718" s="74" t="n">
        <v>106</v>
      </c>
      <c r="P718" s="74" t="n">
        <v>93</v>
      </c>
      <c r="Q718" s="74" t="n">
        <v>93</v>
      </c>
      <c r="R718" s="74" t="n">
        <v>92</v>
      </c>
      <c r="S718" s="74" t="n">
        <v>85</v>
      </c>
      <c r="T718" s="74" t="n">
        <v>76</v>
      </c>
      <c r="U718" s="74" t="n">
        <v>29</v>
      </c>
      <c r="V718" s="81" t="n">
        <v>11</v>
      </c>
      <c r="W718" s="81" t="n">
        <v>8</v>
      </c>
      <c r="X718" s="81" t="n">
        <v>3</v>
      </c>
      <c r="Y718" s="81" t="n">
        <v>1</v>
      </c>
      <c r="Z718" s="81" t="n">
        <v>2</v>
      </c>
      <c r="AA718" s="81" t="n">
        <v>1</v>
      </c>
    </row>
    <row r="719" customFormat="false" ht="15" hidden="false" customHeight="true" outlineLevel="0" collapsed="false">
      <c r="A719" s="30" t="s">
        <v>124</v>
      </c>
      <c r="B719" s="76"/>
      <c r="C719" s="76"/>
      <c r="D719" s="76"/>
      <c r="E719" s="76"/>
      <c r="F719" s="76"/>
      <c r="G719" s="76"/>
      <c r="H719" s="76"/>
      <c r="I719" s="76"/>
      <c r="J719" s="76"/>
      <c r="K719" s="76"/>
      <c r="L719" s="76"/>
      <c r="M719" s="74" t="n">
        <v>72</v>
      </c>
      <c r="N719" s="74" t="n">
        <v>54</v>
      </c>
      <c r="O719" s="74" t="n">
        <v>51</v>
      </c>
      <c r="P719" s="74" t="n">
        <v>54</v>
      </c>
      <c r="Q719" s="74" t="n">
        <v>50</v>
      </c>
      <c r="R719" s="74" t="n">
        <v>48</v>
      </c>
      <c r="S719" s="74" t="n">
        <v>45</v>
      </c>
      <c r="T719" s="74" t="n">
        <v>34</v>
      </c>
      <c r="U719" s="74" t="n">
        <v>30</v>
      </c>
      <c r="V719" s="81" t="n">
        <v>13</v>
      </c>
      <c r="W719" s="81" t="n">
        <v>5</v>
      </c>
      <c r="X719" s="81" t="n">
        <v>3</v>
      </c>
      <c r="Y719" s="81" t="n">
        <v>2</v>
      </c>
      <c r="Z719" s="81" t="n">
        <v>1</v>
      </c>
      <c r="AA719" s="81" t="n">
        <v>1</v>
      </c>
    </row>
    <row r="720" customFormat="false" ht="15" hidden="false" customHeight="true" outlineLevel="0" collapsed="false">
      <c r="A720" s="30" t="s">
        <v>126</v>
      </c>
      <c r="B720" s="76"/>
      <c r="C720" s="76"/>
      <c r="D720" s="76"/>
      <c r="E720" s="76"/>
      <c r="F720" s="76"/>
      <c r="G720" s="76"/>
      <c r="H720" s="76"/>
      <c r="I720" s="76"/>
      <c r="J720" s="76"/>
      <c r="K720" s="76"/>
      <c r="L720" s="76"/>
      <c r="M720" s="76"/>
      <c r="N720" s="76"/>
      <c r="O720" s="74" t="n">
        <v>111</v>
      </c>
      <c r="P720" s="74" t="n">
        <v>101</v>
      </c>
      <c r="Q720" s="74" t="n">
        <v>92</v>
      </c>
      <c r="R720" s="74" t="n">
        <v>87</v>
      </c>
      <c r="S720" s="74" t="n">
        <v>82</v>
      </c>
      <c r="T720" s="74" t="n">
        <v>80</v>
      </c>
      <c r="U720" s="74" t="n">
        <v>77</v>
      </c>
      <c r="V720" s="81" t="n">
        <v>38</v>
      </c>
      <c r="W720" s="81" t="n">
        <v>28</v>
      </c>
      <c r="X720" s="81" t="n">
        <v>12</v>
      </c>
      <c r="Y720" s="81" t="n">
        <v>5</v>
      </c>
      <c r="Z720" s="81" t="n">
        <v>3</v>
      </c>
      <c r="AA720" s="81" t="n">
        <v>1</v>
      </c>
    </row>
    <row r="721" customFormat="false" ht="15" hidden="false" customHeight="true" outlineLevel="0" collapsed="false">
      <c r="A721" s="30" t="s">
        <v>127</v>
      </c>
      <c r="B721" s="76"/>
      <c r="C721" s="76"/>
      <c r="D721" s="76"/>
      <c r="E721" s="76"/>
      <c r="F721" s="76"/>
      <c r="G721" s="76"/>
      <c r="H721" s="76"/>
      <c r="I721" s="76"/>
      <c r="J721" s="76"/>
      <c r="K721" s="76"/>
      <c r="L721" s="76"/>
      <c r="M721" s="76"/>
      <c r="N721" s="76"/>
      <c r="O721" s="76"/>
      <c r="P721" s="74" t="n">
        <v>62</v>
      </c>
      <c r="Q721" s="74" t="n">
        <v>58</v>
      </c>
      <c r="R721" s="74" t="n">
        <v>56</v>
      </c>
      <c r="S721" s="74" t="n">
        <v>55</v>
      </c>
      <c r="T721" s="74" t="n">
        <v>52</v>
      </c>
      <c r="U721" s="74" t="n">
        <v>50</v>
      </c>
      <c r="V721" s="81" t="n">
        <v>49</v>
      </c>
      <c r="W721" s="81" t="n">
        <v>24</v>
      </c>
      <c r="X721" s="81" t="n">
        <v>18</v>
      </c>
      <c r="Y721" s="81" t="n">
        <v>8</v>
      </c>
      <c r="Z721" s="81" t="n">
        <v>3</v>
      </c>
      <c r="AA721" s="81" t="n">
        <v>2</v>
      </c>
    </row>
    <row r="722" customFormat="false" ht="15" hidden="false" customHeight="true" outlineLevel="0" collapsed="false">
      <c r="A722" s="30" t="s">
        <v>129</v>
      </c>
      <c r="B722" s="76"/>
      <c r="C722" s="76"/>
      <c r="D722" s="76"/>
      <c r="E722" s="76"/>
      <c r="F722" s="76"/>
      <c r="G722" s="76"/>
      <c r="H722" s="76"/>
      <c r="I722" s="76"/>
      <c r="J722" s="76"/>
      <c r="K722" s="76"/>
      <c r="L722" s="76"/>
      <c r="M722" s="76"/>
      <c r="N722" s="76"/>
      <c r="O722" s="76"/>
      <c r="P722" s="76"/>
      <c r="Q722" s="76"/>
      <c r="R722" s="74" t="n">
        <v>118</v>
      </c>
      <c r="S722" s="74" t="n">
        <v>111</v>
      </c>
      <c r="T722" s="74" t="n">
        <v>99</v>
      </c>
      <c r="U722" s="74" t="n">
        <v>97</v>
      </c>
      <c r="V722" s="81" t="n">
        <v>90</v>
      </c>
      <c r="W722" s="81" t="n">
        <v>89</v>
      </c>
      <c r="X722" s="81" t="n">
        <v>87</v>
      </c>
      <c r="Y722" s="81" t="n">
        <v>43</v>
      </c>
      <c r="Z722" s="81" t="n">
        <v>32</v>
      </c>
      <c r="AA722" s="81" t="n">
        <v>14</v>
      </c>
    </row>
    <row r="723" customFormat="false" ht="15" hidden="false" customHeight="true" outlineLevel="0" collapsed="false">
      <c r="A723" s="30" t="s">
        <v>130</v>
      </c>
      <c r="B723" s="76"/>
      <c r="C723" s="76"/>
      <c r="D723" s="76"/>
      <c r="E723" s="76"/>
      <c r="F723" s="76"/>
      <c r="G723" s="76"/>
      <c r="H723" s="76"/>
      <c r="I723" s="76"/>
      <c r="J723" s="76"/>
      <c r="K723" s="76"/>
      <c r="L723" s="76"/>
      <c r="M723" s="76"/>
      <c r="N723" s="76"/>
      <c r="O723" s="76"/>
      <c r="P723" s="76"/>
      <c r="Q723" s="76"/>
      <c r="R723" s="76"/>
      <c r="S723" s="74" t="n">
        <v>68</v>
      </c>
      <c r="T723" s="74" t="n">
        <v>60</v>
      </c>
      <c r="U723" s="74" t="n">
        <v>60</v>
      </c>
      <c r="V723" s="81" t="n">
        <v>61</v>
      </c>
      <c r="W723" s="81" t="n">
        <v>56</v>
      </c>
      <c r="X723" s="81" t="n">
        <v>56</v>
      </c>
      <c r="Y723" s="81" t="n">
        <v>54</v>
      </c>
      <c r="Z723" s="81" t="n">
        <v>27</v>
      </c>
      <c r="AA723" s="81" t="n">
        <v>20</v>
      </c>
    </row>
    <row r="724" customFormat="false" ht="15" hidden="false" customHeight="true" outlineLevel="0" collapsed="false">
      <c r="A724" s="30" t="s">
        <v>131</v>
      </c>
      <c r="B724" s="76"/>
      <c r="C724" s="76"/>
      <c r="D724" s="76"/>
      <c r="E724" s="76"/>
      <c r="F724" s="76"/>
      <c r="G724" s="76"/>
      <c r="H724" s="76"/>
      <c r="I724" s="76"/>
      <c r="J724" s="76"/>
      <c r="K724" s="76"/>
      <c r="L724" s="76"/>
      <c r="M724" s="76"/>
      <c r="N724" s="76"/>
      <c r="O724" s="76"/>
      <c r="P724" s="76"/>
      <c r="Q724" s="76"/>
      <c r="R724" s="76"/>
      <c r="S724" s="76"/>
      <c r="T724" s="74" t="n">
        <v>2</v>
      </c>
      <c r="U724" s="74" t="n">
        <v>2</v>
      </c>
      <c r="V724" s="81" t="n">
        <v>2</v>
      </c>
      <c r="W724" s="81" t="n">
        <v>2</v>
      </c>
      <c r="X724" s="81" t="n">
        <v>2</v>
      </c>
      <c r="Y724" s="81" t="n">
        <v>2</v>
      </c>
      <c r="Z724" s="81" t="n">
        <v>2</v>
      </c>
      <c r="AA724" s="81" t="n">
        <v>1</v>
      </c>
    </row>
    <row r="725" customFormat="false" ht="15" hidden="false" customHeight="true" outlineLevel="0" collapsed="false">
      <c r="A725" s="30" t="s">
        <v>132</v>
      </c>
      <c r="B725" s="76"/>
      <c r="C725" s="76"/>
      <c r="D725" s="76"/>
      <c r="E725" s="76"/>
      <c r="F725" s="76"/>
      <c r="G725" s="76"/>
      <c r="H725" s="76"/>
      <c r="I725" s="76"/>
      <c r="J725" s="76"/>
      <c r="K725" s="76"/>
      <c r="L725" s="76"/>
      <c r="M725" s="76"/>
      <c r="N725" s="76"/>
      <c r="O725" s="76"/>
      <c r="P725" s="76"/>
      <c r="Q725" s="76"/>
      <c r="R725" s="76"/>
      <c r="S725" s="76"/>
      <c r="T725" s="76"/>
      <c r="U725" s="74" t="n">
        <v>113</v>
      </c>
      <c r="V725" s="81" t="n">
        <v>99</v>
      </c>
      <c r="W725" s="81" t="n">
        <v>87</v>
      </c>
      <c r="X725" s="81" t="n">
        <v>88</v>
      </c>
      <c r="Y725" s="81" t="n">
        <v>81</v>
      </c>
      <c r="Z725" s="81" t="n">
        <v>81</v>
      </c>
      <c r="AA725" s="81" t="n">
        <v>79</v>
      </c>
    </row>
    <row r="726" customFormat="false" ht="15" hidden="false" customHeight="true" outlineLevel="0" collapsed="false">
      <c r="A726" s="82" t="s">
        <v>524</v>
      </c>
      <c r="B726" s="76"/>
      <c r="C726" s="76"/>
      <c r="D726" s="76"/>
      <c r="E726" s="76"/>
      <c r="F726" s="76"/>
      <c r="G726" s="76"/>
      <c r="H726" s="76"/>
      <c r="I726" s="76"/>
      <c r="J726" s="76"/>
      <c r="K726" s="76"/>
      <c r="L726" s="76"/>
      <c r="M726" s="76"/>
      <c r="N726" s="76"/>
      <c r="O726" s="76"/>
      <c r="P726" s="76"/>
      <c r="Q726" s="76"/>
      <c r="R726" s="76"/>
      <c r="S726" s="76"/>
      <c r="T726" s="76"/>
      <c r="U726" s="76"/>
      <c r="V726" s="81" t="n">
        <v>61</v>
      </c>
      <c r="W726" s="81" t="n">
        <v>53</v>
      </c>
      <c r="X726" s="81" t="n">
        <v>47</v>
      </c>
      <c r="Y726" s="81" t="n">
        <v>47</v>
      </c>
      <c r="Z726" s="81" t="n">
        <v>44</v>
      </c>
      <c r="AA726" s="81" t="n">
        <v>44</v>
      </c>
    </row>
    <row r="727" customFormat="false" ht="15" hidden="false" customHeight="true" outlineLevel="0" collapsed="false">
      <c r="A727" s="82" t="s">
        <v>525</v>
      </c>
      <c r="B727" s="76"/>
      <c r="C727" s="76"/>
      <c r="D727" s="76"/>
      <c r="E727" s="76"/>
      <c r="F727" s="76"/>
      <c r="G727" s="76"/>
      <c r="H727" s="76"/>
      <c r="I727" s="76"/>
      <c r="J727" s="76"/>
      <c r="K727" s="76"/>
      <c r="L727" s="76"/>
      <c r="M727" s="76"/>
      <c r="N727" s="76"/>
      <c r="O727" s="76"/>
      <c r="P727" s="76"/>
      <c r="Q727" s="76"/>
      <c r="R727" s="76"/>
      <c r="S727" s="76"/>
      <c r="T727" s="76"/>
      <c r="U727" s="76"/>
      <c r="V727" s="76"/>
      <c r="W727" s="81" t="n">
        <v>61</v>
      </c>
      <c r="X727" s="81" t="n">
        <v>53</v>
      </c>
      <c r="Y727" s="81" t="n">
        <v>47</v>
      </c>
      <c r="Z727" s="81" t="n">
        <v>47</v>
      </c>
      <c r="AA727" s="81" t="n">
        <v>44</v>
      </c>
    </row>
    <row r="728" customFormat="false" ht="15" hidden="false" customHeight="true" outlineLevel="0" collapsed="false">
      <c r="A728" s="82" t="s">
        <v>526</v>
      </c>
      <c r="B728" s="76"/>
      <c r="C728" s="76"/>
      <c r="D728" s="76"/>
      <c r="E728" s="76"/>
      <c r="F728" s="76"/>
      <c r="G728" s="76"/>
      <c r="H728" s="76"/>
      <c r="I728" s="76"/>
      <c r="J728" s="76"/>
      <c r="K728" s="76"/>
      <c r="L728" s="76"/>
      <c r="M728" s="76"/>
      <c r="N728" s="76"/>
      <c r="O728" s="76"/>
      <c r="P728" s="76"/>
      <c r="Q728" s="76"/>
      <c r="R728" s="76"/>
      <c r="S728" s="76"/>
      <c r="T728" s="76"/>
      <c r="U728" s="76"/>
      <c r="V728" s="76"/>
      <c r="W728" s="76"/>
      <c r="X728" s="81" t="n">
        <v>61</v>
      </c>
      <c r="Y728" s="81" t="n">
        <v>53</v>
      </c>
      <c r="Z728" s="81" t="n">
        <v>47</v>
      </c>
      <c r="AA728" s="81" t="n">
        <v>47</v>
      </c>
    </row>
    <row r="729" customFormat="false" ht="15" hidden="false" customHeight="true" outlineLevel="0" collapsed="false">
      <c r="A729" s="82" t="s">
        <v>527</v>
      </c>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81" t="n">
        <v>61</v>
      </c>
      <c r="Z729" s="81" t="n">
        <v>53</v>
      </c>
      <c r="AA729" s="81" t="n">
        <v>47</v>
      </c>
    </row>
    <row r="730" customFormat="false" ht="15" hidden="false" customHeight="true" outlineLevel="0" collapsed="false">
      <c r="A730" s="82" t="s">
        <v>528</v>
      </c>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81" t="n">
        <v>61</v>
      </c>
      <c r="AA730" s="81" t="n">
        <v>53</v>
      </c>
    </row>
    <row r="731" customFormat="false" ht="15" hidden="false" customHeight="true" outlineLevel="0" collapsed="false">
      <c r="A731" s="82" t="s">
        <v>529</v>
      </c>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81" t="n">
        <v>61</v>
      </c>
    </row>
    <row r="732" customFormat="false" ht="15" hidden="false" customHeight="true" outlineLevel="0" collapsed="false">
      <c r="A732" s="34" t="s">
        <v>514</v>
      </c>
      <c r="B732" s="79"/>
      <c r="C732" s="79" t="n">
        <v>85</v>
      </c>
      <c r="D732" s="79" t="n">
        <v>155</v>
      </c>
      <c r="E732" s="79" t="n">
        <v>138</v>
      </c>
      <c r="F732" s="79" t="n">
        <v>258</v>
      </c>
      <c r="G732" s="79" t="n">
        <v>348</v>
      </c>
      <c r="H732" s="79" t="n">
        <v>296</v>
      </c>
      <c r="I732" s="79" t="n">
        <v>422</v>
      </c>
      <c r="J732" s="79" t="n">
        <v>412</v>
      </c>
      <c r="K732" s="79" t="n">
        <v>310</v>
      </c>
      <c r="L732" s="79" t="n">
        <v>436</v>
      </c>
      <c r="M732" s="79" t="n">
        <v>441</v>
      </c>
      <c r="N732" s="79" t="n">
        <v>333</v>
      </c>
      <c r="O732" s="79" t="n">
        <v>440</v>
      </c>
      <c r="P732" s="79" t="n">
        <v>408</v>
      </c>
      <c r="Q732" s="79" t="n">
        <v>342</v>
      </c>
      <c r="R732" s="79" t="n">
        <v>434</v>
      </c>
      <c r="S732" s="79" t="n">
        <v>465</v>
      </c>
      <c r="T732" s="79" t="n">
        <v>417</v>
      </c>
      <c r="U732" s="79" t="n">
        <v>468</v>
      </c>
      <c r="V732" s="79" t="n">
        <v>429</v>
      </c>
      <c r="W732" s="79" t="n">
        <v>418</v>
      </c>
      <c r="X732" s="79" t="n">
        <v>434</v>
      </c>
      <c r="Y732" s="79" t="n">
        <v>409</v>
      </c>
      <c r="Z732" s="79" t="n">
        <v>406</v>
      </c>
      <c r="AA732" s="79" t="n">
        <v>418</v>
      </c>
    </row>
    <row r="734" customFormat="false" ht="45" hidden="false" customHeight="true" outlineLevel="0" collapsed="false">
      <c r="A734" s="65" t="s">
        <v>438</v>
      </c>
      <c r="B734" s="65"/>
      <c r="C734" s="65"/>
      <c r="D734" s="65"/>
      <c r="E734" s="65"/>
      <c r="F734" s="65"/>
      <c r="G734" s="65"/>
      <c r="H734" s="65"/>
      <c r="I734" s="65"/>
    </row>
    <row r="735" customFormat="false" ht="15" hidden="false" customHeight="true" outlineLevel="0" collapsed="false">
      <c r="A735" s="29" t="s">
        <v>272</v>
      </c>
      <c r="B735" s="29"/>
      <c r="C735" s="29"/>
      <c r="D735" s="29"/>
      <c r="E735" s="29"/>
      <c r="F735" s="29"/>
      <c r="G735" s="29"/>
      <c r="H735" s="29"/>
      <c r="I735" s="29"/>
    </row>
    <row r="737" customFormat="false" ht="19.5" hidden="false" customHeight="true" outlineLevel="0" collapsed="false">
      <c r="A737" s="65" t="s">
        <v>439</v>
      </c>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row>
    <row r="738" customFormat="false" ht="15" hidden="false" customHeight="true" outlineLevel="0" collapsed="false">
      <c r="A738" s="80" t="s">
        <v>548</v>
      </c>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c r="AA738" s="80"/>
    </row>
    <row r="739" customFormat="false" ht="15" hidden="false" customHeight="true" outlineLevel="0" collapsed="false">
      <c r="A739" s="12" t="s">
        <v>513</v>
      </c>
      <c r="B739" s="12" t="s">
        <v>113</v>
      </c>
      <c r="C739" s="12" t="s">
        <v>114</v>
      </c>
      <c r="D739" s="12" t="s">
        <v>115</v>
      </c>
      <c r="E739" s="12" t="s">
        <v>116</v>
      </c>
      <c r="F739" s="12" t="s">
        <v>117</v>
      </c>
      <c r="G739" s="12" t="s">
        <v>118</v>
      </c>
      <c r="H739" s="12" t="s">
        <v>119</v>
      </c>
      <c r="I739" s="12" t="s">
        <v>120</v>
      </c>
      <c r="J739" s="12" t="s">
        <v>121</v>
      </c>
      <c r="K739" s="12" t="s">
        <v>122</v>
      </c>
      <c r="L739" s="12" t="s">
        <v>123</v>
      </c>
      <c r="M739" s="12" t="s">
        <v>124</v>
      </c>
      <c r="N739" s="12" t="s">
        <v>125</v>
      </c>
      <c r="O739" s="12" t="s">
        <v>126</v>
      </c>
      <c r="P739" s="12" t="s">
        <v>127</v>
      </c>
      <c r="Q739" s="12" t="s">
        <v>128</v>
      </c>
      <c r="R739" s="12" t="s">
        <v>129</v>
      </c>
      <c r="S739" s="12" t="s">
        <v>130</v>
      </c>
      <c r="T739" s="12" t="s">
        <v>131</v>
      </c>
      <c r="U739" s="12" t="s">
        <v>132</v>
      </c>
      <c r="V739" s="12" t="s">
        <v>518</v>
      </c>
      <c r="W739" s="12" t="s">
        <v>519</v>
      </c>
      <c r="X739" s="12" t="s">
        <v>520</v>
      </c>
      <c r="Y739" s="12" t="s">
        <v>521</v>
      </c>
      <c r="Z739" s="12" t="s">
        <v>522</v>
      </c>
      <c r="AA739" s="12" t="s">
        <v>523</v>
      </c>
    </row>
    <row r="740" customFormat="false" ht="15" hidden="false" customHeight="true" outlineLevel="0" collapsed="false">
      <c r="A740" s="30" t="s">
        <v>117</v>
      </c>
      <c r="B740" s="76"/>
      <c r="C740" s="76"/>
      <c r="D740" s="76"/>
      <c r="E740" s="76"/>
      <c r="F740" s="74" t="n">
        <v>1</v>
      </c>
      <c r="G740" s="74" t="n">
        <v>1</v>
      </c>
      <c r="H740" s="74" t="n">
        <v>1</v>
      </c>
      <c r="I740" s="74" t="n">
        <v>1</v>
      </c>
      <c r="J740" s="74" t="n">
        <v>0</v>
      </c>
      <c r="K740" s="74" t="n">
        <v>0</v>
      </c>
      <c r="L740" s="74" t="n">
        <v>0</v>
      </c>
      <c r="M740" s="74" t="n">
        <v>0</v>
      </c>
      <c r="N740" s="74" t="n">
        <v>0</v>
      </c>
      <c r="O740" s="74" t="n">
        <v>0</v>
      </c>
      <c r="P740" s="74" t="n">
        <v>0</v>
      </c>
      <c r="Q740" s="74" t="n">
        <v>0</v>
      </c>
      <c r="R740" s="74" t="n">
        <v>0</v>
      </c>
      <c r="S740" s="74" t="n">
        <v>0</v>
      </c>
      <c r="T740" s="74" t="n">
        <v>0</v>
      </c>
      <c r="U740" s="74" t="n">
        <v>0</v>
      </c>
      <c r="V740" s="81" t="n">
        <v>0</v>
      </c>
      <c r="W740" s="81" t="n">
        <v>0</v>
      </c>
      <c r="X740" s="81" t="n">
        <v>0</v>
      </c>
      <c r="Y740" s="81" t="n">
        <v>0</v>
      </c>
      <c r="Z740" s="81" t="n">
        <v>0</v>
      </c>
      <c r="AA740" s="81" t="n">
        <v>0</v>
      </c>
    </row>
    <row r="741" customFormat="false" ht="15" hidden="false" customHeight="true" outlineLevel="0" collapsed="false">
      <c r="A741" s="30" t="s">
        <v>118</v>
      </c>
      <c r="B741" s="76"/>
      <c r="C741" s="76"/>
      <c r="D741" s="76"/>
      <c r="E741" s="76"/>
      <c r="F741" s="76"/>
      <c r="G741" s="74" t="n">
        <v>2</v>
      </c>
      <c r="H741" s="74" t="n">
        <v>0</v>
      </c>
      <c r="I741" s="74" t="n">
        <v>0</v>
      </c>
      <c r="J741" s="74" t="n">
        <v>0</v>
      </c>
      <c r="K741" s="74" t="n">
        <v>0</v>
      </c>
      <c r="L741" s="74" t="n">
        <v>0</v>
      </c>
      <c r="M741" s="74" t="n">
        <v>0</v>
      </c>
      <c r="N741" s="74" t="n">
        <v>0</v>
      </c>
      <c r="O741" s="74" t="n">
        <v>0</v>
      </c>
      <c r="P741" s="74" t="n">
        <v>0</v>
      </c>
      <c r="Q741" s="74" t="n">
        <v>0</v>
      </c>
      <c r="R741" s="74" t="n">
        <v>0</v>
      </c>
      <c r="S741" s="74" t="n">
        <v>0</v>
      </c>
      <c r="T741" s="74" t="n">
        <v>0</v>
      </c>
      <c r="U741" s="74" t="n">
        <v>0</v>
      </c>
      <c r="V741" s="81" t="n">
        <v>0</v>
      </c>
      <c r="W741" s="81" t="n">
        <v>0</v>
      </c>
      <c r="X741" s="81" t="n">
        <v>0</v>
      </c>
      <c r="Y741" s="81" t="n">
        <v>0</v>
      </c>
      <c r="Z741" s="81" t="n">
        <v>0</v>
      </c>
      <c r="AA741" s="81" t="n">
        <v>0</v>
      </c>
    </row>
    <row r="742" customFormat="false" ht="15" hidden="false" customHeight="true" outlineLevel="0" collapsed="false">
      <c r="A742" s="30" t="s">
        <v>120</v>
      </c>
      <c r="B742" s="76"/>
      <c r="C742" s="76"/>
      <c r="D742" s="76"/>
      <c r="E742" s="76"/>
      <c r="F742" s="76"/>
      <c r="G742" s="76"/>
      <c r="H742" s="76"/>
      <c r="I742" s="74" t="n">
        <v>1</v>
      </c>
      <c r="J742" s="74" t="n">
        <v>0</v>
      </c>
      <c r="K742" s="74" t="n">
        <v>0</v>
      </c>
      <c r="L742" s="74" t="n">
        <v>0</v>
      </c>
      <c r="M742" s="74" t="n">
        <v>0</v>
      </c>
      <c r="N742" s="74" t="n">
        <v>0</v>
      </c>
      <c r="O742" s="74" t="n">
        <v>0</v>
      </c>
      <c r="P742" s="74" t="n">
        <v>0</v>
      </c>
      <c r="Q742" s="74" t="n">
        <v>0</v>
      </c>
      <c r="R742" s="74" t="n">
        <v>0</v>
      </c>
      <c r="S742" s="74" t="n">
        <v>0</v>
      </c>
      <c r="T742" s="74" t="n">
        <v>0</v>
      </c>
      <c r="U742" s="74" t="n">
        <v>0</v>
      </c>
      <c r="V742" s="81" t="n">
        <v>0</v>
      </c>
      <c r="W742" s="81" t="n">
        <v>0</v>
      </c>
      <c r="X742" s="81" t="n">
        <v>0</v>
      </c>
      <c r="Y742" s="81" t="n">
        <v>0</v>
      </c>
      <c r="Z742" s="81" t="n">
        <v>0</v>
      </c>
      <c r="AA742" s="81" t="n">
        <v>0</v>
      </c>
    </row>
    <row r="743" customFormat="false" ht="15" hidden="false" customHeight="true" outlineLevel="0" collapsed="false">
      <c r="A743" s="30" t="s">
        <v>123</v>
      </c>
      <c r="B743" s="76"/>
      <c r="C743" s="76"/>
      <c r="D743" s="76"/>
      <c r="E743" s="76"/>
      <c r="F743" s="76"/>
      <c r="G743" s="76"/>
      <c r="H743" s="76"/>
      <c r="I743" s="76"/>
      <c r="J743" s="76"/>
      <c r="K743" s="76"/>
      <c r="L743" s="74" t="n">
        <v>3</v>
      </c>
      <c r="M743" s="74" t="n">
        <v>2</v>
      </c>
      <c r="N743" s="74" t="n">
        <v>2</v>
      </c>
      <c r="O743" s="74" t="n">
        <v>2</v>
      </c>
      <c r="P743" s="74" t="n">
        <v>0</v>
      </c>
      <c r="Q743" s="74" t="n">
        <v>0</v>
      </c>
      <c r="R743" s="74" t="n">
        <v>0</v>
      </c>
      <c r="S743" s="74" t="n">
        <v>0</v>
      </c>
      <c r="T743" s="74" t="n">
        <v>0</v>
      </c>
      <c r="U743" s="74" t="n">
        <v>0</v>
      </c>
      <c r="V743" s="81" t="n">
        <v>0</v>
      </c>
      <c r="W743" s="81" t="n">
        <v>0</v>
      </c>
      <c r="X743" s="81" t="n">
        <v>0</v>
      </c>
      <c r="Y743" s="81" t="n">
        <v>0</v>
      </c>
      <c r="Z743" s="81" t="n">
        <v>0</v>
      </c>
      <c r="AA743" s="81" t="n">
        <v>0</v>
      </c>
    </row>
    <row r="744" customFormat="false" ht="15" hidden="false" customHeight="true" outlineLevel="0" collapsed="false">
      <c r="A744" s="30" t="s">
        <v>124</v>
      </c>
      <c r="B744" s="76"/>
      <c r="C744" s="76"/>
      <c r="D744" s="76"/>
      <c r="E744" s="76"/>
      <c r="F744" s="76"/>
      <c r="G744" s="76"/>
      <c r="H744" s="76"/>
      <c r="I744" s="76"/>
      <c r="J744" s="76"/>
      <c r="K744" s="76"/>
      <c r="L744" s="76"/>
      <c r="M744" s="74" t="n">
        <v>2</v>
      </c>
      <c r="N744" s="74" t="n">
        <v>1</v>
      </c>
      <c r="O744" s="74" t="n">
        <v>1</v>
      </c>
      <c r="P744" s="74" t="n">
        <v>1</v>
      </c>
      <c r="Q744" s="74" t="n">
        <v>0</v>
      </c>
      <c r="R744" s="74" t="n">
        <v>0</v>
      </c>
      <c r="S744" s="74" t="n">
        <v>0</v>
      </c>
      <c r="T744" s="74" t="n">
        <v>0</v>
      </c>
      <c r="U744" s="74" t="n">
        <v>0</v>
      </c>
      <c r="V744" s="81" t="n">
        <v>0</v>
      </c>
      <c r="W744" s="81" t="n">
        <v>0</v>
      </c>
      <c r="X744" s="81" t="n">
        <v>0</v>
      </c>
      <c r="Y744" s="81" t="n">
        <v>0</v>
      </c>
      <c r="Z744" s="81" t="n">
        <v>0</v>
      </c>
      <c r="AA744" s="81" t="n">
        <v>0</v>
      </c>
    </row>
    <row r="745" customFormat="false" ht="15" hidden="false" customHeight="true" outlineLevel="0" collapsed="false">
      <c r="A745" s="30" t="s">
        <v>126</v>
      </c>
      <c r="B745" s="76"/>
      <c r="C745" s="76"/>
      <c r="D745" s="76"/>
      <c r="E745" s="76"/>
      <c r="F745" s="76"/>
      <c r="G745" s="76"/>
      <c r="H745" s="76"/>
      <c r="I745" s="76"/>
      <c r="J745" s="76"/>
      <c r="K745" s="76"/>
      <c r="L745" s="76"/>
      <c r="M745" s="76"/>
      <c r="N745" s="76"/>
      <c r="O745" s="74" t="n">
        <v>3</v>
      </c>
      <c r="P745" s="74" t="n">
        <v>2</v>
      </c>
      <c r="Q745" s="74" t="n">
        <v>2</v>
      </c>
      <c r="R745" s="74" t="n">
        <v>2</v>
      </c>
      <c r="S745" s="74" t="n">
        <v>0</v>
      </c>
      <c r="T745" s="74" t="n">
        <v>0</v>
      </c>
      <c r="U745" s="74" t="n">
        <v>0</v>
      </c>
      <c r="V745" s="81" t="n">
        <v>0</v>
      </c>
      <c r="W745" s="81" t="n">
        <v>0</v>
      </c>
      <c r="X745" s="81" t="n">
        <v>0</v>
      </c>
      <c r="Y745" s="81" t="n">
        <v>0</v>
      </c>
      <c r="Z745" s="81" t="n">
        <v>0</v>
      </c>
      <c r="AA745" s="81" t="n">
        <v>0</v>
      </c>
    </row>
    <row r="746" customFormat="false" ht="15" hidden="false" customHeight="true" outlineLevel="0" collapsed="false">
      <c r="A746" s="30" t="s">
        <v>127</v>
      </c>
      <c r="B746" s="76"/>
      <c r="C746" s="76"/>
      <c r="D746" s="76"/>
      <c r="E746" s="76"/>
      <c r="F746" s="76"/>
      <c r="G746" s="76"/>
      <c r="H746" s="76"/>
      <c r="I746" s="76"/>
      <c r="J746" s="76"/>
      <c r="K746" s="76"/>
      <c r="L746" s="76"/>
      <c r="M746" s="76"/>
      <c r="N746" s="76"/>
      <c r="O746" s="76"/>
      <c r="P746" s="74" t="n">
        <v>1</v>
      </c>
      <c r="Q746" s="74" t="n">
        <v>1</v>
      </c>
      <c r="R746" s="74" t="n">
        <v>1</v>
      </c>
      <c r="S746" s="74" t="n">
        <v>1</v>
      </c>
      <c r="T746" s="74" t="n">
        <v>0</v>
      </c>
      <c r="U746" s="74" t="n">
        <v>0</v>
      </c>
      <c r="V746" s="81" t="n">
        <v>0</v>
      </c>
      <c r="W746" s="81" t="n">
        <v>0</v>
      </c>
      <c r="X746" s="81" t="n">
        <v>0</v>
      </c>
      <c r="Y746" s="81" t="n">
        <v>0</v>
      </c>
      <c r="Z746" s="81" t="n">
        <v>0</v>
      </c>
      <c r="AA746" s="81" t="n">
        <v>0</v>
      </c>
    </row>
    <row r="747" customFormat="false" ht="15" hidden="false" customHeight="true" outlineLevel="0" collapsed="false">
      <c r="A747" s="30" t="s">
        <v>130</v>
      </c>
      <c r="B747" s="76"/>
      <c r="C747" s="76"/>
      <c r="D747" s="76"/>
      <c r="E747" s="76"/>
      <c r="F747" s="76"/>
      <c r="G747" s="76"/>
      <c r="H747" s="76"/>
      <c r="I747" s="76"/>
      <c r="J747" s="76"/>
      <c r="K747" s="76"/>
      <c r="L747" s="76"/>
      <c r="M747" s="76"/>
      <c r="N747" s="76"/>
      <c r="O747" s="76"/>
      <c r="P747" s="76"/>
      <c r="Q747" s="76"/>
      <c r="R747" s="76"/>
      <c r="S747" s="74" t="n">
        <v>2</v>
      </c>
      <c r="T747" s="74" t="n">
        <v>2</v>
      </c>
      <c r="U747" s="74" t="n">
        <v>1</v>
      </c>
      <c r="V747" s="81" t="n">
        <v>1</v>
      </c>
      <c r="W747" s="81" t="n">
        <v>1</v>
      </c>
      <c r="X747" s="81" t="n">
        <v>1</v>
      </c>
      <c r="Y747" s="81" t="n">
        <v>1</v>
      </c>
      <c r="Z747" s="81" t="n">
        <v>1</v>
      </c>
      <c r="AA747" s="81" t="n">
        <v>1</v>
      </c>
    </row>
    <row r="748" customFormat="false" ht="15" hidden="false" customHeight="true" outlineLevel="0" collapsed="false">
      <c r="A748" s="30" t="s">
        <v>132</v>
      </c>
      <c r="B748" s="76"/>
      <c r="C748" s="76"/>
      <c r="D748" s="76"/>
      <c r="E748" s="76"/>
      <c r="F748" s="76"/>
      <c r="G748" s="76"/>
      <c r="H748" s="76"/>
      <c r="I748" s="76"/>
      <c r="J748" s="76"/>
      <c r="K748" s="76"/>
      <c r="L748" s="76"/>
      <c r="M748" s="76"/>
      <c r="N748" s="76"/>
      <c r="O748" s="76"/>
      <c r="P748" s="76"/>
      <c r="Q748" s="76"/>
      <c r="R748" s="76"/>
      <c r="S748" s="76"/>
      <c r="T748" s="76"/>
      <c r="U748" s="74" t="n">
        <v>1</v>
      </c>
      <c r="V748" s="81" t="n">
        <v>0</v>
      </c>
      <c r="W748" s="81" t="n">
        <v>0</v>
      </c>
      <c r="X748" s="81" t="n">
        <v>0</v>
      </c>
      <c r="Y748" s="81" t="n">
        <v>0</v>
      </c>
      <c r="Z748" s="81" t="n">
        <v>0</v>
      </c>
      <c r="AA748" s="81" t="n">
        <v>0</v>
      </c>
    </row>
    <row r="749" customFormat="false" ht="15" hidden="false" customHeight="true" outlineLevel="0" collapsed="false">
      <c r="A749" s="82" t="s">
        <v>524</v>
      </c>
      <c r="B749" s="76"/>
      <c r="C749" s="76"/>
      <c r="D749" s="76"/>
      <c r="E749" s="76"/>
      <c r="F749" s="76"/>
      <c r="G749" s="76"/>
      <c r="H749" s="76"/>
      <c r="I749" s="76"/>
      <c r="J749" s="76"/>
      <c r="K749" s="76"/>
      <c r="L749" s="76"/>
      <c r="M749" s="76"/>
      <c r="N749" s="76"/>
      <c r="O749" s="76"/>
      <c r="P749" s="76"/>
      <c r="Q749" s="76"/>
      <c r="R749" s="76"/>
      <c r="S749" s="76"/>
      <c r="T749" s="76"/>
      <c r="U749" s="76"/>
      <c r="V749" s="81" t="n">
        <v>1</v>
      </c>
      <c r="W749" s="81" t="n">
        <v>0</v>
      </c>
      <c r="X749" s="81" t="n">
        <v>0</v>
      </c>
      <c r="Y749" s="81" t="n">
        <v>0</v>
      </c>
      <c r="Z749" s="81" t="n">
        <v>0</v>
      </c>
      <c r="AA749" s="81" t="n">
        <v>0</v>
      </c>
    </row>
    <row r="750" customFormat="false" ht="15" hidden="false" customHeight="true" outlineLevel="0" collapsed="false">
      <c r="A750" s="82" t="s">
        <v>525</v>
      </c>
      <c r="B750" s="76"/>
      <c r="C750" s="76"/>
      <c r="D750" s="76"/>
      <c r="E750" s="76"/>
      <c r="F750" s="76"/>
      <c r="G750" s="76"/>
      <c r="H750" s="76"/>
      <c r="I750" s="76"/>
      <c r="J750" s="76"/>
      <c r="K750" s="76"/>
      <c r="L750" s="76"/>
      <c r="M750" s="76"/>
      <c r="N750" s="76"/>
      <c r="O750" s="76"/>
      <c r="P750" s="76"/>
      <c r="Q750" s="76"/>
      <c r="R750" s="76"/>
      <c r="S750" s="76"/>
      <c r="T750" s="76"/>
      <c r="U750" s="76"/>
      <c r="V750" s="76"/>
      <c r="W750" s="81" t="n">
        <v>1</v>
      </c>
      <c r="X750" s="81" t="n">
        <v>0</v>
      </c>
      <c r="Y750" s="81" t="n">
        <v>0</v>
      </c>
      <c r="Z750" s="81" t="n">
        <v>0</v>
      </c>
      <c r="AA750" s="81" t="n">
        <v>0</v>
      </c>
    </row>
    <row r="751" customFormat="false" ht="15" hidden="false" customHeight="true" outlineLevel="0" collapsed="false">
      <c r="A751" s="82" t="s">
        <v>526</v>
      </c>
      <c r="B751" s="76"/>
      <c r="C751" s="76"/>
      <c r="D751" s="76"/>
      <c r="E751" s="76"/>
      <c r="F751" s="76"/>
      <c r="G751" s="76"/>
      <c r="H751" s="76"/>
      <c r="I751" s="76"/>
      <c r="J751" s="76"/>
      <c r="K751" s="76"/>
      <c r="L751" s="76"/>
      <c r="M751" s="76"/>
      <c r="N751" s="76"/>
      <c r="O751" s="76"/>
      <c r="P751" s="76"/>
      <c r="Q751" s="76"/>
      <c r="R751" s="76"/>
      <c r="S751" s="76"/>
      <c r="T751" s="76"/>
      <c r="U751" s="76"/>
      <c r="V751" s="76"/>
      <c r="W751" s="76"/>
      <c r="X751" s="81" t="n">
        <v>1</v>
      </c>
      <c r="Y751" s="81" t="n">
        <v>0</v>
      </c>
      <c r="Z751" s="81" t="n">
        <v>0</v>
      </c>
      <c r="AA751" s="81" t="n">
        <v>0</v>
      </c>
    </row>
    <row r="752" customFormat="false" ht="15" hidden="false" customHeight="true" outlineLevel="0" collapsed="false">
      <c r="A752" s="82" t="s">
        <v>527</v>
      </c>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81" t="n">
        <v>1</v>
      </c>
      <c r="Z752" s="81" t="n">
        <v>0</v>
      </c>
      <c r="AA752" s="81" t="n">
        <v>0</v>
      </c>
    </row>
    <row r="753" customFormat="false" ht="15" hidden="false" customHeight="true" outlineLevel="0" collapsed="false">
      <c r="A753" s="82" t="s">
        <v>528</v>
      </c>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81" t="n">
        <v>1</v>
      </c>
      <c r="AA753" s="81" t="n">
        <v>0</v>
      </c>
    </row>
    <row r="754" customFormat="false" ht="15" hidden="false" customHeight="true" outlineLevel="0" collapsed="false">
      <c r="A754" s="82" t="s">
        <v>529</v>
      </c>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81" t="n">
        <v>1</v>
      </c>
    </row>
    <row r="755" customFormat="false" ht="15" hidden="false" customHeight="true" outlineLevel="0" collapsed="false">
      <c r="A755" s="34" t="s">
        <v>514</v>
      </c>
      <c r="B755" s="79"/>
      <c r="C755" s="79"/>
      <c r="D755" s="79"/>
      <c r="E755" s="79"/>
      <c r="F755" s="79" t="n">
        <v>1</v>
      </c>
      <c r="G755" s="79" t="n">
        <v>3</v>
      </c>
      <c r="H755" s="79" t="n">
        <v>1</v>
      </c>
      <c r="I755" s="79" t="n">
        <v>2</v>
      </c>
      <c r="J755" s="79" t="n">
        <v>0</v>
      </c>
      <c r="K755" s="79" t="n">
        <v>0</v>
      </c>
      <c r="L755" s="79" t="n">
        <v>3</v>
      </c>
      <c r="M755" s="79" t="n">
        <v>4</v>
      </c>
      <c r="N755" s="79" t="n">
        <v>3</v>
      </c>
      <c r="O755" s="79" t="n">
        <v>6</v>
      </c>
      <c r="P755" s="79" t="n">
        <v>4</v>
      </c>
      <c r="Q755" s="79" t="n">
        <v>3</v>
      </c>
      <c r="R755" s="79" t="n">
        <v>3</v>
      </c>
      <c r="S755" s="79" t="n">
        <v>3</v>
      </c>
      <c r="T755" s="79" t="n">
        <v>2</v>
      </c>
      <c r="U755" s="79" t="n">
        <v>2</v>
      </c>
      <c r="V755" s="79" t="n">
        <v>2</v>
      </c>
      <c r="W755" s="79" t="n">
        <v>3</v>
      </c>
      <c r="X755" s="79" t="n">
        <v>3</v>
      </c>
      <c r="Y755" s="79" t="n">
        <v>4</v>
      </c>
      <c r="Z755" s="79" t="n">
        <v>4</v>
      </c>
      <c r="AA755" s="79" t="n">
        <v>5</v>
      </c>
    </row>
    <row r="757" customFormat="false" ht="19.5" hidden="false" customHeight="true" outlineLevel="0" collapsed="false">
      <c r="A757" s="65" t="s">
        <v>440</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row>
    <row r="758" customFormat="false" ht="15" hidden="false" customHeight="true" outlineLevel="0" collapsed="false">
      <c r="A758" s="80" t="s">
        <v>548</v>
      </c>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c r="AA758" s="80"/>
    </row>
    <row r="759" customFormat="false" ht="15" hidden="false" customHeight="true" outlineLevel="0" collapsed="false">
      <c r="A759" s="12" t="s">
        <v>513</v>
      </c>
      <c r="B759" s="12" t="s">
        <v>113</v>
      </c>
      <c r="C759" s="12" t="s">
        <v>114</v>
      </c>
      <c r="D759" s="12" t="s">
        <v>115</v>
      </c>
      <c r="E759" s="12" t="s">
        <v>116</v>
      </c>
      <c r="F759" s="12" t="s">
        <v>117</v>
      </c>
      <c r="G759" s="12" t="s">
        <v>118</v>
      </c>
      <c r="H759" s="12" t="s">
        <v>119</v>
      </c>
      <c r="I759" s="12" t="s">
        <v>120</v>
      </c>
      <c r="J759" s="12" t="s">
        <v>121</v>
      </c>
      <c r="K759" s="12" t="s">
        <v>122</v>
      </c>
      <c r="L759" s="12" t="s">
        <v>123</v>
      </c>
      <c r="M759" s="12" t="s">
        <v>124</v>
      </c>
      <c r="N759" s="12" t="s">
        <v>125</v>
      </c>
      <c r="O759" s="12" t="s">
        <v>126</v>
      </c>
      <c r="P759" s="12" t="s">
        <v>127</v>
      </c>
      <c r="Q759" s="12" t="s">
        <v>128</v>
      </c>
      <c r="R759" s="12" t="s">
        <v>129</v>
      </c>
      <c r="S759" s="12" t="s">
        <v>130</v>
      </c>
      <c r="T759" s="12" t="s">
        <v>131</v>
      </c>
      <c r="U759" s="12" t="s">
        <v>132</v>
      </c>
      <c r="V759" s="12" t="s">
        <v>518</v>
      </c>
      <c r="W759" s="12" t="s">
        <v>519</v>
      </c>
      <c r="X759" s="12" t="s">
        <v>520</v>
      </c>
      <c r="Y759" s="12" t="s">
        <v>521</v>
      </c>
      <c r="Z759" s="12" t="s">
        <v>522</v>
      </c>
      <c r="AA759" s="12" t="s">
        <v>523</v>
      </c>
    </row>
    <row r="760" customFormat="false" ht="15" hidden="false" customHeight="true" outlineLevel="0" collapsed="false">
      <c r="A760" s="30" t="s">
        <v>116</v>
      </c>
      <c r="B760" s="76"/>
      <c r="C760" s="76"/>
      <c r="D760" s="76"/>
      <c r="E760" s="74" t="n">
        <v>1</v>
      </c>
      <c r="F760" s="74" t="n">
        <v>1</v>
      </c>
      <c r="G760" s="74" t="n">
        <v>1</v>
      </c>
      <c r="H760" s="74" t="n">
        <v>1</v>
      </c>
      <c r="I760" s="74" t="n">
        <v>0</v>
      </c>
      <c r="J760" s="74" t="n">
        <v>0</v>
      </c>
      <c r="K760" s="74" t="n">
        <v>0</v>
      </c>
      <c r="L760" s="74" t="n">
        <v>0</v>
      </c>
      <c r="M760" s="74" t="n">
        <v>0</v>
      </c>
      <c r="N760" s="74" t="n">
        <v>0</v>
      </c>
      <c r="O760" s="74" t="n">
        <v>0</v>
      </c>
      <c r="P760" s="74" t="n">
        <v>0</v>
      </c>
      <c r="Q760" s="74" t="n">
        <v>0</v>
      </c>
      <c r="R760" s="74" t="n">
        <v>0</v>
      </c>
      <c r="S760" s="74" t="n">
        <v>0</v>
      </c>
      <c r="T760" s="74" t="n">
        <v>0</v>
      </c>
      <c r="U760" s="74" t="n">
        <v>0</v>
      </c>
      <c r="V760" s="81" t="n">
        <v>0</v>
      </c>
      <c r="W760" s="81" t="n">
        <v>0</v>
      </c>
      <c r="X760" s="81" t="n">
        <v>0</v>
      </c>
      <c r="Y760" s="81" t="n">
        <v>0</v>
      </c>
      <c r="Z760" s="81" t="n">
        <v>0</v>
      </c>
      <c r="AA760" s="81" t="n">
        <v>0</v>
      </c>
    </row>
    <row r="761" customFormat="false" ht="15" hidden="false" customHeight="true" outlineLevel="0" collapsed="false">
      <c r="A761" s="30" t="s">
        <v>117</v>
      </c>
      <c r="B761" s="76"/>
      <c r="C761" s="76"/>
      <c r="D761" s="76"/>
      <c r="E761" s="76"/>
      <c r="F761" s="74" t="n">
        <v>1</v>
      </c>
      <c r="G761" s="74" t="n">
        <v>0</v>
      </c>
      <c r="H761" s="74" t="n">
        <v>0</v>
      </c>
      <c r="I761" s="74" t="n">
        <v>0</v>
      </c>
      <c r="J761" s="74" t="n">
        <v>0</v>
      </c>
      <c r="K761" s="74" t="n">
        <v>0</v>
      </c>
      <c r="L761" s="74" t="n">
        <v>0</v>
      </c>
      <c r="M761" s="74" t="n">
        <v>0</v>
      </c>
      <c r="N761" s="74" t="n">
        <v>0</v>
      </c>
      <c r="O761" s="74" t="n">
        <v>0</v>
      </c>
      <c r="P761" s="74" t="n">
        <v>0</v>
      </c>
      <c r="Q761" s="74" t="n">
        <v>0</v>
      </c>
      <c r="R761" s="74" t="n">
        <v>0</v>
      </c>
      <c r="S761" s="74" t="n">
        <v>0</v>
      </c>
      <c r="T761" s="74" t="n">
        <v>0</v>
      </c>
      <c r="U761" s="74" t="n">
        <v>0</v>
      </c>
      <c r="V761" s="81" t="n">
        <v>0</v>
      </c>
      <c r="W761" s="81" t="n">
        <v>0</v>
      </c>
      <c r="X761" s="81" t="n">
        <v>0</v>
      </c>
      <c r="Y761" s="81" t="n">
        <v>0</v>
      </c>
      <c r="Z761" s="81" t="n">
        <v>0</v>
      </c>
      <c r="AA761" s="81" t="n">
        <v>0</v>
      </c>
    </row>
    <row r="762" customFormat="false" ht="15" hidden="false" customHeight="true" outlineLevel="0" collapsed="false">
      <c r="A762" s="30" t="s">
        <v>119</v>
      </c>
      <c r="B762" s="76"/>
      <c r="C762" s="76"/>
      <c r="D762" s="76"/>
      <c r="E762" s="76"/>
      <c r="F762" s="76"/>
      <c r="G762" s="76"/>
      <c r="H762" s="74" t="n">
        <v>1</v>
      </c>
      <c r="I762" s="74" t="n">
        <v>0</v>
      </c>
      <c r="J762" s="74" t="n">
        <v>0</v>
      </c>
      <c r="K762" s="74" t="n">
        <v>0</v>
      </c>
      <c r="L762" s="74" t="n">
        <v>0</v>
      </c>
      <c r="M762" s="74" t="n">
        <v>0</v>
      </c>
      <c r="N762" s="74" t="n">
        <v>0</v>
      </c>
      <c r="O762" s="74" t="n">
        <v>0</v>
      </c>
      <c r="P762" s="74" t="n">
        <v>0</v>
      </c>
      <c r="Q762" s="74" t="n">
        <v>0</v>
      </c>
      <c r="R762" s="74" t="n">
        <v>0</v>
      </c>
      <c r="S762" s="74" t="n">
        <v>0</v>
      </c>
      <c r="T762" s="74" t="n">
        <v>0</v>
      </c>
      <c r="U762" s="74" t="n">
        <v>0</v>
      </c>
      <c r="V762" s="81" t="n">
        <v>0</v>
      </c>
      <c r="W762" s="81" t="n">
        <v>0</v>
      </c>
      <c r="X762" s="81" t="n">
        <v>0</v>
      </c>
      <c r="Y762" s="81" t="n">
        <v>0</v>
      </c>
      <c r="Z762" s="81" t="n">
        <v>0</v>
      </c>
      <c r="AA762" s="81" t="n">
        <v>0</v>
      </c>
    </row>
    <row r="763" customFormat="false" ht="15" hidden="false" customHeight="true" outlineLevel="0" collapsed="false">
      <c r="A763" s="30" t="s">
        <v>120</v>
      </c>
      <c r="B763" s="76"/>
      <c r="C763" s="76"/>
      <c r="D763" s="76"/>
      <c r="E763" s="76"/>
      <c r="F763" s="76"/>
      <c r="G763" s="76"/>
      <c r="H763" s="76"/>
      <c r="I763" s="74" t="n">
        <v>1</v>
      </c>
      <c r="J763" s="74" t="n">
        <v>0</v>
      </c>
      <c r="K763" s="74" t="n">
        <v>0</v>
      </c>
      <c r="L763" s="74" t="n">
        <v>0</v>
      </c>
      <c r="M763" s="74" t="n">
        <v>0</v>
      </c>
      <c r="N763" s="74" t="n">
        <v>0</v>
      </c>
      <c r="O763" s="74" t="n">
        <v>0</v>
      </c>
      <c r="P763" s="74" t="n">
        <v>0</v>
      </c>
      <c r="Q763" s="74" t="n">
        <v>0</v>
      </c>
      <c r="R763" s="74" t="n">
        <v>0</v>
      </c>
      <c r="S763" s="74" t="n">
        <v>0</v>
      </c>
      <c r="T763" s="74" t="n">
        <v>0</v>
      </c>
      <c r="U763" s="74" t="n">
        <v>0</v>
      </c>
      <c r="V763" s="81" t="n">
        <v>0</v>
      </c>
      <c r="W763" s="81" t="n">
        <v>0</v>
      </c>
      <c r="X763" s="81" t="n">
        <v>0</v>
      </c>
      <c r="Y763" s="81" t="n">
        <v>0</v>
      </c>
      <c r="Z763" s="81" t="n">
        <v>0</v>
      </c>
      <c r="AA763" s="81" t="n">
        <v>0</v>
      </c>
    </row>
    <row r="764" customFormat="false" ht="15" hidden="false" customHeight="true" outlineLevel="0" collapsed="false">
      <c r="A764" s="30" t="s">
        <v>121</v>
      </c>
      <c r="B764" s="76"/>
      <c r="C764" s="76"/>
      <c r="D764" s="76"/>
      <c r="E764" s="76"/>
      <c r="F764" s="76"/>
      <c r="G764" s="76"/>
      <c r="H764" s="76"/>
      <c r="I764" s="76"/>
      <c r="J764" s="74" t="n">
        <v>2</v>
      </c>
      <c r="K764" s="74" t="n">
        <v>1</v>
      </c>
      <c r="L764" s="74" t="n">
        <v>1</v>
      </c>
      <c r="M764" s="74" t="n">
        <v>1</v>
      </c>
      <c r="N764" s="74" t="n">
        <v>0</v>
      </c>
      <c r="O764" s="74" t="n">
        <v>0</v>
      </c>
      <c r="P764" s="74" t="n">
        <v>0</v>
      </c>
      <c r="Q764" s="74" t="n">
        <v>0</v>
      </c>
      <c r="R764" s="74" t="n">
        <v>0</v>
      </c>
      <c r="S764" s="74" t="n">
        <v>0</v>
      </c>
      <c r="T764" s="74" t="n">
        <v>0</v>
      </c>
      <c r="U764" s="74" t="n">
        <v>0</v>
      </c>
      <c r="V764" s="81" t="n">
        <v>0</v>
      </c>
      <c r="W764" s="81" t="n">
        <v>0</v>
      </c>
      <c r="X764" s="81" t="n">
        <v>0</v>
      </c>
      <c r="Y764" s="81" t="n">
        <v>0</v>
      </c>
      <c r="Z764" s="81" t="n">
        <v>0</v>
      </c>
      <c r="AA764" s="81" t="n">
        <v>0</v>
      </c>
    </row>
    <row r="765" customFormat="false" ht="15" hidden="false" customHeight="true" outlineLevel="0" collapsed="false">
      <c r="A765" s="30" t="s">
        <v>122</v>
      </c>
      <c r="B765" s="76"/>
      <c r="C765" s="76"/>
      <c r="D765" s="76"/>
      <c r="E765" s="76"/>
      <c r="F765" s="76"/>
      <c r="G765" s="76"/>
      <c r="H765" s="76"/>
      <c r="I765" s="76"/>
      <c r="J765" s="76"/>
      <c r="K765" s="74" t="n">
        <v>1</v>
      </c>
      <c r="L765" s="74" t="n">
        <v>1</v>
      </c>
      <c r="M765" s="74" t="n">
        <v>1</v>
      </c>
      <c r="N765" s="74" t="n">
        <v>1</v>
      </c>
      <c r="O765" s="74" t="n">
        <v>0</v>
      </c>
      <c r="P765" s="74" t="n">
        <v>0</v>
      </c>
      <c r="Q765" s="74" t="n">
        <v>0</v>
      </c>
      <c r="R765" s="74" t="n">
        <v>0</v>
      </c>
      <c r="S765" s="74" t="n">
        <v>0</v>
      </c>
      <c r="T765" s="74" t="n">
        <v>0</v>
      </c>
      <c r="U765" s="74" t="n">
        <v>0</v>
      </c>
      <c r="V765" s="81" t="n">
        <v>0</v>
      </c>
      <c r="W765" s="81" t="n">
        <v>0</v>
      </c>
      <c r="X765" s="81" t="n">
        <v>0</v>
      </c>
      <c r="Y765" s="81" t="n">
        <v>0</v>
      </c>
      <c r="Z765" s="81" t="n">
        <v>0</v>
      </c>
      <c r="AA765" s="81" t="n">
        <v>0</v>
      </c>
    </row>
    <row r="766" customFormat="false" ht="15" hidden="false" customHeight="true" outlineLevel="0" collapsed="false">
      <c r="A766" s="30" t="s">
        <v>123</v>
      </c>
      <c r="B766" s="76"/>
      <c r="C766" s="76"/>
      <c r="D766" s="76"/>
      <c r="E766" s="76"/>
      <c r="F766" s="76"/>
      <c r="G766" s="76"/>
      <c r="H766" s="76"/>
      <c r="I766" s="76"/>
      <c r="J766" s="76"/>
      <c r="K766" s="76"/>
      <c r="L766" s="74" t="n">
        <v>2</v>
      </c>
      <c r="M766" s="74" t="n">
        <v>0</v>
      </c>
      <c r="N766" s="74" t="n">
        <v>0</v>
      </c>
      <c r="O766" s="74" t="n">
        <v>0</v>
      </c>
      <c r="P766" s="74" t="n">
        <v>0</v>
      </c>
      <c r="Q766" s="74" t="n">
        <v>0</v>
      </c>
      <c r="R766" s="74" t="n">
        <v>0</v>
      </c>
      <c r="S766" s="74" t="n">
        <v>0</v>
      </c>
      <c r="T766" s="74" t="n">
        <v>0</v>
      </c>
      <c r="U766" s="74" t="n">
        <v>0</v>
      </c>
      <c r="V766" s="81" t="n">
        <v>0</v>
      </c>
      <c r="W766" s="81" t="n">
        <v>0</v>
      </c>
      <c r="X766" s="81" t="n">
        <v>0</v>
      </c>
      <c r="Y766" s="81" t="n">
        <v>0</v>
      </c>
      <c r="Z766" s="81" t="n">
        <v>0</v>
      </c>
      <c r="AA766" s="81" t="n">
        <v>0</v>
      </c>
    </row>
    <row r="767" customFormat="false" ht="15" hidden="false" customHeight="true" outlineLevel="0" collapsed="false">
      <c r="A767" s="30" t="s">
        <v>125</v>
      </c>
      <c r="B767" s="76"/>
      <c r="C767" s="76"/>
      <c r="D767" s="76"/>
      <c r="E767" s="76"/>
      <c r="F767" s="76"/>
      <c r="G767" s="76"/>
      <c r="H767" s="76"/>
      <c r="I767" s="76"/>
      <c r="J767" s="76"/>
      <c r="K767" s="76"/>
      <c r="L767" s="76"/>
      <c r="M767" s="76"/>
      <c r="N767" s="74" t="n">
        <v>2</v>
      </c>
      <c r="O767" s="74" t="n">
        <v>1</v>
      </c>
      <c r="P767" s="74" t="n">
        <v>1</v>
      </c>
      <c r="Q767" s="74" t="n">
        <v>1</v>
      </c>
      <c r="R767" s="74" t="n">
        <v>0</v>
      </c>
      <c r="S767" s="74" t="n">
        <v>0</v>
      </c>
      <c r="T767" s="74" t="n">
        <v>0</v>
      </c>
      <c r="U767" s="74" t="n">
        <v>0</v>
      </c>
      <c r="V767" s="81" t="n">
        <v>0</v>
      </c>
      <c r="W767" s="81" t="n">
        <v>0</v>
      </c>
      <c r="X767" s="81" t="n">
        <v>0</v>
      </c>
      <c r="Y767" s="81" t="n">
        <v>0</v>
      </c>
      <c r="Z767" s="81" t="n">
        <v>0</v>
      </c>
      <c r="AA767" s="81" t="n">
        <v>0</v>
      </c>
    </row>
    <row r="768" customFormat="false" ht="15" hidden="false" customHeight="true" outlineLevel="0" collapsed="false">
      <c r="A768" s="30" t="s">
        <v>127</v>
      </c>
      <c r="B768" s="76"/>
      <c r="C768" s="76"/>
      <c r="D768" s="76"/>
      <c r="E768" s="76"/>
      <c r="F768" s="76"/>
      <c r="G768" s="76"/>
      <c r="H768" s="76"/>
      <c r="I768" s="76"/>
      <c r="J768" s="76"/>
      <c r="K768" s="76"/>
      <c r="L768" s="76"/>
      <c r="M768" s="76"/>
      <c r="N768" s="76"/>
      <c r="O768" s="76"/>
      <c r="P768" s="74" t="n">
        <v>1</v>
      </c>
      <c r="Q768" s="74" t="n">
        <v>1</v>
      </c>
      <c r="R768" s="74" t="n">
        <v>1</v>
      </c>
      <c r="S768" s="74" t="n">
        <v>1</v>
      </c>
      <c r="T768" s="74" t="n">
        <v>0</v>
      </c>
      <c r="U768" s="74" t="n">
        <v>0</v>
      </c>
      <c r="V768" s="81" t="n">
        <v>0</v>
      </c>
      <c r="W768" s="81" t="n">
        <v>0</v>
      </c>
      <c r="X768" s="81" t="n">
        <v>0</v>
      </c>
      <c r="Y768" s="81" t="n">
        <v>0</v>
      </c>
      <c r="Z768" s="81" t="n">
        <v>0</v>
      </c>
      <c r="AA768" s="81" t="n">
        <v>0</v>
      </c>
    </row>
    <row r="769" customFormat="false" ht="15" hidden="false" customHeight="true" outlineLevel="0" collapsed="false">
      <c r="A769" s="30" t="s">
        <v>129</v>
      </c>
      <c r="B769" s="76"/>
      <c r="C769" s="76"/>
      <c r="D769" s="76"/>
      <c r="E769" s="76"/>
      <c r="F769" s="76"/>
      <c r="G769" s="76"/>
      <c r="H769" s="76"/>
      <c r="I769" s="76"/>
      <c r="J769" s="76"/>
      <c r="K769" s="76"/>
      <c r="L769" s="76"/>
      <c r="M769" s="76"/>
      <c r="N769" s="76"/>
      <c r="O769" s="76"/>
      <c r="P769" s="76"/>
      <c r="Q769" s="76"/>
      <c r="R769" s="74" t="n">
        <v>2</v>
      </c>
      <c r="S769" s="74" t="n">
        <v>2</v>
      </c>
      <c r="T769" s="74" t="n">
        <v>0</v>
      </c>
      <c r="U769" s="74" t="n">
        <v>1</v>
      </c>
      <c r="V769" s="81" t="n">
        <v>1</v>
      </c>
      <c r="W769" s="81" t="n">
        <v>1</v>
      </c>
      <c r="X769" s="81" t="n">
        <v>1</v>
      </c>
      <c r="Y769" s="81" t="n">
        <v>1</v>
      </c>
      <c r="Z769" s="81" t="n">
        <v>1</v>
      </c>
      <c r="AA769" s="81" t="n">
        <v>1</v>
      </c>
    </row>
    <row r="770" customFormat="false" ht="15" hidden="false" customHeight="true" outlineLevel="0" collapsed="false">
      <c r="A770" s="30" t="s">
        <v>130</v>
      </c>
      <c r="B770" s="76"/>
      <c r="C770" s="76"/>
      <c r="D770" s="76"/>
      <c r="E770" s="76"/>
      <c r="F770" s="76"/>
      <c r="G770" s="76"/>
      <c r="H770" s="76"/>
      <c r="I770" s="76"/>
      <c r="J770" s="76"/>
      <c r="K770" s="76"/>
      <c r="L770" s="76"/>
      <c r="M770" s="76"/>
      <c r="N770" s="76"/>
      <c r="O770" s="76"/>
      <c r="P770" s="76"/>
      <c r="Q770" s="76"/>
      <c r="R770" s="76"/>
      <c r="S770" s="74" t="n">
        <v>1</v>
      </c>
      <c r="T770" s="74" t="n">
        <v>1</v>
      </c>
      <c r="U770" s="74" t="n">
        <v>1</v>
      </c>
      <c r="V770" s="81" t="n">
        <v>1</v>
      </c>
      <c r="W770" s="81" t="n">
        <v>1</v>
      </c>
      <c r="X770" s="81" t="n">
        <v>1</v>
      </c>
      <c r="Y770" s="81" t="n">
        <v>1</v>
      </c>
      <c r="Z770" s="81" t="n">
        <v>1</v>
      </c>
      <c r="AA770" s="81" t="n">
        <v>1</v>
      </c>
    </row>
    <row r="771" customFormat="false" ht="15" hidden="false" customHeight="true" outlineLevel="0" collapsed="false">
      <c r="A771" s="30" t="s">
        <v>131</v>
      </c>
      <c r="B771" s="76"/>
      <c r="C771" s="76"/>
      <c r="D771" s="76"/>
      <c r="E771" s="76"/>
      <c r="F771" s="76"/>
      <c r="G771" s="76"/>
      <c r="H771" s="76"/>
      <c r="I771" s="76"/>
      <c r="J771" s="76"/>
      <c r="K771" s="76"/>
      <c r="L771" s="76"/>
      <c r="M771" s="76"/>
      <c r="N771" s="76"/>
      <c r="O771" s="76"/>
      <c r="P771" s="76"/>
      <c r="Q771" s="76"/>
      <c r="R771" s="76"/>
      <c r="S771" s="76"/>
      <c r="T771" s="74" t="n">
        <v>1</v>
      </c>
      <c r="U771" s="74" t="n">
        <v>1</v>
      </c>
      <c r="V771" s="81" t="n">
        <v>1</v>
      </c>
      <c r="W771" s="81" t="n">
        <v>1</v>
      </c>
      <c r="X771" s="81" t="n">
        <v>1</v>
      </c>
      <c r="Y771" s="81" t="n">
        <v>1</v>
      </c>
      <c r="Z771" s="81" t="n">
        <v>1</v>
      </c>
      <c r="AA771" s="81" t="n">
        <v>1</v>
      </c>
    </row>
    <row r="772" customFormat="false" ht="15" hidden="false" customHeight="true" outlineLevel="0" collapsed="false">
      <c r="A772" s="82" t="s">
        <v>524</v>
      </c>
      <c r="B772" s="76"/>
      <c r="C772" s="76"/>
      <c r="D772" s="76"/>
      <c r="E772" s="76"/>
      <c r="F772" s="76"/>
      <c r="G772" s="76"/>
      <c r="H772" s="76"/>
      <c r="I772" s="76"/>
      <c r="J772" s="76"/>
      <c r="K772" s="76"/>
      <c r="L772" s="76"/>
      <c r="M772" s="76"/>
      <c r="N772" s="76"/>
      <c r="O772" s="76"/>
      <c r="P772" s="76"/>
      <c r="Q772" s="76"/>
      <c r="R772" s="76"/>
      <c r="S772" s="76"/>
      <c r="T772" s="76"/>
      <c r="U772" s="76"/>
      <c r="V772" s="81" t="n">
        <v>1</v>
      </c>
      <c r="W772" s="81" t="n">
        <v>0</v>
      </c>
      <c r="X772" s="81" t="n">
        <v>0</v>
      </c>
      <c r="Y772" s="81" t="n">
        <v>0</v>
      </c>
      <c r="Z772" s="81" t="n">
        <v>0</v>
      </c>
      <c r="AA772" s="81" t="n">
        <v>0</v>
      </c>
    </row>
    <row r="773" customFormat="false" ht="15" hidden="false" customHeight="true" outlineLevel="0" collapsed="false">
      <c r="A773" s="82" t="s">
        <v>525</v>
      </c>
      <c r="B773" s="76"/>
      <c r="C773" s="76"/>
      <c r="D773" s="76"/>
      <c r="E773" s="76"/>
      <c r="F773" s="76"/>
      <c r="G773" s="76"/>
      <c r="H773" s="76"/>
      <c r="I773" s="76"/>
      <c r="J773" s="76"/>
      <c r="K773" s="76"/>
      <c r="L773" s="76"/>
      <c r="M773" s="76"/>
      <c r="N773" s="76"/>
      <c r="O773" s="76"/>
      <c r="P773" s="76"/>
      <c r="Q773" s="76"/>
      <c r="R773" s="76"/>
      <c r="S773" s="76"/>
      <c r="T773" s="76"/>
      <c r="U773" s="76"/>
      <c r="V773" s="76"/>
      <c r="W773" s="81" t="n">
        <v>1</v>
      </c>
      <c r="X773" s="81" t="n">
        <v>0</v>
      </c>
      <c r="Y773" s="81" t="n">
        <v>0</v>
      </c>
      <c r="Z773" s="81" t="n">
        <v>0</v>
      </c>
      <c r="AA773" s="81" t="n">
        <v>0</v>
      </c>
    </row>
    <row r="774" customFormat="false" ht="15" hidden="false" customHeight="true" outlineLevel="0" collapsed="false">
      <c r="A774" s="82" t="s">
        <v>526</v>
      </c>
      <c r="B774" s="76"/>
      <c r="C774" s="76"/>
      <c r="D774" s="76"/>
      <c r="E774" s="76"/>
      <c r="F774" s="76"/>
      <c r="G774" s="76"/>
      <c r="H774" s="76"/>
      <c r="I774" s="76"/>
      <c r="J774" s="76"/>
      <c r="K774" s="76"/>
      <c r="L774" s="76"/>
      <c r="M774" s="76"/>
      <c r="N774" s="76"/>
      <c r="O774" s="76"/>
      <c r="P774" s="76"/>
      <c r="Q774" s="76"/>
      <c r="R774" s="76"/>
      <c r="S774" s="76"/>
      <c r="T774" s="76"/>
      <c r="U774" s="76"/>
      <c r="V774" s="76"/>
      <c r="W774" s="76"/>
      <c r="X774" s="81" t="n">
        <v>1</v>
      </c>
      <c r="Y774" s="81" t="n">
        <v>0</v>
      </c>
      <c r="Z774" s="81" t="n">
        <v>0</v>
      </c>
      <c r="AA774" s="81" t="n">
        <v>0</v>
      </c>
    </row>
    <row r="775" customFormat="false" ht="15" hidden="false" customHeight="true" outlineLevel="0" collapsed="false">
      <c r="A775" s="82" t="s">
        <v>527</v>
      </c>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81" t="n">
        <v>1</v>
      </c>
      <c r="Z775" s="81" t="n">
        <v>0</v>
      </c>
      <c r="AA775" s="81" t="n">
        <v>0</v>
      </c>
    </row>
    <row r="776" customFormat="false" ht="15" hidden="false" customHeight="true" outlineLevel="0" collapsed="false">
      <c r="A776" s="82" t="s">
        <v>528</v>
      </c>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81" t="n">
        <v>1</v>
      </c>
      <c r="AA776" s="81" t="n">
        <v>0</v>
      </c>
    </row>
    <row r="777" customFormat="false" ht="15" hidden="false" customHeight="true" outlineLevel="0" collapsed="false">
      <c r="A777" s="82" t="s">
        <v>529</v>
      </c>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81" t="n">
        <v>1</v>
      </c>
    </row>
    <row r="778" customFormat="false" ht="15" hidden="false" customHeight="true" outlineLevel="0" collapsed="false">
      <c r="A778" s="34" t="s">
        <v>514</v>
      </c>
      <c r="B778" s="79"/>
      <c r="C778" s="79"/>
      <c r="D778" s="79"/>
      <c r="E778" s="79" t="n">
        <v>1</v>
      </c>
      <c r="F778" s="79" t="n">
        <v>2</v>
      </c>
      <c r="G778" s="79" t="n">
        <v>1</v>
      </c>
      <c r="H778" s="79" t="n">
        <v>2</v>
      </c>
      <c r="I778" s="79" t="n">
        <v>1</v>
      </c>
      <c r="J778" s="79" t="n">
        <v>2</v>
      </c>
      <c r="K778" s="79" t="n">
        <v>2</v>
      </c>
      <c r="L778" s="79" t="n">
        <v>4</v>
      </c>
      <c r="M778" s="79" t="n">
        <v>2</v>
      </c>
      <c r="N778" s="79" t="n">
        <v>3</v>
      </c>
      <c r="O778" s="79" t="n">
        <v>1</v>
      </c>
      <c r="P778" s="79" t="n">
        <v>2</v>
      </c>
      <c r="Q778" s="79" t="n">
        <v>2</v>
      </c>
      <c r="R778" s="79" t="n">
        <v>3</v>
      </c>
      <c r="S778" s="79" t="n">
        <v>4</v>
      </c>
      <c r="T778" s="79" t="n">
        <v>2</v>
      </c>
      <c r="U778" s="79" t="n">
        <v>3</v>
      </c>
      <c r="V778" s="79" t="n">
        <v>4</v>
      </c>
      <c r="W778" s="79" t="n">
        <v>4</v>
      </c>
      <c r="X778" s="79" t="n">
        <v>5</v>
      </c>
      <c r="Y778" s="79" t="n">
        <v>5</v>
      </c>
      <c r="Z778" s="79" t="n">
        <v>5</v>
      </c>
      <c r="AA778" s="79" t="n">
        <v>6</v>
      </c>
    </row>
    <row r="780" customFormat="false" ht="19.5" hidden="false" customHeight="true" outlineLevel="0" collapsed="false">
      <c r="A780" s="65" t="s">
        <v>441</v>
      </c>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row>
    <row r="781" customFormat="false" ht="15" hidden="false" customHeight="true" outlineLevel="0" collapsed="false">
      <c r="A781" s="80" t="s">
        <v>548</v>
      </c>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c r="AA781" s="80"/>
    </row>
    <row r="782" customFormat="false" ht="15" hidden="false" customHeight="true" outlineLevel="0" collapsed="false">
      <c r="A782" s="12" t="s">
        <v>513</v>
      </c>
      <c r="B782" s="12" t="s">
        <v>113</v>
      </c>
      <c r="C782" s="12" t="s">
        <v>114</v>
      </c>
      <c r="D782" s="12" t="s">
        <v>115</v>
      </c>
      <c r="E782" s="12" t="s">
        <v>116</v>
      </c>
      <c r="F782" s="12" t="s">
        <v>117</v>
      </c>
      <c r="G782" s="12" t="s">
        <v>118</v>
      </c>
      <c r="H782" s="12" t="s">
        <v>119</v>
      </c>
      <c r="I782" s="12" t="s">
        <v>120</v>
      </c>
      <c r="J782" s="12" t="s">
        <v>121</v>
      </c>
      <c r="K782" s="12" t="s">
        <v>122</v>
      </c>
      <c r="L782" s="12" t="s">
        <v>123</v>
      </c>
      <c r="M782" s="12" t="s">
        <v>124</v>
      </c>
      <c r="N782" s="12" t="s">
        <v>125</v>
      </c>
      <c r="O782" s="12" t="s">
        <v>126</v>
      </c>
      <c r="P782" s="12" t="s">
        <v>127</v>
      </c>
      <c r="Q782" s="12" t="s">
        <v>128</v>
      </c>
      <c r="R782" s="12" t="s">
        <v>129</v>
      </c>
      <c r="S782" s="12" t="s">
        <v>130</v>
      </c>
      <c r="T782" s="12" t="s">
        <v>131</v>
      </c>
      <c r="U782" s="12" t="s">
        <v>132</v>
      </c>
      <c r="V782" s="12" t="s">
        <v>518</v>
      </c>
      <c r="W782" s="12" t="s">
        <v>519</v>
      </c>
      <c r="X782" s="12" t="s">
        <v>520</v>
      </c>
      <c r="Y782" s="12" t="s">
        <v>521</v>
      </c>
      <c r="Z782" s="12" t="s">
        <v>522</v>
      </c>
      <c r="AA782" s="12" t="s">
        <v>523</v>
      </c>
    </row>
    <row r="783" customFormat="false" ht="15" hidden="false" customHeight="true" outlineLevel="0" collapsed="false">
      <c r="A783" s="30" t="s">
        <v>115</v>
      </c>
      <c r="B783" s="76"/>
      <c r="C783" s="76"/>
      <c r="D783" s="74" t="n">
        <v>2</v>
      </c>
      <c r="E783" s="74" t="n">
        <v>2</v>
      </c>
      <c r="F783" s="74" t="n">
        <v>1</v>
      </c>
      <c r="G783" s="74" t="n">
        <v>1</v>
      </c>
      <c r="H783" s="74" t="n">
        <v>0</v>
      </c>
      <c r="I783" s="74" t="n">
        <v>0</v>
      </c>
      <c r="J783" s="74" t="n">
        <v>0</v>
      </c>
      <c r="K783" s="74" t="n">
        <v>0</v>
      </c>
      <c r="L783" s="74" t="n">
        <v>0</v>
      </c>
      <c r="M783" s="74" t="n">
        <v>0</v>
      </c>
      <c r="N783" s="74" t="n">
        <v>0</v>
      </c>
      <c r="O783" s="74" t="n">
        <v>0</v>
      </c>
      <c r="P783" s="74" t="n">
        <v>0</v>
      </c>
      <c r="Q783" s="74" t="n">
        <v>0</v>
      </c>
      <c r="R783" s="74" t="n">
        <v>0</v>
      </c>
      <c r="S783" s="74" t="n">
        <v>0</v>
      </c>
      <c r="T783" s="74" t="n">
        <v>0</v>
      </c>
      <c r="U783" s="74" t="n">
        <v>0</v>
      </c>
      <c r="V783" s="81" t="n">
        <v>0</v>
      </c>
      <c r="W783" s="81" t="n">
        <v>0</v>
      </c>
      <c r="X783" s="81" t="n">
        <v>0</v>
      </c>
      <c r="Y783" s="81" t="n">
        <v>0</v>
      </c>
      <c r="Z783" s="81" t="n">
        <v>0</v>
      </c>
      <c r="AA783" s="81" t="n">
        <v>0</v>
      </c>
    </row>
    <row r="784" customFormat="false" ht="15" hidden="false" customHeight="true" outlineLevel="0" collapsed="false">
      <c r="A784" s="30" t="s">
        <v>116</v>
      </c>
      <c r="B784" s="76"/>
      <c r="C784" s="76"/>
      <c r="D784" s="76"/>
      <c r="E784" s="74" t="n">
        <v>4</v>
      </c>
      <c r="F784" s="74" t="n">
        <v>3</v>
      </c>
      <c r="G784" s="74" t="n">
        <v>0</v>
      </c>
      <c r="H784" s="74" t="n">
        <v>0</v>
      </c>
      <c r="I784" s="74" t="n">
        <v>0</v>
      </c>
      <c r="J784" s="74" t="n">
        <v>0</v>
      </c>
      <c r="K784" s="74" t="n">
        <v>0</v>
      </c>
      <c r="L784" s="74" t="n">
        <v>0</v>
      </c>
      <c r="M784" s="74" t="n">
        <v>0</v>
      </c>
      <c r="N784" s="74" t="n">
        <v>0</v>
      </c>
      <c r="O784" s="74" t="n">
        <v>0</v>
      </c>
      <c r="P784" s="74" t="n">
        <v>0</v>
      </c>
      <c r="Q784" s="74" t="n">
        <v>0</v>
      </c>
      <c r="R784" s="74" t="n">
        <v>0</v>
      </c>
      <c r="S784" s="74" t="n">
        <v>0</v>
      </c>
      <c r="T784" s="74" t="n">
        <v>0</v>
      </c>
      <c r="U784" s="74" t="n">
        <v>0</v>
      </c>
      <c r="V784" s="81" t="n">
        <v>0</v>
      </c>
      <c r="W784" s="81" t="n">
        <v>0</v>
      </c>
      <c r="X784" s="81" t="n">
        <v>0</v>
      </c>
      <c r="Y784" s="81" t="n">
        <v>0</v>
      </c>
      <c r="Z784" s="81" t="n">
        <v>0</v>
      </c>
      <c r="AA784" s="81" t="n">
        <v>0</v>
      </c>
    </row>
    <row r="785" customFormat="false" ht="15" hidden="false" customHeight="true" outlineLevel="0" collapsed="false">
      <c r="A785" s="30" t="s">
        <v>117</v>
      </c>
      <c r="B785" s="76"/>
      <c r="C785" s="76"/>
      <c r="D785" s="76"/>
      <c r="E785" s="76"/>
      <c r="F785" s="74" t="n">
        <v>2</v>
      </c>
      <c r="G785" s="74" t="n">
        <v>2</v>
      </c>
      <c r="H785" s="74" t="n">
        <v>2</v>
      </c>
      <c r="I785" s="74" t="n">
        <v>2</v>
      </c>
      <c r="J785" s="74" t="n">
        <v>0</v>
      </c>
      <c r="K785" s="74" t="n">
        <v>0</v>
      </c>
      <c r="L785" s="74" t="n">
        <v>0</v>
      </c>
      <c r="M785" s="74" t="n">
        <v>0</v>
      </c>
      <c r="N785" s="74" t="n">
        <v>0</v>
      </c>
      <c r="O785" s="74" t="n">
        <v>0</v>
      </c>
      <c r="P785" s="74" t="n">
        <v>0</v>
      </c>
      <c r="Q785" s="74" t="n">
        <v>0</v>
      </c>
      <c r="R785" s="74" t="n">
        <v>0</v>
      </c>
      <c r="S785" s="74" t="n">
        <v>0</v>
      </c>
      <c r="T785" s="74" t="n">
        <v>0</v>
      </c>
      <c r="U785" s="74" t="n">
        <v>0</v>
      </c>
      <c r="V785" s="81" t="n">
        <v>0</v>
      </c>
      <c r="W785" s="81" t="n">
        <v>0</v>
      </c>
      <c r="X785" s="81" t="n">
        <v>0</v>
      </c>
      <c r="Y785" s="81" t="n">
        <v>0</v>
      </c>
      <c r="Z785" s="81" t="n">
        <v>0</v>
      </c>
      <c r="AA785" s="81" t="n">
        <v>0</v>
      </c>
    </row>
    <row r="786" customFormat="false" ht="15" hidden="false" customHeight="true" outlineLevel="0" collapsed="false">
      <c r="A786" s="30" t="s">
        <v>120</v>
      </c>
      <c r="B786" s="76"/>
      <c r="C786" s="76"/>
      <c r="D786" s="76"/>
      <c r="E786" s="76"/>
      <c r="F786" s="76"/>
      <c r="G786" s="76"/>
      <c r="H786" s="76"/>
      <c r="I786" s="74" t="n">
        <v>5</v>
      </c>
      <c r="J786" s="74" t="n">
        <v>5</v>
      </c>
      <c r="K786" s="74" t="n">
        <v>1</v>
      </c>
      <c r="L786" s="74" t="n">
        <v>2</v>
      </c>
      <c r="M786" s="74" t="n">
        <v>2</v>
      </c>
      <c r="N786" s="74" t="n">
        <v>1</v>
      </c>
      <c r="O786" s="74" t="n">
        <v>1</v>
      </c>
      <c r="P786" s="74" t="n">
        <v>1</v>
      </c>
      <c r="Q786" s="74" t="n">
        <v>0</v>
      </c>
      <c r="R786" s="74" t="n">
        <v>1</v>
      </c>
      <c r="S786" s="74" t="n">
        <v>0</v>
      </c>
      <c r="T786" s="74" t="n">
        <v>0</v>
      </c>
      <c r="U786" s="74" t="n">
        <v>0</v>
      </c>
      <c r="V786" s="81" t="n">
        <v>0</v>
      </c>
      <c r="W786" s="81" t="n">
        <v>0</v>
      </c>
      <c r="X786" s="81" t="n">
        <v>0</v>
      </c>
      <c r="Y786" s="81" t="n">
        <v>0</v>
      </c>
      <c r="Z786" s="81" t="n">
        <v>0</v>
      </c>
      <c r="AA786" s="81" t="n">
        <v>0</v>
      </c>
    </row>
    <row r="787" customFormat="false" ht="15" hidden="false" customHeight="true" outlineLevel="0" collapsed="false">
      <c r="A787" s="30" t="s">
        <v>121</v>
      </c>
      <c r="B787" s="76"/>
      <c r="C787" s="76"/>
      <c r="D787" s="76"/>
      <c r="E787" s="76"/>
      <c r="F787" s="76"/>
      <c r="G787" s="76"/>
      <c r="H787" s="76"/>
      <c r="I787" s="76"/>
      <c r="J787" s="74" t="n">
        <v>2</v>
      </c>
      <c r="K787" s="74" t="n">
        <v>0</v>
      </c>
      <c r="L787" s="74" t="n">
        <v>0</v>
      </c>
      <c r="M787" s="74" t="n">
        <v>0</v>
      </c>
      <c r="N787" s="74" t="n">
        <v>0</v>
      </c>
      <c r="O787" s="74" t="n">
        <v>0</v>
      </c>
      <c r="P787" s="74" t="n">
        <v>0</v>
      </c>
      <c r="Q787" s="74" t="n">
        <v>0</v>
      </c>
      <c r="R787" s="74" t="n">
        <v>0</v>
      </c>
      <c r="S787" s="74" t="n">
        <v>0</v>
      </c>
      <c r="T787" s="74" t="n">
        <v>0</v>
      </c>
      <c r="U787" s="74" t="n">
        <v>0</v>
      </c>
      <c r="V787" s="81" t="n">
        <v>0</v>
      </c>
      <c r="W787" s="81" t="n">
        <v>0</v>
      </c>
      <c r="X787" s="81" t="n">
        <v>0</v>
      </c>
      <c r="Y787" s="81" t="n">
        <v>0</v>
      </c>
      <c r="Z787" s="81" t="n">
        <v>0</v>
      </c>
      <c r="AA787" s="81" t="n">
        <v>0</v>
      </c>
    </row>
    <row r="788" customFormat="false" ht="15" hidden="false" customHeight="true" outlineLevel="0" collapsed="false">
      <c r="A788" s="30" t="s">
        <v>123</v>
      </c>
      <c r="B788" s="76"/>
      <c r="C788" s="76"/>
      <c r="D788" s="76"/>
      <c r="E788" s="76"/>
      <c r="F788" s="76"/>
      <c r="G788" s="76"/>
      <c r="H788" s="76"/>
      <c r="I788" s="76"/>
      <c r="J788" s="76"/>
      <c r="K788" s="76"/>
      <c r="L788" s="74" t="n">
        <v>2</v>
      </c>
      <c r="M788" s="74" t="n">
        <v>2</v>
      </c>
      <c r="N788" s="74" t="n">
        <v>1</v>
      </c>
      <c r="O788" s="74" t="n">
        <v>1</v>
      </c>
      <c r="P788" s="74" t="n">
        <v>1</v>
      </c>
      <c r="Q788" s="74" t="n">
        <v>0</v>
      </c>
      <c r="R788" s="74" t="n">
        <v>0</v>
      </c>
      <c r="S788" s="74" t="n">
        <v>0</v>
      </c>
      <c r="T788" s="74" t="n">
        <v>0</v>
      </c>
      <c r="U788" s="74" t="n">
        <v>0</v>
      </c>
      <c r="V788" s="81" t="n">
        <v>0</v>
      </c>
      <c r="W788" s="81" t="n">
        <v>0</v>
      </c>
      <c r="X788" s="81" t="n">
        <v>0</v>
      </c>
      <c r="Y788" s="81" t="n">
        <v>0</v>
      </c>
      <c r="Z788" s="81" t="n">
        <v>0</v>
      </c>
      <c r="AA788" s="81" t="n">
        <v>0</v>
      </c>
    </row>
    <row r="789" customFormat="false" ht="15" hidden="false" customHeight="true" outlineLevel="0" collapsed="false">
      <c r="A789" s="30" t="s">
        <v>124</v>
      </c>
      <c r="B789" s="76"/>
      <c r="C789" s="76"/>
      <c r="D789" s="76"/>
      <c r="E789" s="76"/>
      <c r="F789" s="76"/>
      <c r="G789" s="76"/>
      <c r="H789" s="76"/>
      <c r="I789" s="76"/>
      <c r="J789" s="76"/>
      <c r="K789" s="76"/>
      <c r="L789" s="76"/>
      <c r="M789" s="74" t="n">
        <v>2</v>
      </c>
      <c r="N789" s="74" t="n">
        <v>2</v>
      </c>
      <c r="O789" s="74" t="n">
        <v>2</v>
      </c>
      <c r="P789" s="74" t="n">
        <v>2</v>
      </c>
      <c r="Q789" s="74" t="n">
        <v>0</v>
      </c>
      <c r="R789" s="74" t="n">
        <v>0</v>
      </c>
      <c r="S789" s="74" t="n">
        <v>0</v>
      </c>
      <c r="T789" s="74" t="n">
        <v>0</v>
      </c>
      <c r="U789" s="74" t="n">
        <v>0</v>
      </c>
      <c r="V789" s="81" t="n">
        <v>0</v>
      </c>
      <c r="W789" s="81" t="n">
        <v>0</v>
      </c>
      <c r="X789" s="81" t="n">
        <v>0</v>
      </c>
      <c r="Y789" s="81" t="n">
        <v>0</v>
      </c>
      <c r="Z789" s="81" t="n">
        <v>0</v>
      </c>
      <c r="AA789" s="81" t="n">
        <v>0</v>
      </c>
    </row>
    <row r="790" customFormat="false" ht="15" hidden="false" customHeight="true" outlineLevel="0" collapsed="false">
      <c r="A790" s="30" t="s">
        <v>126</v>
      </c>
      <c r="B790" s="76"/>
      <c r="C790" s="76"/>
      <c r="D790" s="76"/>
      <c r="E790" s="76"/>
      <c r="F790" s="76"/>
      <c r="G790" s="76"/>
      <c r="H790" s="76"/>
      <c r="I790" s="76"/>
      <c r="J790" s="76"/>
      <c r="K790" s="76"/>
      <c r="L790" s="76"/>
      <c r="M790" s="76"/>
      <c r="N790" s="76"/>
      <c r="O790" s="74" t="n">
        <v>7</v>
      </c>
      <c r="P790" s="74" t="n">
        <v>6</v>
      </c>
      <c r="Q790" s="74" t="n">
        <v>4</v>
      </c>
      <c r="R790" s="74" t="n">
        <v>4</v>
      </c>
      <c r="S790" s="74" t="n">
        <v>1</v>
      </c>
      <c r="T790" s="74" t="n">
        <v>0</v>
      </c>
      <c r="U790" s="74" t="n">
        <v>0</v>
      </c>
      <c r="V790" s="81" t="n">
        <v>0</v>
      </c>
      <c r="W790" s="81" t="n">
        <v>0</v>
      </c>
      <c r="X790" s="81" t="n">
        <v>0</v>
      </c>
      <c r="Y790" s="81" t="n">
        <v>0</v>
      </c>
      <c r="Z790" s="81" t="n">
        <v>0</v>
      </c>
      <c r="AA790" s="81" t="n">
        <v>0</v>
      </c>
    </row>
    <row r="791" customFormat="false" ht="15" hidden="false" customHeight="true" outlineLevel="0" collapsed="false">
      <c r="A791" s="30" t="s">
        <v>127</v>
      </c>
      <c r="B791" s="76"/>
      <c r="C791" s="76"/>
      <c r="D791" s="76"/>
      <c r="E791" s="76"/>
      <c r="F791" s="76"/>
      <c r="G791" s="76"/>
      <c r="H791" s="76"/>
      <c r="I791" s="76"/>
      <c r="J791" s="76"/>
      <c r="K791" s="76"/>
      <c r="L791" s="76"/>
      <c r="M791" s="76"/>
      <c r="N791" s="76"/>
      <c r="O791" s="76"/>
      <c r="P791" s="74" t="n">
        <v>1</v>
      </c>
      <c r="Q791" s="74" t="n">
        <v>0</v>
      </c>
      <c r="R791" s="74" t="n">
        <v>0</v>
      </c>
      <c r="S791" s="74" t="n">
        <v>0</v>
      </c>
      <c r="T791" s="74" t="n">
        <v>0</v>
      </c>
      <c r="U791" s="74" t="n">
        <v>0</v>
      </c>
      <c r="V791" s="81" t="n">
        <v>0</v>
      </c>
      <c r="W791" s="81" t="n">
        <v>0</v>
      </c>
      <c r="X791" s="81" t="n">
        <v>0</v>
      </c>
      <c r="Y791" s="81" t="n">
        <v>0</v>
      </c>
      <c r="Z791" s="81" t="n">
        <v>0</v>
      </c>
      <c r="AA791" s="81" t="n">
        <v>0</v>
      </c>
    </row>
    <row r="792" customFormat="false" ht="15" hidden="false" customHeight="true" outlineLevel="0" collapsed="false">
      <c r="A792" s="30" t="s">
        <v>128</v>
      </c>
      <c r="B792" s="76"/>
      <c r="C792" s="76"/>
      <c r="D792" s="76"/>
      <c r="E792" s="76"/>
      <c r="F792" s="76"/>
      <c r="G792" s="76"/>
      <c r="H792" s="76"/>
      <c r="I792" s="76"/>
      <c r="J792" s="76"/>
      <c r="K792" s="76"/>
      <c r="L792" s="76"/>
      <c r="M792" s="76"/>
      <c r="N792" s="76"/>
      <c r="O792" s="76"/>
      <c r="P792" s="76"/>
      <c r="Q792" s="74" t="n">
        <v>1</v>
      </c>
      <c r="R792" s="74" t="n">
        <v>1</v>
      </c>
      <c r="S792" s="74" t="n">
        <v>1</v>
      </c>
      <c r="T792" s="74" t="n">
        <v>1</v>
      </c>
      <c r="U792" s="74" t="n">
        <v>0</v>
      </c>
      <c r="V792" s="81" t="n">
        <v>0</v>
      </c>
      <c r="W792" s="81" t="n">
        <v>0</v>
      </c>
      <c r="X792" s="81" t="n">
        <v>0</v>
      </c>
      <c r="Y792" s="81" t="n">
        <v>0</v>
      </c>
      <c r="Z792" s="81" t="n">
        <v>0</v>
      </c>
      <c r="AA792" s="81" t="n">
        <v>0</v>
      </c>
    </row>
    <row r="793" customFormat="false" ht="15" hidden="false" customHeight="true" outlineLevel="0" collapsed="false">
      <c r="A793" s="30" t="s">
        <v>129</v>
      </c>
      <c r="B793" s="76"/>
      <c r="C793" s="76"/>
      <c r="D793" s="76"/>
      <c r="E793" s="76"/>
      <c r="F793" s="76"/>
      <c r="G793" s="76"/>
      <c r="H793" s="76"/>
      <c r="I793" s="76"/>
      <c r="J793" s="76"/>
      <c r="K793" s="76"/>
      <c r="L793" s="76"/>
      <c r="M793" s="76"/>
      <c r="N793" s="76"/>
      <c r="O793" s="76"/>
      <c r="P793" s="76"/>
      <c r="Q793" s="76"/>
      <c r="R793" s="74" t="n">
        <v>1</v>
      </c>
      <c r="S793" s="74" t="n">
        <v>1</v>
      </c>
      <c r="T793" s="74" t="n">
        <v>1</v>
      </c>
      <c r="U793" s="74" t="n">
        <v>0</v>
      </c>
      <c r="V793" s="81" t="n">
        <v>0</v>
      </c>
      <c r="W793" s="81" t="n">
        <v>0</v>
      </c>
      <c r="X793" s="81" t="n">
        <v>0</v>
      </c>
      <c r="Y793" s="81" t="n">
        <v>0</v>
      </c>
      <c r="Z793" s="81" t="n">
        <v>0</v>
      </c>
      <c r="AA793" s="81" t="n">
        <v>0</v>
      </c>
    </row>
    <row r="794" customFormat="false" ht="15" hidden="false" customHeight="true" outlineLevel="0" collapsed="false">
      <c r="A794" s="30" t="s">
        <v>132</v>
      </c>
      <c r="B794" s="76"/>
      <c r="C794" s="76"/>
      <c r="D794" s="76"/>
      <c r="E794" s="76"/>
      <c r="F794" s="76"/>
      <c r="G794" s="76"/>
      <c r="H794" s="76"/>
      <c r="I794" s="76"/>
      <c r="J794" s="76"/>
      <c r="K794" s="76"/>
      <c r="L794" s="76"/>
      <c r="M794" s="76"/>
      <c r="N794" s="76"/>
      <c r="O794" s="76"/>
      <c r="P794" s="76"/>
      <c r="Q794" s="76"/>
      <c r="R794" s="76"/>
      <c r="S794" s="76"/>
      <c r="T794" s="76"/>
      <c r="U794" s="74" t="n">
        <v>1</v>
      </c>
      <c r="V794" s="81" t="n">
        <v>1</v>
      </c>
      <c r="W794" s="81" t="n">
        <v>0</v>
      </c>
      <c r="X794" s="81" t="n">
        <v>0</v>
      </c>
      <c r="Y794" s="81" t="n">
        <v>0</v>
      </c>
      <c r="Z794" s="81" t="n">
        <v>0</v>
      </c>
      <c r="AA794" s="81" t="n">
        <v>0</v>
      </c>
    </row>
    <row r="795" customFormat="false" ht="15" hidden="false" customHeight="true" outlineLevel="0" collapsed="false">
      <c r="A795" s="82" t="s">
        <v>524</v>
      </c>
      <c r="B795" s="76"/>
      <c r="C795" s="76"/>
      <c r="D795" s="76"/>
      <c r="E795" s="76"/>
      <c r="F795" s="76"/>
      <c r="G795" s="76"/>
      <c r="H795" s="76"/>
      <c r="I795" s="76"/>
      <c r="J795" s="76"/>
      <c r="K795" s="76"/>
      <c r="L795" s="76"/>
      <c r="M795" s="76"/>
      <c r="N795" s="76"/>
      <c r="O795" s="76"/>
      <c r="P795" s="76"/>
      <c r="Q795" s="76"/>
      <c r="R795" s="76"/>
      <c r="S795" s="76"/>
      <c r="T795" s="76"/>
      <c r="U795" s="76"/>
      <c r="V795" s="81" t="n">
        <v>1</v>
      </c>
      <c r="W795" s="81" t="n">
        <v>1</v>
      </c>
      <c r="X795" s="81" t="n">
        <v>0</v>
      </c>
      <c r="Y795" s="81" t="n">
        <v>0</v>
      </c>
      <c r="Z795" s="81" t="n">
        <v>0</v>
      </c>
      <c r="AA795" s="81" t="n">
        <v>0</v>
      </c>
    </row>
    <row r="796" customFormat="false" ht="15" hidden="false" customHeight="true" outlineLevel="0" collapsed="false">
      <c r="A796" s="82" t="s">
        <v>525</v>
      </c>
      <c r="B796" s="76"/>
      <c r="C796" s="76"/>
      <c r="D796" s="76"/>
      <c r="E796" s="76"/>
      <c r="F796" s="76"/>
      <c r="G796" s="76"/>
      <c r="H796" s="76"/>
      <c r="I796" s="76"/>
      <c r="J796" s="76"/>
      <c r="K796" s="76"/>
      <c r="L796" s="76"/>
      <c r="M796" s="76"/>
      <c r="N796" s="76"/>
      <c r="O796" s="76"/>
      <c r="P796" s="76"/>
      <c r="Q796" s="76"/>
      <c r="R796" s="76"/>
      <c r="S796" s="76"/>
      <c r="T796" s="76"/>
      <c r="U796" s="76"/>
      <c r="V796" s="76"/>
      <c r="W796" s="81" t="n">
        <v>1</v>
      </c>
      <c r="X796" s="81" t="n">
        <v>1</v>
      </c>
      <c r="Y796" s="81" t="n">
        <v>0</v>
      </c>
      <c r="Z796" s="81" t="n">
        <v>0</v>
      </c>
      <c r="AA796" s="81" t="n">
        <v>0</v>
      </c>
    </row>
    <row r="797" customFormat="false" ht="15" hidden="false" customHeight="true" outlineLevel="0" collapsed="false">
      <c r="A797" s="82" t="s">
        <v>526</v>
      </c>
      <c r="B797" s="76"/>
      <c r="C797" s="76"/>
      <c r="D797" s="76"/>
      <c r="E797" s="76"/>
      <c r="F797" s="76"/>
      <c r="G797" s="76"/>
      <c r="H797" s="76"/>
      <c r="I797" s="76"/>
      <c r="J797" s="76"/>
      <c r="K797" s="76"/>
      <c r="L797" s="76"/>
      <c r="M797" s="76"/>
      <c r="N797" s="76"/>
      <c r="O797" s="76"/>
      <c r="P797" s="76"/>
      <c r="Q797" s="76"/>
      <c r="R797" s="76"/>
      <c r="S797" s="76"/>
      <c r="T797" s="76"/>
      <c r="U797" s="76"/>
      <c r="V797" s="76"/>
      <c r="W797" s="76"/>
      <c r="X797" s="81" t="n">
        <v>1</v>
      </c>
      <c r="Y797" s="81" t="n">
        <v>1</v>
      </c>
      <c r="Z797" s="81" t="n">
        <v>0</v>
      </c>
      <c r="AA797" s="81" t="n">
        <v>0</v>
      </c>
    </row>
    <row r="798" customFormat="false" ht="15" hidden="false" customHeight="true" outlineLevel="0" collapsed="false">
      <c r="A798" s="82" t="s">
        <v>527</v>
      </c>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81" t="n">
        <v>1</v>
      </c>
      <c r="Z798" s="81" t="n">
        <v>1</v>
      </c>
      <c r="AA798" s="81" t="n">
        <v>0</v>
      </c>
    </row>
    <row r="799" customFormat="false" ht="15" hidden="false" customHeight="true" outlineLevel="0" collapsed="false">
      <c r="A799" s="82" t="s">
        <v>528</v>
      </c>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81" t="n">
        <v>1</v>
      </c>
      <c r="AA799" s="81" t="n">
        <v>1</v>
      </c>
    </row>
    <row r="800" customFormat="false" ht="15" hidden="false" customHeight="true" outlineLevel="0" collapsed="false">
      <c r="A800" s="82" t="s">
        <v>529</v>
      </c>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81" t="n">
        <v>1</v>
      </c>
    </row>
    <row r="801" customFormat="false" ht="15" hidden="false" customHeight="true" outlineLevel="0" collapsed="false">
      <c r="A801" s="34" t="s">
        <v>514</v>
      </c>
      <c r="B801" s="79"/>
      <c r="C801" s="79"/>
      <c r="D801" s="79" t="n">
        <v>2</v>
      </c>
      <c r="E801" s="79" t="n">
        <v>6</v>
      </c>
      <c r="F801" s="79" t="n">
        <v>6</v>
      </c>
      <c r="G801" s="79" t="n">
        <v>3</v>
      </c>
      <c r="H801" s="79" t="n">
        <v>2</v>
      </c>
      <c r="I801" s="79" t="n">
        <v>7</v>
      </c>
      <c r="J801" s="79" t="n">
        <v>7</v>
      </c>
      <c r="K801" s="79" t="n">
        <v>1</v>
      </c>
      <c r="L801" s="79" t="n">
        <v>4</v>
      </c>
      <c r="M801" s="79" t="n">
        <v>6</v>
      </c>
      <c r="N801" s="79" t="n">
        <v>4</v>
      </c>
      <c r="O801" s="79" t="n">
        <v>11</v>
      </c>
      <c r="P801" s="79" t="n">
        <v>11</v>
      </c>
      <c r="Q801" s="79" t="n">
        <v>5</v>
      </c>
      <c r="R801" s="79" t="n">
        <v>7</v>
      </c>
      <c r="S801" s="79" t="n">
        <v>3</v>
      </c>
      <c r="T801" s="79" t="n">
        <v>2</v>
      </c>
      <c r="U801" s="79" t="n">
        <v>1</v>
      </c>
      <c r="V801" s="79" t="n">
        <v>2</v>
      </c>
      <c r="W801" s="79" t="n">
        <v>2</v>
      </c>
      <c r="X801" s="79" t="n">
        <v>3</v>
      </c>
      <c r="Y801" s="79" t="n">
        <v>3</v>
      </c>
      <c r="Z801" s="79" t="n">
        <v>3</v>
      </c>
      <c r="AA801" s="79" t="n">
        <v>3</v>
      </c>
    </row>
    <row r="803" customFormat="false" ht="19.5" hidden="false" customHeight="true" outlineLevel="0" collapsed="false">
      <c r="A803" s="65" t="s">
        <v>442</v>
      </c>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row>
    <row r="804" customFormat="false" ht="15" hidden="false" customHeight="true" outlineLevel="0" collapsed="false">
      <c r="A804" s="80" t="s">
        <v>549</v>
      </c>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c r="AA804" s="80"/>
    </row>
    <row r="805" customFormat="false" ht="15" hidden="false" customHeight="true" outlineLevel="0" collapsed="false">
      <c r="A805" s="12" t="s">
        <v>513</v>
      </c>
      <c r="B805" s="12" t="s">
        <v>113</v>
      </c>
      <c r="C805" s="12" t="s">
        <v>114</v>
      </c>
      <c r="D805" s="12" t="s">
        <v>115</v>
      </c>
      <c r="E805" s="12" t="s">
        <v>116</v>
      </c>
      <c r="F805" s="12" t="s">
        <v>117</v>
      </c>
      <c r="G805" s="12" t="s">
        <v>118</v>
      </c>
      <c r="H805" s="12" t="s">
        <v>119</v>
      </c>
      <c r="I805" s="12" t="s">
        <v>120</v>
      </c>
      <c r="J805" s="12" t="s">
        <v>121</v>
      </c>
      <c r="K805" s="12" t="s">
        <v>122</v>
      </c>
      <c r="L805" s="12" t="s">
        <v>123</v>
      </c>
      <c r="M805" s="12" t="s">
        <v>124</v>
      </c>
      <c r="N805" s="12" t="s">
        <v>125</v>
      </c>
      <c r="O805" s="12" t="s">
        <v>126</v>
      </c>
      <c r="P805" s="12" t="s">
        <v>127</v>
      </c>
      <c r="Q805" s="12" t="s">
        <v>128</v>
      </c>
      <c r="R805" s="12" t="s">
        <v>129</v>
      </c>
      <c r="S805" s="12" t="s">
        <v>130</v>
      </c>
      <c r="T805" s="12" t="s">
        <v>131</v>
      </c>
      <c r="U805" s="12" t="s">
        <v>132</v>
      </c>
      <c r="V805" s="12" t="s">
        <v>518</v>
      </c>
      <c r="W805" s="12" t="s">
        <v>519</v>
      </c>
      <c r="X805" s="12" t="s">
        <v>520</v>
      </c>
      <c r="Y805" s="12" t="s">
        <v>521</v>
      </c>
      <c r="Z805" s="12" t="s">
        <v>522</v>
      </c>
      <c r="AA805" s="12" t="s">
        <v>523</v>
      </c>
    </row>
    <row r="806" customFormat="false" ht="15" hidden="false" customHeight="true" outlineLevel="0" collapsed="false">
      <c r="A806" s="30" t="s">
        <v>120</v>
      </c>
      <c r="B806" s="76"/>
      <c r="C806" s="76"/>
      <c r="D806" s="76"/>
      <c r="E806" s="76"/>
      <c r="F806" s="76"/>
      <c r="G806" s="76"/>
      <c r="H806" s="76"/>
      <c r="I806" s="74" t="n">
        <v>1</v>
      </c>
      <c r="J806" s="74" t="n">
        <v>1</v>
      </c>
      <c r="K806" s="74" t="n">
        <v>0</v>
      </c>
      <c r="L806" s="74" t="n">
        <v>0</v>
      </c>
      <c r="M806" s="74" t="n">
        <v>0</v>
      </c>
      <c r="N806" s="74" t="n">
        <v>0</v>
      </c>
      <c r="O806" s="74" t="n">
        <v>0</v>
      </c>
      <c r="P806" s="74" t="n">
        <v>0</v>
      </c>
      <c r="Q806" s="74" t="n">
        <v>0</v>
      </c>
      <c r="R806" s="74" t="n">
        <v>0</v>
      </c>
      <c r="S806" s="74" t="n">
        <v>0</v>
      </c>
      <c r="T806" s="74" t="n">
        <v>0</v>
      </c>
      <c r="U806" s="74" t="n">
        <v>0</v>
      </c>
      <c r="V806" s="81" t="n">
        <v>0</v>
      </c>
      <c r="W806" s="81" t="n">
        <v>0</v>
      </c>
      <c r="X806" s="81" t="n">
        <v>0</v>
      </c>
      <c r="Y806" s="81" t="n">
        <v>0</v>
      </c>
      <c r="Z806" s="81" t="n">
        <v>0</v>
      </c>
      <c r="AA806" s="81" t="n">
        <v>0</v>
      </c>
    </row>
    <row r="807" customFormat="false" ht="15" hidden="false" customHeight="true" outlineLevel="0" collapsed="false">
      <c r="A807" s="30" t="s">
        <v>123</v>
      </c>
      <c r="B807" s="76"/>
      <c r="C807" s="76"/>
      <c r="D807" s="76"/>
      <c r="E807" s="76"/>
      <c r="F807" s="76"/>
      <c r="G807" s="76"/>
      <c r="H807" s="76"/>
      <c r="I807" s="76"/>
      <c r="J807" s="76"/>
      <c r="K807" s="76"/>
      <c r="L807" s="74" t="n">
        <v>1</v>
      </c>
      <c r="M807" s="74" t="n">
        <v>1</v>
      </c>
      <c r="N807" s="74" t="n">
        <v>1</v>
      </c>
      <c r="O807" s="74" t="n">
        <v>0</v>
      </c>
      <c r="P807" s="74" t="n">
        <v>0</v>
      </c>
      <c r="Q807" s="74" t="n">
        <v>0</v>
      </c>
      <c r="R807" s="74" t="n">
        <v>0</v>
      </c>
      <c r="S807" s="74" t="n">
        <v>0</v>
      </c>
      <c r="T807" s="74" t="n">
        <v>0</v>
      </c>
      <c r="U807" s="74" t="n">
        <v>0</v>
      </c>
      <c r="V807" s="81" t="n">
        <v>0</v>
      </c>
      <c r="W807" s="81" t="n">
        <v>0</v>
      </c>
      <c r="X807" s="81" t="n">
        <v>0</v>
      </c>
      <c r="Y807" s="81" t="n">
        <v>0</v>
      </c>
      <c r="Z807" s="81" t="n">
        <v>0</v>
      </c>
      <c r="AA807" s="81" t="n">
        <v>0</v>
      </c>
    </row>
    <row r="808" customFormat="false" ht="15" hidden="false" customHeight="true" outlineLevel="0" collapsed="false">
      <c r="A808" s="30" t="s">
        <v>129</v>
      </c>
      <c r="B808" s="76"/>
      <c r="C808" s="76"/>
      <c r="D808" s="76"/>
      <c r="E808" s="76"/>
      <c r="F808" s="76"/>
      <c r="G808" s="76"/>
      <c r="H808" s="76"/>
      <c r="I808" s="76"/>
      <c r="J808" s="76"/>
      <c r="K808" s="76"/>
      <c r="L808" s="76"/>
      <c r="M808" s="76"/>
      <c r="N808" s="76"/>
      <c r="O808" s="76"/>
      <c r="P808" s="76"/>
      <c r="Q808" s="76"/>
      <c r="R808" s="74" t="n">
        <v>3</v>
      </c>
      <c r="S808" s="74" t="n">
        <v>3</v>
      </c>
      <c r="T808" s="74" t="n">
        <v>1</v>
      </c>
      <c r="U808" s="74" t="n">
        <v>2</v>
      </c>
      <c r="V808" s="81" t="n">
        <v>0</v>
      </c>
      <c r="W808" s="81" t="n">
        <v>0</v>
      </c>
      <c r="X808" s="81" t="n">
        <v>0</v>
      </c>
      <c r="Y808" s="81" t="n">
        <v>0</v>
      </c>
      <c r="Z808" s="81" t="n">
        <v>0</v>
      </c>
      <c r="AA808" s="81" t="n">
        <v>0</v>
      </c>
    </row>
    <row r="809" customFormat="false" ht="15" hidden="false" customHeight="true" outlineLevel="0" collapsed="false">
      <c r="A809" s="30" t="s">
        <v>130</v>
      </c>
      <c r="B809" s="76"/>
      <c r="C809" s="76"/>
      <c r="D809" s="76"/>
      <c r="E809" s="76"/>
      <c r="F809" s="76"/>
      <c r="G809" s="76"/>
      <c r="H809" s="76"/>
      <c r="I809" s="76"/>
      <c r="J809" s="76"/>
      <c r="K809" s="76"/>
      <c r="L809" s="76"/>
      <c r="M809" s="76"/>
      <c r="N809" s="76"/>
      <c r="O809" s="76"/>
      <c r="P809" s="76"/>
      <c r="Q809" s="76"/>
      <c r="R809" s="76"/>
      <c r="S809" s="74" t="n">
        <v>1</v>
      </c>
      <c r="T809" s="74" t="n">
        <v>1</v>
      </c>
      <c r="U809" s="74" t="n">
        <v>0</v>
      </c>
      <c r="V809" s="81" t="n">
        <v>0</v>
      </c>
      <c r="W809" s="81" t="n">
        <v>0</v>
      </c>
      <c r="X809" s="81" t="n">
        <v>0</v>
      </c>
      <c r="Y809" s="81" t="n">
        <v>0</v>
      </c>
      <c r="Z809" s="81" t="n">
        <v>0</v>
      </c>
      <c r="AA809" s="81" t="n">
        <v>0</v>
      </c>
    </row>
    <row r="810" customFormat="false" ht="15" hidden="false" customHeight="true" outlineLevel="0" collapsed="false">
      <c r="A810" s="82" t="s">
        <v>524</v>
      </c>
      <c r="B810" s="76"/>
      <c r="C810" s="76"/>
      <c r="D810" s="76"/>
      <c r="E810" s="76"/>
      <c r="F810" s="76"/>
      <c r="G810" s="76"/>
      <c r="H810" s="76"/>
      <c r="I810" s="76"/>
      <c r="J810" s="76"/>
      <c r="K810" s="76"/>
      <c r="L810" s="76"/>
      <c r="M810" s="76"/>
      <c r="N810" s="76"/>
      <c r="O810" s="76"/>
      <c r="P810" s="76"/>
      <c r="Q810" s="76"/>
      <c r="R810" s="76"/>
      <c r="S810" s="76"/>
      <c r="T810" s="76"/>
      <c r="U810" s="76"/>
      <c r="V810" s="81" t="n">
        <v>2</v>
      </c>
      <c r="W810" s="81" t="n">
        <v>2</v>
      </c>
      <c r="X810" s="81" t="n">
        <v>1</v>
      </c>
      <c r="Y810" s="81" t="n">
        <v>0</v>
      </c>
      <c r="Z810" s="81" t="n">
        <v>0</v>
      </c>
      <c r="AA810" s="81" t="n">
        <v>0</v>
      </c>
    </row>
    <row r="811" customFormat="false" ht="15" hidden="false" customHeight="true" outlineLevel="0" collapsed="false">
      <c r="A811" s="82" t="s">
        <v>525</v>
      </c>
      <c r="B811" s="76"/>
      <c r="C811" s="76"/>
      <c r="D811" s="76"/>
      <c r="E811" s="76"/>
      <c r="F811" s="76"/>
      <c r="G811" s="76"/>
      <c r="H811" s="76"/>
      <c r="I811" s="76"/>
      <c r="J811" s="76"/>
      <c r="K811" s="76"/>
      <c r="L811" s="76"/>
      <c r="M811" s="76"/>
      <c r="N811" s="76"/>
      <c r="O811" s="76"/>
      <c r="P811" s="76"/>
      <c r="Q811" s="76"/>
      <c r="R811" s="76"/>
      <c r="S811" s="76"/>
      <c r="T811" s="76"/>
      <c r="U811" s="76"/>
      <c r="V811" s="76"/>
      <c r="W811" s="81" t="n">
        <v>2</v>
      </c>
      <c r="X811" s="81" t="n">
        <v>2</v>
      </c>
      <c r="Y811" s="81" t="n">
        <v>1</v>
      </c>
      <c r="Z811" s="81" t="n">
        <v>0</v>
      </c>
      <c r="AA811" s="81" t="n">
        <v>0</v>
      </c>
    </row>
    <row r="812" customFormat="false" ht="15" hidden="false" customHeight="true" outlineLevel="0" collapsed="false">
      <c r="A812" s="82" t="s">
        <v>526</v>
      </c>
      <c r="B812" s="76"/>
      <c r="C812" s="76"/>
      <c r="D812" s="76"/>
      <c r="E812" s="76"/>
      <c r="F812" s="76"/>
      <c r="G812" s="76"/>
      <c r="H812" s="76"/>
      <c r="I812" s="76"/>
      <c r="J812" s="76"/>
      <c r="K812" s="76"/>
      <c r="L812" s="76"/>
      <c r="M812" s="76"/>
      <c r="N812" s="76"/>
      <c r="O812" s="76"/>
      <c r="P812" s="76"/>
      <c r="Q812" s="76"/>
      <c r="R812" s="76"/>
      <c r="S812" s="76"/>
      <c r="T812" s="76"/>
      <c r="U812" s="76"/>
      <c r="V812" s="76"/>
      <c r="W812" s="76"/>
      <c r="X812" s="81" t="n">
        <v>2</v>
      </c>
      <c r="Y812" s="81" t="n">
        <v>2</v>
      </c>
      <c r="Z812" s="81" t="n">
        <v>1</v>
      </c>
      <c r="AA812" s="81" t="n">
        <v>0</v>
      </c>
    </row>
    <row r="813" customFormat="false" ht="15" hidden="false" customHeight="true" outlineLevel="0" collapsed="false">
      <c r="A813" s="82" t="s">
        <v>527</v>
      </c>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81" t="n">
        <v>2</v>
      </c>
      <c r="Z813" s="81" t="n">
        <v>2</v>
      </c>
      <c r="AA813" s="81" t="n">
        <v>1</v>
      </c>
    </row>
    <row r="814" customFormat="false" ht="15" hidden="false" customHeight="true" outlineLevel="0" collapsed="false">
      <c r="A814" s="82" t="s">
        <v>528</v>
      </c>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81" t="n">
        <v>2</v>
      </c>
      <c r="AA814" s="81" t="n">
        <v>2</v>
      </c>
    </row>
    <row r="815" customFormat="false" ht="15" hidden="false" customHeight="true" outlineLevel="0" collapsed="false">
      <c r="A815" s="82" t="s">
        <v>529</v>
      </c>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81" t="n">
        <v>2</v>
      </c>
    </row>
    <row r="816" customFormat="false" ht="15" hidden="false" customHeight="true" outlineLevel="0" collapsed="false">
      <c r="A816" s="34" t="s">
        <v>514</v>
      </c>
      <c r="B816" s="79"/>
      <c r="C816" s="79"/>
      <c r="D816" s="79"/>
      <c r="E816" s="79"/>
      <c r="F816" s="79"/>
      <c r="G816" s="79"/>
      <c r="H816" s="79"/>
      <c r="I816" s="79" t="n">
        <v>1</v>
      </c>
      <c r="J816" s="79" t="n">
        <v>1</v>
      </c>
      <c r="K816" s="79" t="n">
        <v>0</v>
      </c>
      <c r="L816" s="79" t="n">
        <v>1</v>
      </c>
      <c r="M816" s="79" t="n">
        <v>1</v>
      </c>
      <c r="N816" s="79" t="n">
        <v>1</v>
      </c>
      <c r="O816" s="79" t="n">
        <v>0</v>
      </c>
      <c r="P816" s="79" t="n">
        <v>0</v>
      </c>
      <c r="Q816" s="79" t="n">
        <v>0</v>
      </c>
      <c r="R816" s="79" t="n">
        <v>3</v>
      </c>
      <c r="S816" s="79" t="n">
        <v>4</v>
      </c>
      <c r="T816" s="79" t="n">
        <v>2</v>
      </c>
      <c r="U816" s="79" t="n">
        <v>2</v>
      </c>
      <c r="V816" s="79" t="n">
        <v>2</v>
      </c>
      <c r="W816" s="79" t="n">
        <v>4</v>
      </c>
      <c r="X816" s="79" t="n">
        <v>5</v>
      </c>
      <c r="Y816" s="79" t="n">
        <v>5</v>
      </c>
      <c r="Z816" s="79" t="n">
        <v>5</v>
      </c>
      <c r="AA816" s="79" t="n">
        <v>5</v>
      </c>
    </row>
  </sheetData>
  <mergeCells count="84">
    <mergeCell ref="A1:J1"/>
    <mergeCell ref="A2:J2"/>
    <mergeCell ref="A4:I4"/>
    <mergeCell ref="A5:I5"/>
    <mergeCell ref="A7:I7"/>
    <mergeCell ref="A8:I8"/>
    <mergeCell ref="A10:AA10"/>
    <mergeCell ref="A11:AA11"/>
    <mergeCell ref="A35:I35"/>
    <mergeCell ref="A36:I36"/>
    <mergeCell ref="A38:AA38"/>
    <mergeCell ref="A39:AA39"/>
    <mergeCell ref="A69:AA69"/>
    <mergeCell ref="A70:AA70"/>
    <mergeCell ref="A91:AA91"/>
    <mergeCell ref="A92:AA92"/>
    <mergeCell ref="A111:AA111"/>
    <mergeCell ref="A112:AA112"/>
    <mergeCell ref="A142:AA142"/>
    <mergeCell ref="A143:AA143"/>
    <mergeCell ref="A173:AA173"/>
    <mergeCell ref="A174:AA174"/>
    <mergeCell ref="A204:AA204"/>
    <mergeCell ref="A205:AA205"/>
    <mergeCell ref="A233:AA233"/>
    <mergeCell ref="A234:AA234"/>
    <mergeCell ref="A259:AA259"/>
    <mergeCell ref="A260:AA260"/>
    <mergeCell ref="A281:I281"/>
    <mergeCell ref="A282:I282"/>
    <mergeCell ref="A284:I284"/>
    <mergeCell ref="A285:I285"/>
    <mergeCell ref="A287:AA287"/>
    <mergeCell ref="A288:AA288"/>
    <mergeCell ref="A314:AA314"/>
    <mergeCell ref="A315:AA315"/>
    <mergeCell ref="A337:I337"/>
    <mergeCell ref="A338:I338"/>
    <mergeCell ref="A340:AA340"/>
    <mergeCell ref="A341:AA341"/>
    <mergeCell ref="A371:AA371"/>
    <mergeCell ref="A372:AA372"/>
    <mergeCell ref="A402:AA402"/>
    <mergeCell ref="A403:AA403"/>
    <mergeCell ref="A424:I424"/>
    <mergeCell ref="A425:I425"/>
    <mergeCell ref="A427:AA427"/>
    <mergeCell ref="A428:AA428"/>
    <mergeCell ref="A447:AA447"/>
    <mergeCell ref="A448:AA448"/>
    <mergeCell ref="A468:AA468"/>
    <mergeCell ref="A469:AA469"/>
    <mergeCell ref="A493:AA493"/>
    <mergeCell ref="A494:AA494"/>
    <mergeCell ref="A524:I524"/>
    <mergeCell ref="A525:I525"/>
    <mergeCell ref="A527:AA527"/>
    <mergeCell ref="A528:AA528"/>
    <mergeCell ref="A544:AA544"/>
    <mergeCell ref="A545:AA545"/>
    <mergeCell ref="A575:AA575"/>
    <mergeCell ref="A576:AA576"/>
    <mergeCell ref="A599:AA599"/>
    <mergeCell ref="A600:AA600"/>
    <mergeCell ref="A621:AA621"/>
    <mergeCell ref="A622:AA622"/>
    <mergeCell ref="A647:AA647"/>
    <mergeCell ref="A648:AA648"/>
    <mergeCell ref="A671:AA671"/>
    <mergeCell ref="A672:AA672"/>
    <mergeCell ref="A689:AA689"/>
    <mergeCell ref="A690:AA690"/>
    <mergeCell ref="A706:AA706"/>
    <mergeCell ref="A707:AA707"/>
    <mergeCell ref="A734:I734"/>
    <mergeCell ref="A735:I735"/>
    <mergeCell ref="A737:AA737"/>
    <mergeCell ref="A738:AA738"/>
    <mergeCell ref="A757:AA757"/>
    <mergeCell ref="A758:AA758"/>
    <mergeCell ref="A780:AA780"/>
    <mergeCell ref="A781:AA781"/>
    <mergeCell ref="A803:AA803"/>
    <mergeCell ref="A804:AA80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8" min="3" style="0" width="14"/>
  </cols>
  <sheetData>
    <row r="1" customFormat="false" ht="17.25" hidden="false" customHeight="true" outlineLevel="0" collapsed="false">
      <c r="A1" s="46" t="s">
        <v>550</v>
      </c>
      <c r="B1" s="46"/>
      <c r="C1" s="46"/>
      <c r="D1" s="46"/>
      <c r="E1" s="46"/>
      <c r="F1" s="46"/>
      <c r="G1" s="46"/>
      <c r="H1" s="46"/>
    </row>
    <row r="2" customFormat="false" ht="15" hidden="false" customHeight="true" outlineLevel="0" collapsed="false">
      <c r="A2" s="83" t="s">
        <v>551</v>
      </c>
      <c r="B2" s="83"/>
      <c r="C2" s="83"/>
      <c r="D2" s="83"/>
      <c r="E2" s="83"/>
      <c r="F2" s="83"/>
      <c r="G2" s="83"/>
      <c r="H2" s="83"/>
    </row>
    <row r="4" customFormat="false" ht="15" hidden="false" customHeight="true" outlineLevel="0" collapsed="false">
      <c r="A4" s="12" t="s">
        <v>133</v>
      </c>
      <c r="B4" s="12" t="s">
        <v>134</v>
      </c>
      <c r="C4" s="12" t="s">
        <v>333</v>
      </c>
      <c r="D4" s="12" t="s">
        <v>552</v>
      </c>
      <c r="E4" s="12" t="s">
        <v>553</v>
      </c>
      <c r="F4" s="12" t="s">
        <v>554</v>
      </c>
      <c r="G4" s="12" t="s">
        <v>555</v>
      </c>
      <c r="H4" s="12" t="s">
        <v>142</v>
      </c>
    </row>
    <row r="5" customFormat="false" ht="15" hidden="false" customHeight="true" outlineLevel="0" collapsed="false">
      <c r="A5" s="19" t="s">
        <v>143</v>
      </c>
      <c r="B5" s="19" t="s">
        <v>144</v>
      </c>
      <c r="C5" s="19"/>
      <c r="D5" s="20"/>
      <c r="E5" s="20"/>
      <c r="F5" s="20"/>
      <c r="G5" s="20" t="n">
        <v>0.902</v>
      </c>
      <c r="H5" s="19" t="s">
        <v>147</v>
      </c>
    </row>
    <row r="6" customFormat="false" ht="15" hidden="false" customHeight="true" outlineLevel="0" collapsed="false">
      <c r="A6" s="19" t="s">
        <v>148</v>
      </c>
      <c r="B6" s="19" t="s">
        <v>149</v>
      </c>
      <c r="C6" s="19"/>
      <c r="D6" s="20"/>
      <c r="E6" s="20"/>
      <c r="F6" s="20"/>
      <c r="G6" s="20" t="n">
        <v>0.967241379310345</v>
      </c>
      <c r="H6" s="19" t="s">
        <v>147</v>
      </c>
    </row>
    <row r="7" customFormat="false" ht="15" hidden="false" customHeight="true" outlineLevel="0" collapsed="false">
      <c r="A7" s="22" t="s">
        <v>152</v>
      </c>
      <c r="B7" s="22" t="s">
        <v>153</v>
      </c>
      <c r="C7" s="22" t="n">
        <v>112</v>
      </c>
      <c r="D7" s="23" t="n">
        <v>0.973214285714286</v>
      </c>
      <c r="E7" s="23" t="n">
        <v>0.973214285714286</v>
      </c>
      <c r="F7" s="23" t="n">
        <v>0.96780303030303</v>
      </c>
      <c r="G7" s="23" t="n">
        <v>0.768421052631579</v>
      </c>
      <c r="H7" s="22" t="s">
        <v>156</v>
      </c>
    </row>
    <row r="8" customFormat="false" ht="15" hidden="false" customHeight="true" outlineLevel="0" collapsed="false">
      <c r="A8" s="19" t="s">
        <v>157</v>
      </c>
      <c r="B8" s="19" t="s">
        <v>158</v>
      </c>
      <c r="C8" s="19"/>
      <c r="D8" s="20"/>
      <c r="E8" s="20"/>
      <c r="F8" s="20"/>
      <c r="G8" s="20" t="n">
        <v>0.902</v>
      </c>
      <c r="H8" s="19" t="s">
        <v>147</v>
      </c>
    </row>
    <row r="9" customFormat="false" ht="15" hidden="false" customHeight="true" outlineLevel="0" collapsed="false">
      <c r="A9" s="22" t="s">
        <v>159</v>
      </c>
      <c r="B9" s="22" t="s">
        <v>160</v>
      </c>
      <c r="C9" s="22" t="n">
        <v>272</v>
      </c>
      <c r="D9" s="23" t="n">
        <v>0.691176470588235</v>
      </c>
      <c r="E9" s="23" t="n">
        <v>0.691176470588235</v>
      </c>
      <c r="F9" s="23" t="n">
        <v>0.696442807851502</v>
      </c>
      <c r="G9" s="23" t="n">
        <v>0.773722627737226</v>
      </c>
      <c r="H9" s="22" t="s">
        <v>156</v>
      </c>
    </row>
    <row r="10" customFormat="false" ht="15" hidden="false" customHeight="true" outlineLevel="0" collapsed="false">
      <c r="A10" s="22" t="s">
        <v>163</v>
      </c>
      <c r="B10" s="22" t="s">
        <v>164</v>
      </c>
      <c r="C10" s="22" t="n">
        <v>146</v>
      </c>
      <c r="D10" s="23" t="n">
        <v>0.691780821917808</v>
      </c>
      <c r="E10" s="23" t="n">
        <v>0.691780821917808</v>
      </c>
      <c r="F10" s="23" t="n">
        <v>0.710720909838144</v>
      </c>
      <c r="G10" s="23" t="n">
        <v>0.732303732303732</v>
      </c>
      <c r="H10" s="22" t="s">
        <v>156</v>
      </c>
    </row>
    <row r="11" customFormat="false" ht="15" hidden="false" customHeight="true" outlineLevel="0" collapsed="false">
      <c r="A11" s="22" t="s">
        <v>165</v>
      </c>
      <c r="B11" s="22" t="s">
        <v>166</v>
      </c>
      <c r="C11" s="22" t="n">
        <v>80</v>
      </c>
      <c r="D11" s="23" t="n">
        <v>0.775</v>
      </c>
      <c r="E11" s="23" t="n">
        <v>0.775</v>
      </c>
      <c r="F11" s="23" t="n">
        <v>0.878072196620584</v>
      </c>
      <c r="G11" s="23" t="n">
        <v>0.73534338358459</v>
      </c>
      <c r="H11" s="22" t="s">
        <v>156</v>
      </c>
    </row>
    <row r="12" customFormat="false" ht="15" hidden="false" customHeight="true" outlineLevel="0" collapsed="false">
      <c r="A12" s="22" t="s">
        <v>167</v>
      </c>
      <c r="B12" s="22" t="s">
        <v>168</v>
      </c>
      <c r="C12" s="22" t="n">
        <v>248</v>
      </c>
      <c r="D12" s="23" t="n">
        <v>0.532258064516129</v>
      </c>
      <c r="E12" s="23" t="n">
        <v>0.532258064516129</v>
      </c>
      <c r="F12" s="23" t="n">
        <v>0.545632716049383</v>
      </c>
      <c r="G12" s="23" t="n">
        <v>0.640979689366786</v>
      </c>
      <c r="H12" s="22" t="s">
        <v>156</v>
      </c>
    </row>
    <row r="13" customFormat="false" ht="15" hidden="false" customHeight="true" outlineLevel="0" collapsed="false">
      <c r="A13" s="22" t="s">
        <v>169</v>
      </c>
      <c r="B13" s="22" t="s">
        <v>170</v>
      </c>
      <c r="C13" s="22" t="n">
        <v>474</v>
      </c>
      <c r="D13" s="23" t="n">
        <v>0.654008438818565</v>
      </c>
      <c r="E13" s="23" t="n">
        <v>0.654008438818565</v>
      </c>
      <c r="F13" s="23" t="n">
        <v>0.637718366305446</v>
      </c>
      <c r="G13" s="23" t="n">
        <v>0.748953974895398</v>
      </c>
      <c r="H13" s="22" t="s">
        <v>156</v>
      </c>
    </row>
    <row r="14" customFormat="false" ht="15" hidden="false" customHeight="true" outlineLevel="0" collapsed="false">
      <c r="A14" s="22" t="s">
        <v>172</v>
      </c>
      <c r="B14" s="22" t="s">
        <v>173</v>
      </c>
      <c r="C14" s="22" t="n">
        <v>505</v>
      </c>
      <c r="D14" s="23" t="n">
        <v>0.57029702970297</v>
      </c>
      <c r="E14" s="23" t="n">
        <v>0.57029702970297</v>
      </c>
      <c r="F14" s="23" t="n">
        <v>0.577367589278909</v>
      </c>
      <c r="G14" s="23" t="n">
        <v>0.666785206258891</v>
      </c>
      <c r="H14" s="22" t="s">
        <v>156</v>
      </c>
    </row>
    <row r="15" customFormat="false" ht="15" hidden="false" customHeight="true" outlineLevel="0" collapsed="false">
      <c r="A15" s="22" t="s">
        <v>175</v>
      </c>
      <c r="B15" s="22" t="s">
        <v>176</v>
      </c>
      <c r="C15" s="22" t="n">
        <v>256</v>
      </c>
      <c r="D15" s="23" t="n">
        <v>0.8125</v>
      </c>
      <c r="E15" s="23" t="n">
        <v>0.8125</v>
      </c>
      <c r="F15" s="23" t="n">
        <v>0.809750597371565</v>
      </c>
      <c r="G15" s="23" t="n">
        <v>0.745557924662402</v>
      </c>
      <c r="H15" s="22" t="s">
        <v>156</v>
      </c>
    </row>
    <row r="16" customFormat="false" ht="15" hidden="false" customHeight="true" outlineLevel="0" collapsed="false">
      <c r="A16" s="22" t="s">
        <v>179</v>
      </c>
      <c r="B16" s="22" t="s">
        <v>180</v>
      </c>
      <c r="C16" s="22" t="n">
        <v>240</v>
      </c>
      <c r="D16" s="23" t="n">
        <v>0.7875</v>
      </c>
      <c r="E16" s="23" t="n">
        <v>0.7875</v>
      </c>
      <c r="F16" s="23" t="n">
        <v>0.797311292270531</v>
      </c>
      <c r="G16" s="23" t="n">
        <v>0.846524064171123</v>
      </c>
      <c r="H16" s="22" t="s">
        <v>156</v>
      </c>
    </row>
    <row r="17" customFormat="false" ht="15" hidden="false" customHeight="true" outlineLevel="0" collapsed="false">
      <c r="A17" s="22" t="s">
        <v>181</v>
      </c>
      <c r="B17" s="22" t="s">
        <v>182</v>
      </c>
      <c r="C17" s="22" t="n">
        <v>115</v>
      </c>
      <c r="D17" s="23" t="n">
        <v>0.869565217391304</v>
      </c>
      <c r="E17" s="23" t="n">
        <v>0.869565217391304</v>
      </c>
      <c r="F17" s="23" t="n">
        <v>0.874346053979921</v>
      </c>
      <c r="G17" s="23" t="n">
        <v>0.749253731343284</v>
      </c>
      <c r="H17" s="22" t="s">
        <v>156</v>
      </c>
    </row>
    <row r="18" customFormat="false" ht="15" hidden="false" customHeight="true" outlineLevel="0" collapsed="false">
      <c r="A18" s="19" t="s">
        <v>183</v>
      </c>
      <c r="B18" s="19" t="s">
        <v>184</v>
      </c>
      <c r="C18" s="19"/>
      <c r="D18" s="20"/>
      <c r="E18" s="20"/>
      <c r="F18" s="20"/>
      <c r="G18" s="20" t="n">
        <v>0.734042553191489</v>
      </c>
      <c r="H18" s="19" t="s">
        <v>147</v>
      </c>
    </row>
    <row r="19" customFormat="false" ht="15" hidden="false" customHeight="true" outlineLevel="0" collapsed="false">
      <c r="A19" s="19" t="s">
        <v>185</v>
      </c>
      <c r="B19" s="19" t="s">
        <v>186</v>
      </c>
      <c r="C19" s="19"/>
      <c r="D19" s="20"/>
      <c r="E19" s="20"/>
      <c r="F19" s="20"/>
      <c r="G19" s="20" t="n">
        <v>0.657894736842105</v>
      </c>
      <c r="H19" s="19" t="s">
        <v>147</v>
      </c>
    </row>
    <row r="20" customFormat="false" ht="15" hidden="false" customHeight="true" outlineLevel="0" collapsed="false">
      <c r="A20" s="22" t="s">
        <v>187</v>
      </c>
      <c r="B20" s="22" t="s">
        <v>188</v>
      </c>
      <c r="C20" s="22" t="n">
        <v>254</v>
      </c>
      <c r="D20" s="23" t="n">
        <v>0.724409448818898</v>
      </c>
      <c r="E20" s="23" t="n">
        <v>0.724409448818898</v>
      </c>
      <c r="F20" s="23" t="n">
        <v>0.70742494392851</v>
      </c>
      <c r="G20" s="23" t="n">
        <v>0.703399765533411</v>
      </c>
      <c r="H20" s="22" t="s">
        <v>156</v>
      </c>
    </row>
    <row r="21" customFormat="false" ht="15" hidden="false" customHeight="true" outlineLevel="0" collapsed="false">
      <c r="A21" s="22" t="s">
        <v>189</v>
      </c>
      <c r="B21" s="22" t="s">
        <v>190</v>
      </c>
      <c r="C21" s="22" t="n">
        <v>82</v>
      </c>
      <c r="D21" s="23" t="n">
        <v>0.707317073170732</v>
      </c>
      <c r="E21" s="23" t="n">
        <v>0.707317073170732</v>
      </c>
      <c r="F21" s="23" t="n">
        <v>0.723673058967177</v>
      </c>
      <c r="G21" s="23" t="n">
        <v>0.678571428571429</v>
      </c>
      <c r="H21" s="22" t="s">
        <v>156</v>
      </c>
    </row>
    <row r="22" customFormat="false" ht="15" hidden="false" customHeight="true" outlineLevel="0" collapsed="false">
      <c r="A22" s="19" t="s">
        <v>192</v>
      </c>
      <c r="B22" s="19" t="s">
        <v>193</v>
      </c>
      <c r="C22" s="19"/>
      <c r="D22" s="20"/>
      <c r="E22" s="20"/>
      <c r="F22" s="20"/>
      <c r="G22" s="20" t="n">
        <v>0.902</v>
      </c>
      <c r="H22" s="19" t="s">
        <v>147</v>
      </c>
    </row>
    <row r="23" customFormat="false" ht="15" hidden="false" customHeight="true" outlineLevel="0" collapsed="false">
      <c r="A23" s="22" t="s">
        <v>194</v>
      </c>
      <c r="B23" s="22" t="s">
        <v>195</v>
      </c>
      <c r="C23" s="22" t="n">
        <v>428</v>
      </c>
      <c r="D23" s="23" t="n">
        <v>0.733644859813084</v>
      </c>
      <c r="E23" s="23" t="n">
        <v>0.733644859813084</v>
      </c>
      <c r="F23" s="23" t="n">
        <v>0.741871558097882</v>
      </c>
      <c r="G23" s="23" t="n">
        <v>0.670917116233448</v>
      </c>
      <c r="H23" s="22" t="s">
        <v>156</v>
      </c>
    </row>
    <row r="24" customFormat="false" ht="15" hidden="false" customHeight="true" outlineLevel="0" collapsed="false">
      <c r="A24" s="22" t="s">
        <v>197</v>
      </c>
      <c r="B24" s="22" t="s">
        <v>198</v>
      </c>
      <c r="C24" s="22" t="n">
        <v>566</v>
      </c>
      <c r="D24" s="23" t="n">
        <v>0.678445229681979</v>
      </c>
      <c r="E24" s="23" t="n">
        <v>0.678445229681979</v>
      </c>
      <c r="F24" s="23" t="n">
        <v>0.678787774581515</v>
      </c>
      <c r="G24" s="23" t="n">
        <v>0.641376757957069</v>
      </c>
      <c r="H24" s="22" t="s">
        <v>156</v>
      </c>
    </row>
    <row r="25" customFormat="false" ht="15" hidden="false" customHeight="true" outlineLevel="0" collapsed="false">
      <c r="A25" s="22" t="s">
        <v>200</v>
      </c>
      <c r="B25" s="22" t="s">
        <v>201</v>
      </c>
      <c r="C25" s="22" t="n">
        <v>68</v>
      </c>
      <c r="D25" s="23" t="n">
        <v>0.705882352941177</v>
      </c>
      <c r="E25" s="23" t="n">
        <v>0.705882352941177</v>
      </c>
      <c r="F25" s="23" t="n">
        <v>0.707575757575758</v>
      </c>
      <c r="G25" s="23" t="n">
        <v>0.652317880794702</v>
      </c>
      <c r="H25" s="22" t="s">
        <v>156</v>
      </c>
    </row>
    <row r="26" customFormat="false" ht="15" hidden="false" customHeight="true" outlineLevel="0" collapsed="false">
      <c r="A26" s="19" t="s">
        <v>203</v>
      </c>
      <c r="B26" s="19" t="s">
        <v>204</v>
      </c>
      <c r="C26" s="19"/>
      <c r="D26" s="20"/>
      <c r="E26" s="20"/>
      <c r="F26" s="20"/>
      <c r="G26" s="20" t="n">
        <v>0.75</v>
      </c>
      <c r="H26" s="19" t="s">
        <v>147</v>
      </c>
    </row>
    <row r="27" customFormat="false" ht="15" hidden="false" customHeight="true" outlineLevel="0" collapsed="false">
      <c r="A27" s="22" t="s">
        <v>205</v>
      </c>
      <c r="B27" s="22" t="s">
        <v>206</v>
      </c>
      <c r="C27" s="22" t="n">
        <v>49</v>
      </c>
      <c r="D27" s="23" t="n">
        <v>0.428571428571429</v>
      </c>
      <c r="E27" s="23" t="n">
        <v>0.428571428571429</v>
      </c>
      <c r="F27" s="23" t="n">
        <v>0.426767676767677</v>
      </c>
      <c r="G27" s="23" t="n">
        <v>0.7</v>
      </c>
      <c r="H27" s="22" t="s">
        <v>156</v>
      </c>
    </row>
    <row r="28" customFormat="false" ht="15" hidden="false" customHeight="true" outlineLevel="0" collapsed="false">
      <c r="A28" s="22" t="s">
        <v>207</v>
      </c>
      <c r="B28" s="22" t="s">
        <v>208</v>
      </c>
      <c r="C28" s="22" t="n">
        <v>77</v>
      </c>
      <c r="D28" s="23" t="n">
        <v>0.61038961038961</v>
      </c>
      <c r="E28" s="23" t="n">
        <v>0.61038961038961</v>
      </c>
      <c r="F28" s="23" t="n">
        <v>0.681356209150327</v>
      </c>
      <c r="G28" s="23" t="n">
        <v>0.719806763285024</v>
      </c>
      <c r="H28" s="22" t="s">
        <v>156</v>
      </c>
    </row>
    <row r="29" customFormat="false" ht="15" hidden="false" customHeight="true" outlineLevel="0" collapsed="false">
      <c r="A29" s="22" t="s">
        <v>209</v>
      </c>
      <c r="B29" s="22" t="s">
        <v>210</v>
      </c>
      <c r="C29" s="22" t="n">
        <v>145</v>
      </c>
      <c r="D29" s="23" t="n">
        <v>0.83448275862069</v>
      </c>
      <c r="E29" s="23" t="n">
        <v>0.83448275862069</v>
      </c>
      <c r="F29" s="23" t="n">
        <v>0.851613636907755</v>
      </c>
      <c r="G29" s="23" t="n">
        <v>0.701273261508325</v>
      </c>
      <c r="H29" s="22" t="s">
        <v>156</v>
      </c>
    </row>
    <row r="30" customFormat="false" ht="15" hidden="false" customHeight="true" outlineLevel="0" collapsed="false">
      <c r="A30" s="22" t="s">
        <v>212</v>
      </c>
      <c r="B30" s="22" t="s">
        <v>213</v>
      </c>
      <c r="C30" s="22" t="n">
        <v>218</v>
      </c>
      <c r="D30" s="23" t="n">
        <v>0.555045871559633</v>
      </c>
      <c r="E30" s="23" t="n">
        <v>0.555045871559633</v>
      </c>
      <c r="F30" s="23" t="n">
        <v>0.609664477531325</v>
      </c>
      <c r="G30" s="23" t="n">
        <v>0.653521126760563</v>
      </c>
      <c r="H30" s="22" t="s">
        <v>156</v>
      </c>
    </row>
    <row r="31" customFormat="false" ht="15" hidden="false" customHeight="true" outlineLevel="0" collapsed="false">
      <c r="A31" s="19" t="s">
        <v>215</v>
      </c>
      <c r="B31" s="19" t="s">
        <v>216</v>
      </c>
      <c r="C31" s="19"/>
      <c r="D31" s="20"/>
      <c r="E31" s="20"/>
      <c r="F31" s="20"/>
      <c r="G31" s="20" t="n">
        <v>0.902</v>
      </c>
      <c r="H31" s="19" t="s">
        <v>147</v>
      </c>
    </row>
    <row r="32" customFormat="false" ht="15" hidden="false" customHeight="true" outlineLevel="0" collapsed="false">
      <c r="A32" s="25" t="s">
        <v>218</v>
      </c>
      <c r="B32" s="25" t="s">
        <v>219</v>
      </c>
      <c r="C32" s="25" t="n">
        <v>24</v>
      </c>
      <c r="D32" s="26" t="n">
        <v>0.791666666666667</v>
      </c>
      <c r="E32" s="26" t="n">
        <v>0.791666666666667</v>
      </c>
      <c r="F32" s="26" t="n">
        <v>0.791666666666667</v>
      </c>
      <c r="G32" s="26" t="n">
        <v>0.767195767195767</v>
      </c>
      <c r="H32" s="25" t="s">
        <v>220</v>
      </c>
    </row>
    <row r="33" customFormat="false" ht="15" hidden="false" customHeight="true" outlineLevel="0" collapsed="false">
      <c r="A33" s="22" t="s">
        <v>221</v>
      </c>
      <c r="B33" s="22" t="s">
        <v>222</v>
      </c>
      <c r="C33" s="22" t="n">
        <v>262</v>
      </c>
      <c r="D33" s="23" t="n">
        <v>0.744274809160305</v>
      </c>
      <c r="E33" s="23" t="n">
        <v>0.744274809160305</v>
      </c>
      <c r="F33" s="23" t="n">
        <v>0.765227515098958</v>
      </c>
      <c r="G33" s="23" t="n">
        <v>0.701606086221471</v>
      </c>
      <c r="H33" s="22" t="s">
        <v>156</v>
      </c>
    </row>
    <row r="34" customFormat="false" ht="15" hidden="false" customHeight="true" outlineLevel="0" collapsed="false">
      <c r="A34" s="22" t="s">
        <v>224</v>
      </c>
      <c r="B34" s="22" t="s">
        <v>225</v>
      </c>
      <c r="C34" s="22" t="n">
        <v>103</v>
      </c>
      <c r="D34" s="23" t="n">
        <v>0.699029126213592</v>
      </c>
      <c r="E34" s="23" t="n">
        <v>0.699029126213592</v>
      </c>
      <c r="F34" s="23" t="n">
        <v>0.676616479925304</v>
      </c>
      <c r="G34" s="23" t="n">
        <v>0.729083665338645</v>
      </c>
      <c r="H34" s="22" t="s">
        <v>156</v>
      </c>
    </row>
    <row r="35" customFormat="false" ht="15" hidden="false" customHeight="true" outlineLevel="0" collapsed="false">
      <c r="A35" s="22" t="s">
        <v>226</v>
      </c>
      <c r="B35" s="22" t="s">
        <v>227</v>
      </c>
      <c r="C35" s="22" t="n">
        <v>91</v>
      </c>
      <c r="D35" s="23" t="n">
        <v>0.593406593406593</v>
      </c>
      <c r="E35" s="23" t="n">
        <v>0.593406593406593</v>
      </c>
      <c r="F35" s="23" t="n">
        <v>0.579545454545455</v>
      </c>
      <c r="G35" s="23" t="n">
        <v>0.73257698541329</v>
      </c>
      <c r="H35" s="22" t="s">
        <v>156</v>
      </c>
    </row>
    <row r="36" customFormat="false" ht="15" hidden="false" customHeight="true" outlineLevel="0" collapsed="false">
      <c r="A36" s="22" t="s">
        <v>228</v>
      </c>
      <c r="B36" s="22" t="s">
        <v>229</v>
      </c>
      <c r="C36" s="22" t="n">
        <v>82</v>
      </c>
      <c r="D36" s="23" t="n">
        <v>0.658536585365854</v>
      </c>
      <c r="E36" s="23" t="n">
        <v>0.658536585365854</v>
      </c>
      <c r="F36" s="23" t="n">
        <v>0.694237860904528</v>
      </c>
      <c r="G36" s="23" t="n">
        <v>0.726153846153846</v>
      </c>
      <c r="H36" s="22" t="s">
        <v>156</v>
      </c>
    </row>
    <row r="37" customFormat="false" ht="15" hidden="false" customHeight="true" outlineLevel="0" collapsed="false">
      <c r="A37" s="22" t="s">
        <v>230</v>
      </c>
      <c r="B37" s="22" t="s">
        <v>231</v>
      </c>
      <c r="C37" s="22" t="n">
        <v>88</v>
      </c>
      <c r="D37" s="23" t="n">
        <v>0.818181818181818</v>
      </c>
      <c r="E37" s="23" t="n">
        <v>0.818181818181818</v>
      </c>
      <c r="F37" s="23" t="n">
        <v>0.844</v>
      </c>
      <c r="G37" s="23" t="n">
        <v>0.744954128440367</v>
      </c>
      <c r="H37" s="22" t="s">
        <v>156</v>
      </c>
    </row>
    <row r="38" customFormat="false" ht="15" hidden="false" customHeight="true" outlineLevel="0" collapsed="false">
      <c r="A38" s="25" t="s">
        <v>233</v>
      </c>
      <c r="B38" s="25" t="s">
        <v>234</v>
      </c>
      <c r="C38" s="25" t="n">
        <v>26</v>
      </c>
      <c r="D38" s="26" t="n">
        <v>0.615384615384615</v>
      </c>
      <c r="E38" s="26" t="n">
        <v>0.615384615384615</v>
      </c>
      <c r="F38" s="26" t="n">
        <v>0.607142857142857</v>
      </c>
      <c r="G38" s="26" t="n">
        <v>0.766272189349113</v>
      </c>
      <c r="H38" s="25" t="s">
        <v>220</v>
      </c>
    </row>
    <row r="39" customFormat="false" ht="15" hidden="false" customHeight="true" outlineLevel="0" collapsed="false">
      <c r="A39" s="25" t="s">
        <v>235</v>
      </c>
      <c r="B39" s="25" t="s">
        <v>236</v>
      </c>
      <c r="C39" s="25" t="n">
        <v>20</v>
      </c>
      <c r="D39" s="26" t="n">
        <v>0.75</v>
      </c>
      <c r="E39" s="26" t="n">
        <v>0.75</v>
      </c>
      <c r="F39" s="26" t="n">
        <v>0.75</v>
      </c>
      <c r="G39" s="26" t="n">
        <v>0.681081081081081</v>
      </c>
      <c r="H39" s="25" t="s">
        <v>220</v>
      </c>
    </row>
    <row r="40" customFormat="false" ht="15" hidden="false" customHeight="true" outlineLevel="0" collapsed="false">
      <c r="A40" s="22" t="s">
        <v>237</v>
      </c>
      <c r="B40" s="22" t="s">
        <v>238</v>
      </c>
      <c r="C40" s="22" t="n">
        <v>771</v>
      </c>
      <c r="D40" s="23" t="n">
        <v>0.771725032425422</v>
      </c>
      <c r="E40" s="23" t="n">
        <v>0.771725032425422</v>
      </c>
      <c r="F40" s="23" t="n">
        <v>0.746148453847942</v>
      </c>
      <c r="G40" s="23" t="n">
        <v>0.84155581747769</v>
      </c>
      <c r="H40" s="22" t="s">
        <v>156</v>
      </c>
    </row>
    <row r="41" customFormat="false" ht="15" hidden="false" customHeight="true" outlineLevel="0" collapsed="false">
      <c r="A41" s="19" t="s">
        <v>239</v>
      </c>
      <c r="B41" s="19" t="s">
        <v>240</v>
      </c>
      <c r="C41" s="19"/>
      <c r="D41" s="20"/>
      <c r="E41" s="20"/>
      <c r="F41" s="20"/>
      <c r="G41" s="20" t="n">
        <v>0.902</v>
      </c>
      <c r="H41" s="19" t="s">
        <v>147</v>
      </c>
    </row>
    <row r="42" customFormat="false" ht="15" hidden="false" customHeight="true" outlineLevel="0" collapsed="false">
      <c r="A42" s="25" t="s">
        <v>241</v>
      </c>
      <c r="B42" s="25" t="s">
        <v>242</v>
      </c>
      <c r="C42" s="25" t="n">
        <v>9</v>
      </c>
      <c r="D42" s="26" t="n">
        <v>0.444444444444444</v>
      </c>
      <c r="E42" s="26" t="n">
        <v>0.444444444444444</v>
      </c>
      <c r="F42" s="26" t="n">
        <v>0.433333333333333</v>
      </c>
      <c r="G42" s="26" t="n">
        <v>0.65625</v>
      </c>
      <c r="H42" s="25" t="s">
        <v>220</v>
      </c>
    </row>
    <row r="43" customFormat="false" ht="15" hidden="false" customHeight="true" outlineLevel="0" collapsed="false">
      <c r="A43" s="25" t="s">
        <v>244</v>
      </c>
      <c r="B43" s="25" t="s">
        <v>245</v>
      </c>
      <c r="C43" s="25" t="n">
        <v>9</v>
      </c>
      <c r="D43" s="26" t="n">
        <v>0.333333333333333</v>
      </c>
      <c r="E43" s="26" t="n">
        <v>0.333333333333333</v>
      </c>
      <c r="F43" s="26" t="n">
        <v>0.357142857142857</v>
      </c>
      <c r="G43" s="26" t="n">
        <v>0.902</v>
      </c>
      <c r="H43" s="25" t="s">
        <v>220</v>
      </c>
    </row>
    <row r="44" customFormat="false" ht="15" hidden="false" customHeight="true" outlineLevel="0" collapsed="false">
      <c r="A44" s="25" t="s">
        <v>247</v>
      </c>
      <c r="B44" s="25" t="s">
        <v>248</v>
      </c>
      <c r="C44" s="25" t="n">
        <v>19</v>
      </c>
      <c r="D44" s="26" t="n">
        <v>0.368421052631579</v>
      </c>
      <c r="E44" s="26" t="n">
        <v>0.368421052631579</v>
      </c>
      <c r="F44" s="26" t="n">
        <v>0.457142857142857</v>
      </c>
      <c r="G44" s="26" t="n">
        <v>0.6</v>
      </c>
      <c r="H44" s="25" t="s">
        <v>220</v>
      </c>
    </row>
    <row r="45" customFormat="false" ht="15" hidden="false" customHeight="true" outlineLevel="0" collapsed="false">
      <c r="A45" s="25" t="s">
        <v>250</v>
      </c>
      <c r="B45" s="25" t="s">
        <v>251</v>
      </c>
      <c r="C45" s="25" t="n">
        <v>2</v>
      </c>
      <c r="D45" s="26" t="n">
        <v>0.5</v>
      </c>
      <c r="E45" s="26" t="n">
        <v>0.5</v>
      </c>
      <c r="F45" s="26" t="n">
        <v>0.5</v>
      </c>
      <c r="G45" s="26" t="n">
        <v>0.902</v>
      </c>
      <c r="H45" s="25" t="s">
        <v>220</v>
      </c>
    </row>
    <row r="48" customFormat="false" ht="15" hidden="false" customHeight="true" outlineLevel="0" collapsed="false">
      <c r="A48" s="50" t="s">
        <v>556</v>
      </c>
      <c r="B48" s="50"/>
      <c r="C48" s="50"/>
      <c r="D48" s="50"/>
      <c r="E48" s="50"/>
      <c r="F48" s="50"/>
      <c r="G48" s="50"/>
      <c r="H48" s="50"/>
    </row>
    <row r="50" customFormat="false" ht="15" hidden="false" customHeight="true" outlineLevel="0" collapsed="false">
      <c r="A50" s="84" t="s">
        <v>557</v>
      </c>
      <c r="B50" s="84"/>
      <c r="C50" s="84"/>
      <c r="D50" s="84"/>
      <c r="E50" s="84"/>
      <c r="F50" s="84"/>
      <c r="G50" s="84"/>
      <c r="H50" s="84"/>
    </row>
    <row r="51" customFormat="false" ht="75" hidden="false" customHeight="true" outlineLevel="0" collapsed="false">
      <c r="A51" s="85" t="s">
        <v>558</v>
      </c>
      <c r="B51" s="85"/>
      <c r="C51" s="85"/>
      <c r="D51" s="85"/>
      <c r="E51" s="85"/>
      <c r="F51" s="85"/>
      <c r="G51" s="85"/>
      <c r="H51" s="85"/>
    </row>
    <row r="53" customFormat="false" ht="15" hidden="false" customHeight="true" outlineLevel="0" collapsed="false">
      <c r="A53" s="84" t="s">
        <v>559</v>
      </c>
      <c r="B53" s="84"/>
      <c r="C53" s="84"/>
      <c r="D53" s="84"/>
      <c r="E53" s="84"/>
      <c r="F53" s="84"/>
      <c r="G53" s="84"/>
      <c r="H53" s="84"/>
    </row>
    <row r="54" customFormat="false" ht="75" hidden="false" customHeight="true" outlineLevel="0" collapsed="false">
      <c r="A54" s="85" t="s">
        <v>560</v>
      </c>
      <c r="B54" s="85"/>
      <c r="C54" s="85"/>
      <c r="D54" s="85"/>
      <c r="E54" s="85"/>
      <c r="F54" s="85"/>
      <c r="G54" s="85"/>
      <c r="H54" s="85"/>
    </row>
    <row r="56" customFormat="false" ht="15" hidden="false" customHeight="true" outlineLevel="0" collapsed="false">
      <c r="A56" s="84" t="s">
        <v>561</v>
      </c>
      <c r="B56" s="84"/>
      <c r="C56" s="84"/>
      <c r="D56" s="84"/>
      <c r="E56" s="84"/>
      <c r="F56" s="84"/>
      <c r="G56" s="84"/>
      <c r="H56" s="84"/>
    </row>
    <row r="57" customFormat="false" ht="75" hidden="false" customHeight="true" outlineLevel="0" collapsed="false">
      <c r="A57" s="85" t="s">
        <v>562</v>
      </c>
      <c r="B57" s="85"/>
      <c r="C57" s="85"/>
      <c r="D57" s="85"/>
      <c r="E57" s="85"/>
      <c r="F57" s="85"/>
      <c r="G57" s="85"/>
      <c r="H57" s="85"/>
    </row>
    <row r="59" customFormat="false" ht="15" hidden="false" customHeight="true" outlineLevel="0" collapsed="false">
      <c r="A59" s="84" t="s">
        <v>563</v>
      </c>
      <c r="B59" s="84"/>
      <c r="C59" s="84"/>
      <c r="D59" s="84"/>
      <c r="E59" s="84"/>
      <c r="F59" s="84"/>
      <c r="G59" s="84"/>
      <c r="H59" s="84"/>
    </row>
    <row r="60" customFormat="false" ht="75" hidden="false" customHeight="true" outlineLevel="0" collapsed="false">
      <c r="A60" s="85" t="s">
        <v>564</v>
      </c>
      <c r="B60" s="85"/>
      <c r="C60" s="85"/>
      <c r="D60" s="85"/>
      <c r="E60" s="85"/>
      <c r="F60" s="85"/>
      <c r="G60" s="85"/>
      <c r="H60" s="85"/>
    </row>
    <row r="62" customFormat="false" ht="15" hidden="false" customHeight="true" outlineLevel="0" collapsed="false">
      <c r="A62" s="84" t="s">
        <v>565</v>
      </c>
      <c r="B62" s="84"/>
      <c r="C62" s="84"/>
      <c r="D62" s="84"/>
      <c r="E62" s="84"/>
      <c r="F62" s="84"/>
      <c r="G62" s="84"/>
      <c r="H62" s="84"/>
    </row>
    <row r="63" customFormat="false" ht="75" hidden="false" customHeight="true" outlineLevel="0" collapsed="false">
      <c r="A63" s="85" t="s">
        <v>566</v>
      </c>
      <c r="B63" s="85"/>
      <c r="C63" s="85"/>
      <c r="D63" s="85"/>
      <c r="E63" s="85"/>
      <c r="F63" s="85"/>
      <c r="G63" s="85"/>
      <c r="H63" s="85"/>
    </row>
    <row r="65" customFormat="false" ht="15" hidden="false" customHeight="true" outlineLevel="0" collapsed="false">
      <c r="A65" s="84" t="s">
        <v>567</v>
      </c>
      <c r="B65" s="84"/>
      <c r="C65" s="84"/>
      <c r="D65" s="84"/>
      <c r="E65" s="84"/>
      <c r="F65" s="84"/>
      <c r="G65" s="84"/>
      <c r="H65" s="84"/>
    </row>
    <row r="66" customFormat="false" ht="75" hidden="false" customHeight="true" outlineLevel="0" collapsed="false">
      <c r="A66" s="85" t="s">
        <v>568</v>
      </c>
      <c r="B66" s="85"/>
      <c r="C66" s="85"/>
      <c r="D66" s="85"/>
      <c r="E66" s="85"/>
      <c r="F66" s="85"/>
      <c r="G66" s="85"/>
      <c r="H66" s="85"/>
    </row>
  </sheetData>
  <mergeCells count="15">
    <mergeCell ref="A1:H1"/>
    <mergeCell ref="A2:H2"/>
    <mergeCell ref="A48:H48"/>
    <mergeCell ref="A50:H50"/>
    <mergeCell ref="A51:H51"/>
    <mergeCell ref="A53:H53"/>
    <mergeCell ref="A54:H54"/>
    <mergeCell ref="A56:H56"/>
    <mergeCell ref="A57:H57"/>
    <mergeCell ref="A59:H59"/>
    <mergeCell ref="A60:H60"/>
    <mergeCell ref="A62:H62"/>
    <mergeCell ref="A63:H63"/>
    <mergeCell ref="A65:H65"/>
    <mergeCell ref="A66:H6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46"/>
    <col collapsed="false" customWidth="true" hidden="false" outlineLevel="0" max="3" min="2" style="0" width="13"/>
    <col collapsed="false" customWidth="true" hidden="false" outlineLevel="0" max="4" min="4" style="0" width="12"/>
    <col collapsed="false" customWidth="true" hidden="false" outlineLevel="0" max="5" min="5" style="0" width="15"/>
    <col collapsed="false" customWidth="true" hidden="false" outlineLevel="0" max="6" min="6" style="0" width="18"/>
    <col collapsed="false" customWidth="true" hidden="false" outlineLevel="0" max="7" min="7" style="0" width="16"/>
    <col collapsed="false" customWidth="true" hidden="false" outlineLevel="0" max="8" min="8" style="0" width="15"/>
    <col collapsed="false" customWidth="true" hidden="false" outlineLevel="0" max="9" min="9" style="0" width="14"/>
  </cols>
  <sheetData>
    <row r="1" customFormat="false" ht="19.5" hidden="false" customHeight="true" outlineLevel="0" collapsed="false">
      <c r="A1" s="46" t="s">
        <v>569</v>
      </c>
      <c r="B1" s="46"/>
      <c r="C1" s="46"/>
      <c r="D1" s="46"/>
      <c r="E1" s="46"/>
      <c r="F1" s="46"/>
      <c r="G1" s="46"/>
      <c r="H1" s="46"/>
      <c r="I1" s="46"/>
    </row>
    <row r="2" customFormat="false" ht="61.5" hidden="false" customHeight="true" outlineLevel="0" collapsed="false">
      <c r="A2" s="47" t="s">
        <v>570</v>
      </c>
      <c r="B2" s="47"/>
      <c r="C2" s="47"/>
      <c r="D2" s="47"/>
      <c r="E2" s="47"/>
      <c r="F2" s="47"/>
      <c r="G2" s="47"/>
      <c r="H2" s="47"/>
      <c r="I2" s="47"/>
    </row>
    <row r="4" customFormat="false" ht="33.75" hidden="false" customHeight="true" outlineLevel="0" collapsed="false">
      <c r="A4" s="86" t="s">
        <v>379</v>
      </c>
      <c r="B4" s="86" t="s">
        <v>571</v>
      </c>
      <c r="C4" s="86" t="s">
        <v>572</v>
      </c>
      <c r="D4" s="86" t="s">
        <v>573</v>
      </c>
      <c r="E4" s="86" t="s">
        <v>574</v>
      </c>
      <c r="F4" s="86" t="s">
        <v>575</v>
      </c>
      <c r="G4" s="86" t="s">
        <v>576</v>
      </c>
      <c r="H4" s="86" t="s">
        <v>577</v>
      </c>
      <c r="I4" s="86" t="s">
        <v>578</v>
      </c>
    </row>
    <row r="5" customFormat="false" ht="15" hidden="false" customHeight="true" outlineLevel="0" collapsed="false">
      <c r="A5" s="19" t="s">
        <v>271</v>
      </c>
      <c r="B5" s="87" t="n">
        <v>12</v>
      </c>
      <c r="C5" s="88" t="n">
        <v>6900</v>
      </c>
      <c r="D5" s="89" t="n">
        <v>14.9</v>
      </c>
      <c r="E5" s="88" t="n">
        <v>102672</v>
      </c>
      <c r="F5" s="87" t="s">
        <v>147</v>
      </c>
      <c r="G5" s="87" t="s">
        <v>147</v>
      </c>
      <c r="H5" s="87" t="s">
        <v>147</v>
      </c>
      <c r="I5" s="87" t="s">
        <v>147</v>
      </c>
    </row>
    <row r="6" customFormat="false" ht="15" hidden="false" customHeight="true" outlineLevel="0" collapsed="false">
      <c r="A6" s="19" t="s">
        <v>273</v>
      </c>
      <c r="B6" s="87" t="n">
        <v>54</v>
      </c>
      <c r="C6" s="88" t="n">
        <v>30618</v>
      </c>
      <c r="D6" s="89" t="n">
        <v>0</v>
      </c>
      <c r="E6" s="88" t="n">
        <v>0</v>
      </c>
      <c r="F6" s="87" t="s">
        <v>147</v>
      </c>
      <c r="G6" s="87" t="s">
        <v>147</v>
      </c>
      <c r="H6" s="87" t="s">
        <v>147</v>
      </c>
      <c r="I6" s="87" t="s">
        <v>147</v>
      </c>
    </row>
    <row r="7" customFormat="false" ht="15" hidden="false" customHeight="true" outlineLevel="0" collapsed="false">
      <c r="A7" s="22" t="s">
        <v>274</v>
      </c>
      <c r="B7" s="32" t="n">
        <v>36</v>
      </c>
      <c r="C7" s="90" t="n">
        <v>88020</v>
      </c>
      <c r="D7" s="91" t="n">
        <v>5.6</v>
      </c>
      <c r="E7" s="90" t="n">
        <v>491152</v>
      </c>
      <c r="F7" s="92" t="n">
        <v>34.89</v>
      </c>
      <c r="G7" s="33" t="n">
        <v>0.969246031746032</v>
      </c>
      <c r="H7" s="93" t="n">
        <v>-15105</v>
      </c>
      <c r="I7" s="90" t="n">
        <v>476047</v>
      </c>
    </row>
    <row r="8" customFormat="false" ht="15" hidden="false" customHeight="true" outlineLevel="0" collapsed="false">
      <c r="A8" s="19" t="s">
        <v>291</v>
      </c>
      <c r="B8" s="87" t="n">
        <v>42</v>
      </c>
      <c r="C8" s="88" t="n">
        <v>24150</v>
      </c>
      <c r="D8" s="89" t="n">
        <v>10.2</v>
      </c>
      <c r="E8" s="88" t="n">
        <v>247054</v>
      </c>
      <c r="F8" s="87" t="s">
        <v>147</v>
      </c>
      <c r="G8" s="87" t="s">
        <v>147</v>
      </c>
      <c r="H8" s="87" t="s">
        <v>147</v>
      </c>
      <c r="I8" s="87" t="s">
        <v>147</v>
      </c>
    </row>
    <row r="9" customFormat="false" ht="15" hidden="false" customHeight="true" outlineLevel="0" collapsed="false">
      <c r="A9" s="22" t="s">
        <v>292</v>
      </c>
      <c r="B9" s="32" t="n">
        <v>40</v>
      </c>
      <c r="C9" s="90" t="n">
        <v>40600</v>
      </c>
      <c r="D9" s="91" t="n">
        <v>26</v>
      </c>
      <c r="E9" s="90" t="n">
        <v>1057224</v>
      </c>
      <c r="F9" s="92" t="n">
        <v>25.06</v>
      </c>
      <c r="G9" s="33" t="n">
        <v>0.626378676470588</v>
      </c>
      <c r="H9" s="93" t="n">
        <v>-395001</v>
      </c>
      <c r="I9" s="90" t="n">
        <v>662223</v>
      </c>
    </row>
    <row r="10" customFormat="false" ht="15" hidden="false" customHeight="true" outlineLevel="0" collapsed="false">
      <c r="A10" s="22" t="s">
        <v>293</v>
      </c>
      <c r="B10" s="32" t="n">
        <v>33</v>
      </c>
      <c r="C10" s="90" t="n">
        <v>27885</v>
      </c>
      <c r="D10" s="91" t="n">
        <v>9.3</v>
      </c>
      <c r="E10" s="90" t="n">
        <v>259330</v>
      </c>
      <c r="F10" s="92" t="n">
        <v>23.51</v>
      </c>
      <c r="G10" s="33" t="n">
        <v>0.712328767123288</v>
      </c>
      <c r="H10" s="93" t="n">
        <v>-74602</v>
      </c>
      <c r="I10" s="90" t="n">
        <v>184729</v>
      </c>
    </row>
    <row r="11" customFormat="false" ht="15" hidden="false" customHeight="true" outlineLevel="0" collapsed="false">
      <c r="A11" s="22" t="s">
        <v>294</v>
      </c>
      <c r="B11" s="32" t="n">
        <v>30</v>
      </c>
      <c r="C11" s="90" t="n">
        <v>30450</v>
      </c>
      <c r="D11" s="91" t="n">
        <v>24.2</v>
      </c>
      <c r="E11" s="90" t="n">
        <v>736281</v>
      </c>
      <c r="F11" s="92" t="n">
        <v>24.86</v>
      </c>
      <c r="G11" s="33" t="n">
        <v>0.82875</v>
      </c>
      <c r="H11" s="93" t="n">
        <v>-126088</v>
      </c>
      <c r="I11" s="90" t="n">
        <v>610193</v>
      </c>
    </row>
    <row r="12" customFormat="false" ht="15" hidden="false" customHeight="true" outlineLevel="0" collapsed="false">
      <c r="A12" s="22" t="s">
        <v>295</v>
      </c>
      <c r="B12" s="32" t="n">
        <v>33</v>
      </c>
      <c r="C12" s="90" t="n">
        <v>27885</v>
      </c>
      <c r="D12" s="91" t="n">
        <v>13.9</v>
      </c>
      <c r="E12" s="90" t="n">
        <v>388996</v>
      </c>
      <c r="F12" s="92" t="n">
        <v>22.9</v>
      </c>
      <c r="G12" s="33" t="n">
        <v>0.694037145650049</v>
      </c>
      <c r="H12" s="93" t="n">
        <v>-119018</v>
      </c>
      <c r="I12" s="90" t="n">
        <v>269978</v>
      </c>
    </row>
    <row r="13" customFormat="false" ht="15" hidden="false" customHeight="true" outlineLevel="0" collapsed="false">
      <c r="A13" s="22" t="s">
        <v>296</v>
      </c>
      <c r="B13" s="32" t="n">
        <v>33</v>
      </c>
      <c r="C13" s="90" t="n">
        <v>27885</v>
      </c>
      <c r="D13" s="91" t="n">
        <v>50.2</v>
      </c>
      <c r="E13" s="90" t="n">
        <v>1400385</v>
      </c>
      <c r="F13" s="92" t="n">
        <v>23.71</v>
      </c>
      <c r="G13" s="33" t="n">
        <v>0.718386395601586</v>
      </c>
      <c r="H13" s="93" t="n">
        <v>-394367</v>
      </c>
      <c r="I13" s="90" t="n">
        <v>1006017</v>
      </c>
    </row>
    <row r="14" customFormat="false" ht="15" hidden="false" customHeight="true" outlineLevel="0" collapsed="false">
      <c r="A14" s="22" t="s">
        <v>297</v>
      </c>
      <c r="B14" s="32" t="n">
        <v>30</v>
      </c>
      <c r="C14" s="90" t="n">
        <v>25350</v>
      </c>
      <c r="D14" s="91" t="n">
        <v>41.8</v>
      </c>
      <c r="E14" s="90" t="n">
        <v>1060897</v>
      </c>
      <c r="F14" s="92" t="n">
        <v>20.89</v>
      </c>
      <c r="G14" s="33" t="n">
        <v>0.696303630363036</v>
      </c>
      <c r="H14" s="93" t="n">
        <v>-322191</v>
      </c>
      <c r="I14" s="90" t="n">
        <v>738707</v>
      </c>
    </row>
    <row r="15" customFormat="false" ht="15" hidden="false" customHeight="true" outlineLevel="0" collapsed="false">
      <c r="A15" s="22" t="s">
        <v>298</v>
      </c>
      <c r="B15" s="32" t="n">
        <v>33</v>
      </c>
      <c r="C15" s="90" t="n">
        <v>27885</v>
      </c>
      <c r="D15" s="91" t="n">
        <v>11.2</v>
      </c>
      <c r="E15" s="90" t="n">
        <v>311197</v>
      </c>
      <c r="F15" s="92" t="n">
        <v>27.43</v>
      </c>
      <c r="G15" s="33" t="n">
        <v>0.831321022727273</v>
      </c>
      <c r="H15" s="93" t="n">
        <v>-52492</v>
      </c>
      <c r="I15" s="90" t="n">
        <v>258704</v>
      </c>
    </row>
    <row r="16" customFormat="false" ht="15" hidden="false" customHeight="true" outlineLevel="0" collapsed="false">
      <c r="A16" s="22" t="s">
        <v>299</v>
      </c>
      <c r="B16" s="32" t="n">
        <v>60</v>
      </c>
      <c r="C16" s="90" t="n">
        <v>50700</v>
      </c>
      <c r="D16" s="91" t="n">
        <v>43.7</v>
      </c>
      <c r="E16" s="90" t="n">
        <v>2216097</v>
      </c>
      <c r="F16" s="92" t="n">
        <v>46.27</v>
      </c>
      <c r="G16" s="33" t="n">
        <v>0.771111111111111</v>
      </c>
      <c r="H16" s="93" t="n">
        <v>-507240</v>
      </c>
      <c r="I16" s="90" t="n">
        <v>1708857</v>
      </c>
    </row>
    <row r="17" customFormat="false" ht="15" hidden="false" customHeight="true" outlineLevel="0" collapsed="false">
      <c r="A17" s="22" t="s">
        <v>300</v>
      </c>
      <c r="B17" s="32" t="n">
        <v>32</v>
      </c>
      <c r="C17" s="90" t="n">
        <v>32480</v>
      </c>
      <c r="D17" s="91" t="n">
        <v>19.5</v>
      </c>
      <c r="E17" s="90" t="n">
        <v>634334</v>
      </c>
      <c r="F17" s="92" t="n">
        <v>29.07</v>
      </c>
      <c r="G17" s="33" t="n">
        <v>0.908423913043478</v>
      </c>
      <c r="H17" s="93" t="n">
        <v>-58090</v>
      </c>
      <c r="I17" s="90" t="n">
        <v>576245</v>
      </c>
    </row>
    <row r="18" customFormat="false" ht="15" hidden="false" customHeight="true" outlineLevel="0" collapsed="false">
      <c r="A18" s="19" t="s">
        <v>301</v>
      </c>
      <c r="B18" s="87" t="n">
        <v>30</v>
      </c>
      <c r="C18" s="88" t="n">
        <v>25350</v>
      </c>
      <c r="D18" s="89" t="n">
        <v>6.5</v>
      </c>
      <c r="E18" s="88" t="n">
        <v>165028</v>
      </c>
      <c r="F18" s="87" t="s">
        <v>147</v>
      </c>
      <c r="G18" s="87" t="s">
        <v>147</v>
      </c>
      <c r="H18" s="87" t="s">
        <v>147</v>
      </c>
      <c r="I18" s="87" t="s">
        <v>147</v>
      </c>
    </row>
    <row r="19" customFormat="false" ht="15" hidden="false" customHeight="true" outlineLevel="0" collapsed="false">
      <c r="A19" s="19" t="s">
        <v>302</v>
      </c>
      <c r="B19" s="87" t="n">
        <v>30</v>
      </c>
      <c r="C19" s="88" t="n">
        <v>30450</v>
      </c>
      <c r="D19" s="89" t="n">
        <v>5.6</v>
      </c>
      <c r="E19" s="88" t="n">
        <v>169911</v>
      </c>
      <c r="F19" s="87" t="s">
        <v>147</v>
      </c>
      <c r="G19" s="87" t="s">
        <v>147</v>
      </c>
      <c r="H19" s="87" t="s">
        <v>147</v>
      </c>
      <c r="I19" s="87" t="s">
        <v>147</v>
      </c>
    </row>
    <row r="20" customFormat="false" ht="15" hidden="false" customHeight="true" outlineLevel="0" collapsed="false">
      <c r="A20" s="22" t="s">
        <v>303</v>
      </c>
      <c r="B20" s="32" t="n">
        <v>30</v>
      </c>
      <c r="C20" s="90" t="n">
        <v>30450</v>
      </c>
      <c r="D20" s="91" t="n">
        <v>29.8</v>
      </c>
      <c r="E20" s="90" t="n">
        <v>906192</v>
      </c>
      <c r="F20" s="92" t="n">
        <v>23.97</v>
      </c>
      <c r="G20" s="33" t="n">
        <v>0.798950131233596</v>
      </c>
      <c r="H20" s="93" t="n">
        <v>-182190</v>
      </c>
      <c r="I20" s="90" t="n">
        <v>724002</v>
      </c>
    </row>
    <row r="21" customFormat="false" ht="15" hidden="false" customHeight="true" outlineLevel="0" collapsed="false">
      <c r="A21" s="22" t="s">
        <v>304</v>
      </c>
      <c r="B21" s="32" t="n">
        <v>32</v>
      </c>
      <c r="C21" s="90" t="n">
        <v>27027</v>
      </c>
      <c r="D21" s="91" t="n">
        <v>17.7</v>
      </c>
      <c r="E21" s="90" t="n">
        <v>477571</v>
      </c>
      <c r="F21" s="92" t="n">
        <v>22.99</v>
      </c>
      <c r="G21" s="33" t="n">
        <v>0.718368902439025</v>
      </c>
      <c r="H21" s="93" t="n">
        <v>-134499</v>
      </c>
      <c r="I21" s="90" t="n">
        <v>343072</v>
      </c>
    </row>
    <row r="22" customFormat="false" ht="15" hidden="false" customHeight="true" outlineLevel="0" collapsed="false">
      <c r="A22" s="19" t="s">
        <v>305</v>
      </c>
      <c r="B22" s="87" t="n">
        <v>32</v>
      </c>
      <c r="C22" s="88" t="n">
        <v>27027</v>
      </c>
      <c r="D22" s="89" t="n">
        <v>14.9</v>
      </c>
      <c r="E22" s="88" t="n">
        <v>402165</v>
      </c>
      <c r="F22" s="87" t="s">
        <v>147</v>
      </c>
      <c r="G22" s="87" t="s">
        <v>147</v>
      </c>
      <c r="H22" s="87" t="s">
        <v>147</v>
      </c>
      <c r="I22" s="87" t="s">
        <v>147</v>
      </c>
    </row>
    <row r="23" customFormat="false" ht="15" hidden="false" customHeight="true" outlineLevel="0" collapsed="false">
      <c r="A23" s="22" t="s">
        <v>306</v>
      </c>
      <c r="B23" s="32" t="n">
        <v>32</v>
      </c>
      <c r="C23" s="90" t="n">
        <v>27027</v>
      </c>
      <c r="D23" s="91" t="n">
        <v>20.5</v>
      </c>
      <c r="E23" s="90" t="n">
        <v>552977</v>
      </c>
      <c r="F23" s="92" t="n">
        <v>25.96</v>
      </c>
      <c r="G23" s="33" t="n">
        <v>0.811185747663551</v>
      </c>
      <c r="H23" s="93" t="n">
        <v>-104410</v>
      </c>
      <c r="I23" s="90" t="n">
        <v>448567</v>
      </c>
    </row>
    <row r="24" customFormat="false" ht="15" hidden="false" customHeight="true" outlineLevel="0" collapsed="false">
      <c r="A24" s="22" t="s">
        <v>307</v>
      </c>
      <c r="B24" s="32" t="n">
        <v>33</v>
      </c>
      <c r="C24" s="90" t="n">
        <v>27872</v>
      </c>
      <c r="D24" s="91" t="n">
        <v>23.2</v>
      </c>
      <c r="E24" s="90" t="n">
        <v>648019</v>
      </c>
      <c r="F24" s="92" t="n">
        <v>25.42</v>
      </c>
      <c r="G24" s="33" t="n">
        <v>0.770425099047007</v>
      </c>
      <c r="H24" s="93" t="n">
        <v>-148769</v>
      </c>
      <c r="I24" s="90" t="n">
        <v>499250</v>
      </c>
    </row>
    <row r="25" customFormat="false" ht="15" hidden="false" customHeight="true" outlineLevel="0" collapsed="false">
      <c r="A25" s="22" t="s">
        <v>308</v>
      </c>
      <c r="B25" s="32" t="n">
        <v>32</v>
      </c>
      <c r="C25" s="90" t="n">
        <v>27027</v>
      </c>
      <c r="D25" s="91" t="n">
        <v>4.6</v>
      </c>
      <c r="E25" s="90" t="n">
        <v>125676</v>
      </c>
      <c r="F25" s="92" t="n">
        <v>23.82</v>
      </c>
      <c r="G25" s="33" t="n">
        <v>0.744485294117647</v>
      </c>
      <c r="H25" s="93" t="n">
        <v>-32112</v>
      </c>
      <c r="I25" s="90" t="n">
        <v>93564</v>
      </c>
    </row>
    <row r="26" customFormat="false" ht="15" hidden="false" customHeight="true" outlineLevel="0" collapsed="false">
      <c r="A26" s="19" t="s">
        <v>309</v>
      </c>
      <c r="B26" s="87" t="n">
        <v>30</v>
      </c>
      <c r="C26" s="88" t="n">
        <v>30450</v>
      </c>
      <c r="D26" s="89" t="n">
        <v>19.5</v>
      </c>
      <c r="E26" s="88" t="n">
        <v>594688</v>
      </c>
      <c r="F26" s="87" t="s">
        <v>147</v>
      </c>
      <c r="G26" s="87" t="s">
        <v>147</v>
      </c>
      <c r="H26" s="87" t="s">
        <v>147</v>
      </c>
      <c r="I26" s="87" t="s">
        <v>147</v>
      </c>
    </row>
    <row r="27" customFormat="false" ht="15" hidden="false" customHeight="true" outlineLevel="0" collapsed="false">
      <c r="A27" s="22" t="s">
        <v>310</v>
      </c>
      <c r="B27" s="32" t="n">
        <v>30</v>
      </c>
      <c r="C27" s="90" t="n">
        <v>25350</v>
      </c>
      <c r="D27" s="91" t="n">
        <v>1.9</v>
      </c>
      <c r="E27" s="90" t="n">
        <v>47151</v>
      </c>
      <c r="F27" s="92" t="n">
        <v>13.04</v>
      </c>
      <c r="G27" s="33" t="n">
        <v>0.43469387755102</v>
      </c>
      <c r="H27" s="93" t="n">
        <v>-26655</v>
      </c>
      <c r="I27" s="90" t="n">
        <v>20496</v>
      </c>
    </row>
    <row r="28" customFormat="false" ht="15" hidden="false" customHeight="true" outlineLevel="0" collapsed="false">
      <c r="A28" s="22" t="s">
        <v>311</v>
      </c>
      <c r="B28" s="32" t="n">
        <v>32</v>
      </c>
      <c r="C28" s="90" t="n">
        <v>32480</v>
      </c>
      <c r="D28" s="91" t="n">
        <v>12.1</v>
      </c>
      <c r="E28" s="90" t="n">
        <v>392683</v>
      </c>
      <c r="F28" s="92" t="n">
        <v>22.1</v>
      </c>
      <c r="G28" s="33" t="n">
        <v>0.690746753246753</v>
      </c>
      <c r="H28" s="93" t="n">
        <v>-121439</v>
      </c>
      <c r="I28" s="90" t="n">
        <v>271245</v>
      </c>
    </row>
    <row r="29" customFormat="false" ht="15" hidden="false" customHeight="true" outlineLevel="0" collapsed="false">
      <c r="A29" s="22" t="s">
        <v>312</v>
      </c>
      <c r="B29" s="32" t="n">
        <v>30</v>
      </c>
      <c r="C29" s="90" t="n">
        <v>30450</v>
      </c>
      <c r="D29" s="91" t="n">
        <v>20.5</v>
      </c>
      <c r="E29" s="90" t="n">
        <v>623007</v>
      </c>
      <c r="F29" s="92" t="n">
        <v>24.34</v>
      </c>
      <c r="G29" s="33" t="n">
        <v>0.811264367816092</v>
      </c>
      <c r="H29" s="93" t="n">
        <v>-117584</v>
      </c>
      <c r="I29" s="90" t="n">
        <v>505423</v>
      </c>
    </row>
    <row r="30" customFormat="false" ht="15" hidden="false" customHeight="true" outlineLevel="0" collapsed="false">
      <c r="A30" s="22" t="s">
        <v>313</v>
      </c>
      <c r="B30" s="32" t="n">
        <v>30</v>
      </c>
      <c r="C30" s="90" t="n">
        <v>21150</v>
      </c>
      <c r="D30" s="91" t="n">
        <v>18.6</v>
      </c>
      <c r="E30" s="90" t="n">
        <v>393390</v>
      </c>
      <c r="F30" s="92" t="n">
        <v>21.01</v>
      </c>
      <c r="G30" s="33" t="n">
        <v>0.70045871559633</v>
      </c>
      <c r="H30" s="93" t="n">
        <v>-117837</v>
      </c>
      <c r="I30" s="90" t="n">
        <v>275553</v>
      </c>
    </row>
    <row r="31" customFormat="false" ht="15" hidden="false" customHeight="true" outlineLevel="0" collapsed="false">
      <c r="A31" s="19" t="s">
        <v>314</v>
      </c>
      <c r="B31" s="87" t="n">
        <v>30</v>
      </c>
      <c r="C31" s="88" t="n">
        <v>30450</v>
      </c>
      <c r="D31" s="89" t="n">
        <v>21.4</v>
      </c>
      <c r="E31" s="88" t="n">
        <v>651325</v>
      </c>
      <c r="F31" s="87" t="s">
        <v>147</v>
      </c>
      <c r="G31" s="87" t="s">
        <v>147</v>
      </c>
      <c r="H31" s="87" t="s">
        <v>147</v>
      </c>
      <c r="I31" s="87" t="s">
        <v>147</v>
      </c>
    </row>
    <row r="32" customFormat="false" ht="15" hidden="false" customHeight="true" outlineLevel="0" collapsed="false">
      <c r="A32" s="22" t="s">
        <v>315</v>
      </c>
      <c r="B32" s="32" t="n">
        <v>30</v>
      </c>
      <c r="C32" s="90" t="n">
        <v>30450</v>
      </c>
      <c r="D32" s="91" t="n">
        <v>40</v>
      </c>
      <c r="E32" s="90" t="n">
        <v>1217695</v>
      </c>
      <c r="F32" s="92" t="n">
        <v>25.62</v>
      </c>
      <c r="G32" s="33" t="n">
        <v>0.854166666666667</v>
      </c>
      <c r="H32" s="93" t="n">
        <v>-177581</v>
      </c>
      <c r="I32" s="90" t="n">
        <v>1040115</v>
      </c>
    </row>
    <row r="33" customFormat="false" ht="15" hidden="false" customHeight="true" outlineLevel="0" collapsed="false">
      <c r="A33" s="22" t="s">
        <v>316</v>
      </c>
      <c r="B33" s="32" t="n">
        <v>32</v>
      </c>
      <c r="C33" s="90" t="n">
        <v>32480</v>
      </c>
      <c r="D33" s="91" t="n">
        <v>18.6</v>
      </c>
      <c r="E33" s="90" t="n">
        <v>604128</v>
      </c>
      <c r="F33" s="92" t="n">
        <v>24.76</v>
      </c>
      <c r="G33" s="33" t="n">
        <v>0.773735687022901</v>
      </c>
      <c r="H33" s="93" t="n">
        <v>-136693</v>
      </c>
      <c r="I33" s="90" t="n">
        <v>467435</v>
      </c>
    </row>
    <row r="34" customFormat="false" ht="15" hidden="false" customHeight="true" outlineLevel="0" collapsed="false">
      <c r="A34" s="22" t="s">
        <v>317</v>
      </c>
      <c r="B34" s="32" t="n">
        <v>33</v>
      </c>
      <c r="C34" s="90" t="n">
        <v>33495</v>
      </c>
      <c r="D34" s="91" t="n">
        <v>4.6</v>
      </c>
      <c r="E34" s="90" t="n">
        <v>155752</v>
      </c>
      <c r="F34" s="92" t="n">
        <v>24.2</v>
      </c>
      <c r="G34" s="33" t="n">
        <v>0.733451015004413</v>
      </c>
      <c r="H34" s="93" t="n">
        <v>-41515</v>
      </c>
      <c r="I34" s="90" t="n">
        <v>114236</v>
      </c>
    </row>
    <row r="35" customFormat="false" ht="15" hidden="false" customHeight="true" outlineLevel="0" collapsed="false">
      <c r="A35" s="22" t="s">
        <v>318</v>
      </c>
      <c r="B35" s="32" t="n">
        <v>30</v>
      </c>
      <c r="C35" s="90" t="n">
        <v>30450</v>
      </c>
      <c r="D35" s="91" t="n">
        <v>39.1</v>
      </c>
      <c r="E35" s="90" t="n">
        <v>1189377</v>
      </c>
      <c r="F35" s="92" t="n">
        <v>18.36</v>
      </c>
      <c r="G35" s="33" t="n">
        <v>0.612087912087912</v>
      </c>
      <c r="H35" s="93" t="n">
        <v>-461374</v>
      </c>
      <c r="I35" s="90" t="n">
        <v>728003</v>
      </c>
    </row>
    <row r="36" customFormat="false" ht="15" hidden="false" customHeight="true" outlineLevel="0" collapsed="false">
      <c r="A36" s="22" t="s">
        <v>319</v>
      </c>
      <c r="B36" s="32" t="n">
        <v>30</v>
      </c>
      <c r="C36" s="90" t="n">
        <v>30450</v>
      </c>
      <c r="D36" s="91" t="n">
        <v>17.7</v>
      </c>
      <c r="E36" s="90" t="n">
        <v>538052</v>
      </c>
      <c r="F36" s="92" t="n">
        <v>22.22</v>
      </c>
      <c r="G36" s="33" t="n">
        <v>0.740650406504065</v>
      </c>
      <c r="H36" s="93" t="n">
        <v>-139543</v>
      </c>
      <c r="I36" s="90" t="n">
        <v>398508</v>
      </c>
    </row>
    <row r="37" customFormat="false" ht="15" hidden="false" customHeight="true" outlineLevel="0" collapsed="false">
      <c r="A37" s="22" t="s">
        <v>320</v>
      </c>
      <c r="B37" s="32" t="n">
        <v>32</v>
      </c>
      <c r="C37" s="90" t="n">
        <v>32480</v>
      </c>
      <c r="D37" s="91" t="n">
        <v>21.4</v>
      </c>
      <c r="E37" s="90" t="n">
        <v>694747</v>
      </c>
      <c r="F37" s="92" t="n">
        <v>26.39</v>
      </c>
      <c r="G37" s="33" t="n">
        <v>0.824573863636364</v>
      </c>
      <c r="H37" s="93" t="n">
        <v>-121877</v>
      </c>
      <c r="I37" s="90" t="n">
        <v>572870</v>
      </c>
    </row>
    <row r="38" customFormat="false" ht="15" hidden="false" customHeight="true" outlineLevel="0" collapsed="false">
      <c r="A38" s="22" t="s">
        <v>321</v>
      </c>
      <c r="B38" s="32" t="n">
        <v>30</v>
      </c>
      <c r="C38" s="90" t="n">
        <v>30450</v>
      </c>
      <c r="D38" s="91" t="n">
        <v>15.8</v>
      </c>
      <c r="E38" s="90" t="n">
        <v>481414</v>
      </c>
      <c r="F38" s="92" t="n">
        <v>17.65</v>
      </c>
      <c r="G38" s="33" t="n">
        <v>0.588461538461538</v>
      </c>
      <c r="H38" s="93" t="n">
        <v>-198121</v>
      </c>
      <c r="I38" s="90" t="n">
        <v>283294</v>
      </c>
    </row>
    <row r="39" customFormat="false" ht="15" hidden="false" customHeight="true" outlineLevel="0" collapsed="false">
      <c r="A39" s="22" t="s">
        <v>322</v>
      </c>
      <c r="B39" s="32" t="n">
        <v>30</v>
      </c>
      <c r="C39" s="90" t="n">
        <v>30450</v>
      </c>
      <c r="D39" s="91" t="n">
        <v>6.5</v>
      </c>
      <c r="E39" s="90" t="n">
        <v>198230</v>
      </c>
      <c r="F39" s="92" t="n">
        <v>21.7</v>
      </c>
      <c r="G39" s="33" t="n">
        <v>0.723333333333333</v>
      </c>
      <c r="H39" s="93" t="n">
        <v>-54843</v>
      </c>
      <c r="I39" s="90" t="n">
        <v>143386</v>
      </c>
    </row>
    <row r="40" customFormat="false" ht="15" hidden="false" customHeight="true" outlineLevel="0" collapsed="false">
      <c r="A40" s="22" t="s">
        <v>323</v>
      </c>
      <c r="B40" s="32" t="n">
        <v>60</v>
      </c>
      <c r="C40" s="90" t="n">
        <v>38700</v>
      </c>
      <c r="D40" s="91" t="n">
        <v>111.6</v>
      </c>
      <c r="E40" s="90" t="n">
        <v>4318920</v>
      </c>
      <c r="F40" s="92" t="n">
        <v>45.6</v>
      </c>
      <c r="G40" s="33" t="n">
        <v>0.760030263726762</v>
      </c>
      <c r="H40" s="93" t="n">
        <v>-1036410</v>
      </c>
      <c r="I40" s="90" t="n">
        <v>3282510</v>
      </c>
    </row>
    <row r="41" customFormat="false" ht="15" hidden="false" customHeight="true" outlineLevel="0" collapsed="false">
      <c r="A41" s="19" t="s">
        <v>324</v>
      </c>
      <c r="B41" s="87" t="n">
        <v>42</v>
      </c>
      <c r="C41" s="88" t="n">
        <v>24150</v>
      </c>
      <c r="D41" s="89" t="n">
        <v>14.9</v>
      </c>
      <c r="E41" s="88" t="n">
        <v>359352</v>
      </c>
      <c r="F41" s="87" t="s">
        <v>147</v>
      </c>
      <c r="G41" s="87" t="s">
        <v>147</v>
      </c>
      <c r="H41" s="87" t="s">
        <v>147</v>
      </c>
      <c r="I41" s="87" t="s">
        <v>147</v>
      </c>
    </row>
    <row r="42" customFormat="false" ht="15" hidden="false" customHeight="true" outlineLevel="0" collapsed="false">
      <c r="A42" s="22" t="s">
        <v>325</v>
      </c>
      <c r="B42" s="32" t="n">
        <v>24</v>
      </c>
      <c r="C42" s="90" t="n">
        <v>20270</v>
      </c>
      <c r="D42" s="91" t="n">
        <v>0.9</v>
      </c>
      <c r="E42" s="90" t="n">
        <v>18851</v>
      </c>
      <c r="F42" s="92" t="n">
        <v>13.67</v>
      </c>
      <c r="G42" s="33" t="n">
        <v>0.569444444444444</v>
      </c>
      <c r="H42" s="93" t="n">
        <v>-8117</v>
      </c>
      <c r="I42" s="90" t="n">
        <v>10735</v>
      </c>
    </row>
    <row r="43" customFormat="false" ht="15" hidden="false" customHeight="true" outlineLevel="0" collapsed="false">
      <c r="A43" s="22" t="s">
        <v>326</v>
      </c>
      <c r="B43" s="32" t="n">
        <v>24</v>
      </c>
      <c r="C43" s="90" t="n">
        <v>20270</v>
      </c>
      <c r="D43" s="91" t="n">
        <v>0</v>
      </c>
      <c r="E43" s="90" t="n">
        <v>0</v>
      </c>
      <c r="F43" s="92" t="n">
        <v>12.44</v>
      </c>
      <c r="G43" s="33" t="n">
        <v>0.518518518518519</v>
      </c>
      <c r="H43" s="93" t="n">
        <v>0</v>
      </c>
      <c r="I43" s="90" t="n">
        <v>0</v>
      </c>
    </row>
    <row r="44" customFormat="false" ht="15" hidden="false" customHeight="true" outlineLevel="0" collapsed="false">
      <c r="A44" s="22" t="s">
        <v>327</v>
      </c>
      <c r="B44" s="32" t="n">
        <v>25</v>
      </c>
      <c r="C44" s="90" t="n">
        <v>21115</v>
      </c>
      <c r="D44" s="91" t="n">
        <v>0</v>
      </c>
      <c r="E44" s="90" t="n">
        <v>0</v>
      </c>
      <c r="F44" s="92" t="n">
        <v>16</v>
      </c>
      <c r="G44" s="33" t="n">
        <v>0.64</v>
      </c>
      <c r="H44" s="93" t="n">
        <v>0</v>
      </c>
      <c r="I44" s="90" t="n">
        <v>0</v>
      </c>
    </row>
    <row r="45" customFormat="false" ht="15" hidden="false" customHeight="true" outlineLevel="0" collapsed="false">
      <c r="A45" s="22" t="s">
        <v>328</v>
      </c>
      <c r="B45" s="32" t="n">
        <v>24</v>
      </c>
      <c r="C45" s="90" t="n">
        <v>20270</v>
      </c>
      <c r="D45" s="91" t="n">
        <v>0</v>
      </c>
      <c r="E45" s="90" t="n">
        <v>0</v>
      </c>
      <c r="F45" s="92" t="n">
        <v>13.5</v>
      </c>
      <c r="G45" s="33" t="n">
        <v>0.5625</v>
      </c>
      <c r="H45" s="93" t="n">
        <v>0</v>
      </c>
      <c r="I45" s="90" t="n">
        <v>0</v>
      </c>
    </row>
    <row r="48" customFormat="false" ht="15" hidden="false" customHeight="true" outlineLevel="0" collapsed="false">
      <c r="A48" s="94" t="s">
        <v>579</v>
      </c>
      <c r="B48" s="94"/>
      <c r="C48" s="94"/>
      <c r="D48" s="94"/>
      <c r="E48" s="94"/>
      <c r="F48" s="94"/>
      <c r="G48" s="94"/>
      <c r="H48" s="94"/>
      <c r="I48" s="94"/>
    </row>
    <row r="49" customFormat="false" ht="48" hidden="false" customHeight="true" outlineLevel="0" collapsed="false">
      <c r="A49" s="47" t="s">
        <v>580</v>
      </c>
      <c r="B49" s="47"/>
      <c r="C49" s="47"/>
      <c r="D49" s="47"/>
      <c r="E49" s="47"/>
      <c r="F49" s="47"/>
      <c r="G49" s="47"/>
      <c r="H49" s="47"/>
      <c r="I49" s="47"/>
    </row>
    <row r="51" customFormat="false" ht="15" hidden="false" customHeight="true" outlineLevel="0" collapsed="false">
      <c r="A51" s="86" t="s">
        <v>379</v>
      </c>
      <c r="B51" s="86" t="s">
        <v>581</v>
      </c>
      <c r="C51" s="86"/>
    </row>
    <row r="52" customFormat="false" ht="15" hidden="false" customHeight="true" outlineLevel="0" collapsed="false">
      <c r="A52" s="22" t="s">
        <v>323</v>
      </c>
      <c r="B52" s="95" t="n">
        <v>6</v>
      </c>
      <c r="C52" s="95"/>
    </row>
    <row r="53" customFormat="false" ht="15" hidden="false" customHeight="true" outlineLevel="0" collapsed="false">
      <c r="A53" s="22" t="s">
        <v>297</v>
      </c>
      <c r="B53" s="95" t="n">
        <v>3</v>
      </c>
      <c r="C53" s="95"/>
    </row>
    <row r="54" customFormat="false" ht="15" hidden="false" customHeight="true" outlineLevel="0" collapsed="false">
      <c r="A54" s="22" t="s">
        <v>306</v>
      </c>
      <c r="B54" s="95" t="n">
        <v>3</v>
      </c>
      <c r="C54" s="95"/>
    </row>
    <row r="55" customFormat="false" ht="15" hidden="false" customHeight="true" outlineLevel="0" collapsed="false">
      <c r="A55" s="22" t="s">
        <v>309</v>
      </c>
      <c r="B55" s="95" t="n">
        <v>3</v>
      </c>
      <c r="C55" s="95"/>
    </row>
    <row r="56" customFormat="false" ht="15" hidden="false" customHeight="true" outlineLevel="0" collapsed="false">
      <c r="A56" s="22" t="s">
        <v>294</v>
      </c>
      <c r="B56" s="95" t="n">
        <v>2</v>
      </c>
      <c r="C56" s="95"/>
    </row>
    <row r="57" customFormat="false" ht="15" hidden="false" customHeight="true" outlineLevel="0" collapsed="false">
      <c r="A57" s="22" t="s">
        <v>301</v>
      </c>
      <c r="B57" s="95" t="n">
        <v>2</v>
      </c>
      <c r="C57" s="95"/>
    </row>
    <row r="58" customFormat="false" ht="15" hidden="false" customHeight="true" outlineLevel="0" collapsed="false">
      <c r="A58" s="22" t="s">
        <v>296</v>
      </c>
      <c r="B58" s="95" t="n">
        <v>2</v>
      </c>
      <c r="C58" s="95"/>
    </row>
    <row r="59" customFormat="false" ht="15" hidden="false" customHeight="true" outlineLevel="0" collapsed="false">
      <c r="A59" s="22" t="s">
        <v>295</v>
      </c>
      <c r="B59" s="95" t="n">
        <v>2</v>
      </c>
      <c r="C59" s="95"/>
    </row>
    <row r="60" customFormat="false" ht="15" hidden="false" customHeight="true" outlineLevel="0" collapsed="false">
      <c r="A60" s="22" t="s">
        <v>310</v>
      </c>
      <c r="B60" s="95" t="n">
        <v>2</v>
      </c>
      <c r="C60" s="95"/>
    </row>
    <row r="61" customFormat="false" ht="15" hidden="false" customHeight="true" outlineLevel="0" collapsed="false">
      <c r="A61" s="22" t="s">
        <v>298</v>
      </c>
      <c r="B61" s="95" t="n">
        <v>1</v>
      </c>
      <c r="C61" s="95"/>
    </row>
    <row r="62" customFormat="false" ht="15" hidden="false" customHeight="true" outlineLevel="0" collapsed="false">
      <c r="A62" s="22" t="s">
        <v>315</v>
      </c>
      <c r="B62" s="95" t="n">
        <v>1</v>
      </c>
      <c r="C62" s="95"/>
    </row>
    <row r="63" customFormat="false" ht="15" hidden="false" customHeight="true" outlineLevel="0" collapsed="false">
      <c r="A63" s="22" t="s">
        <v>292</v>
      </c>
      <c r="B63" s="95" t="n">
        <v>1</v>
      </c>
      <c r="C63" s="95"/>
    </row>
    <row r="64" customFormat="false" ht="15" hidden="false" customHeight="true" outlineLevel="0" collapsed="false">
      <c r="A64" s="22" t="s">
        <v>319</v>
      </c>
      <c r="B64" s="95" t="n">
        <v>1</v>
      </c>
      <c r="C64" s="95"/>
    </row>
    <row r="65" customFormat="false" ht="15" hidden="false" customHeight="true" outlineLevel="0" collapsed="false">
      <c r="A65" s="22" t="s">
        <v>318</v>
      </c>
      <c r="B65" s="95" t="n">
        <v>1</v>
      </c>
      <c r="C65" s="95"/>
    </row>
    <row r="66" customFormat="false" ht="15" hidden="false" customHeight="true" outlineLevel="0" collapsed="false">
      <c r="A66" s="22" t="s">
        <v>307</v>
      </c>
      <c r="B66" s="95" t="n">
        <v>1</v>
      </c>
      <c r="C66" s="95"/>
    </row>
    <row r="67" customFormat="false" ht="15" hidden="false" customHeight="true" outlineLevel="0" collapsed="false">
      <c r="A67" s="96" t="s">
        <v>582</v>
      </c>
      <c r="B67" s="96" t="n">
        <v>31</v>
      </c>
      <c r="C67" s="96"/>
    </row>
  </sheetData>
  <mergeCells count="21">
    <mergeCell ref="A1:I1"/>
    <mergeCell ref="A2:I2"/>
    <mergeCell ref="A48:I48"/>
    <mergeCell ref="A49:I49"/>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30"/>
    <col collapsed="false" customWidth="true" hidden="false" outlineLevel="0" max="13" min="2" style="0" width="9"/>
  </cols>
  <sheetData>
    <row r="1" customFormat="false" ht="17.25" hidden="false" customHeight="true" outlineLevel="0" collapsed="false">
      <c r="A1" s="46" t="s">
        <v>583</v>
      </c>
      <c r="B1" s="46"/>
      <c r="C1" s="46"/>
      <c r="D1" s="46"/>
      <c r="E1" s="46"/>
      <c r="F1" s="46"/>
      <c r="G1" s="46"/>
      <c r="H1" s="46"/>
      <c r="I1" s="46"/>
      <c r="J1" s="46"/>
      <c r="K1" s="46"/>
      <c r="L1" s="46"/>
      <c r="M1" s="46"/>
    </row>
    <row r="2" customFormat="false" ht="61.5" hidden="false" customHeight="true" outlineLevel="0" collapsed="false">
      <c r="A2" s="47" t="s">
        <v>584</v>
      </c>
      <c r="B2" s="47"/>
      <c r="C2" s="47"/>
      <c r="D2" s="47"/>
      <c r="E2" s="47"/>
      <c r="F2" s="47"/>
      <c r="G2" s="47"/>
      <c r="H2" s="47"/>
      <c r="I2" s="47"/>
      <c r="J2" s="47"/>
      <c r="K2" s="47"/>
      <c r="L2" s="47"/>
      <c r="M2" s="47"/>
    </row>
    <row r="4" customFormat="false" ht="15" hidden="false" customHeight="true" outlineLevel="0" collapsed="false">
      <c r="A4" s="97" t="s">
        <v>585</v>
      </c>
    </row>
    <row r="5" customFormat="false" ht="15" hidden="false" customHeight="true" outlineLevel="0" collapsed="false">
      <c r="A5" s="12" t="s">
        <v>586</v>
      </c>
      <c r="B5" s="12" t="s">
        <v>587</v>
      </c>
      <c r="C5" s="12" t="s">
        <v>588</v>
      </c>
      <c r="D5" s="12" t="s">
        <v>589</v>
      </c>
      <c r="E5" s="12" t="s">
        <v>590</v>
      </c>
      <c r="F5" s="12" t="s">
        <v>591</v>
      </c>
      <c r="G5" s="98" t="s">
        <v>592</v>
      </c>
    </row>
    <row r="6" customFormat="false" ht="15" hidden="false" customHeight="true" outlineLevel="0" collapsed="false">
      <c r="A6" s="96" t="s">
        <v>593</v>
      </c>
      <c r="B6" s="99" t="n">
        <v>0.734536082474227</v>
      </c>
      <c r="C6" s="99" t="n">
        <v>0.682634730538922</v>
      </c>
      <c r="D6" s="99" t="n">
        <v>0.695564516129032</v>
      </c>
      <c r="E6" s="99" t="n">
        <v>0.695652173913044</v>
      </c>
      <c r="F6" s="99" t="n">
        <v>0.720417633410673</v>
      </c>
      <c r="G6" s="100" t="n">
        <v>0.72739916550765</v>
      </c>
    </row>
    <row r="7" customFormat="false" ht="15" hidden="false" customHeight="true" outlineLevel="0" collapsed="false">
      <c r="A7" s="96" t="s">
        <v>594</v>
      </c>
      <c r="B7" s="99" t="n">
        <v>0.674200801199307</v>
      </c>
      <c r="C7" s="99" t="n">
        <v>0.6402923507245</v>
      </c>
      <c r="D7" s="99" t="n">
        <v>0.701594207873865</v>
      </c>
      <c r="E7" s="99" t="n">
        <v>0.639420983801705</v>
      </c>
      <c r="F7" s="99" t="n">
        <v>0.765216901314156</v>
      </c>
      <c r="G7" s="100" t="n">
        <v>0.802186293966682</v>
      </c>
    </row>
    <row r="8" customFormat="false" ht="15" hidden="false" customHeight="true" outlineLevel="0" collapsed="false">
      <c r="A8" s="101" t="s">
        <v>595</v>
      </c>
      <c r="B8" s="102" t="n">
        <v>5</v>
      </c>
      <c r="C8" s="102" t="n">
        <v>6</v>
      </c>
      <c r="D8" s="102" t="n">
        <v>5</v>
      </c>
      <c r="E8" s="102" t="n">
        <v>6</v>
      </c>
      <c r="F8" s="102" t="n">
        <v>4</v>
      </c>
      <c r="G8" s="102" t="n">
        <v>2</v>
      </c>
    </row>
    <row r="9" customFormat="false" ht="15" hidden="false" customHeight="true" outlineLevel="0" collapsed="false">
      <c r="A9" s="101" t="s">
        <v>596</v>
      </c>
      <c r="B9" s="103" t="n">
        <v>1164</v>
      </c>
      <c r="C9" s="103" t="n">
        <v>1503</v>
      </c>
      <c r="D9" s="103" t="n">
        <v>1488</v>
      </c>
      <c r="E9" s="103" t="n">
        <v>1840</v>
      </c>
      <c r="F9" s="103" t="n">
        <v>1724</v>
      </c>
      <c r="G9" s="103" t="n">
        <v>1438</v>
      </c>
    </row>
    <row r="12" customFormat="false" ht="15" hidden="false" customHeight="true" outlineLevel="0" collapsed="false">
      <c r="A12" s="97" t="s">
        <v>597</v>
      </c>
    </row>
    <row r="13" customFormat="false" ht="15" hidden="false" customHeight="true" outlineLevel="0" collapsed="false">
      <c r="A13" s="12" t="s">
        <v>379</v>
      </c>
      <c r="B13" s="12" t="s">
        <v>587</v>
      </c>
      <c r="C13" s="12"/>
      <c r="D13" s="12" t="s">
        <v>588</v>
      </c>
      <c r="E13" s="12"/>
      <c r="F13" s="12" t="s">
        <v>589</v>
      </c>
      <c r="G13" s="12"/>
      <c r="H13" s="12" t="s">
        <v>590</v>
      </c>
      <c r="I13" s="12"/>
      <c r="J13" s="12" t="s">
        <v>591</v>
      </c>
      <c r="K13" s="12"/>
      <c r="L13" s="12" t="s">
        <v>592</v>
      </c>
      <c r="M13" s="12"/>
    </row>
    <row r="14" customFormat="false" ht="15" hidden="false" customHeight="true" outlineLevel="0" collapsed="false">
      <c r="A14" s="12"/>
      <c r="B14" s="12" t="s">
        <v>598</v>
      </c>
      <c r="C14" s="12" t="s">
        <v>599</v>
      </c>
      <c r="D14" s="12" t="s">
        <v>598</v>
      </c>
      <c r="E14" s="12" t="s">
        <v>599</v>
      </c>
      <c r="F14" s="12" t="s">
        <v>598</v>
      </c>
      <c r="G14" s="12" t="s">
        <v>599</v>
      </c>
      <c r="H14" s="12" t="s">
        <v>598</v>
      </c>
      <c r="I14" s="12" t="s">
        <v>599</v>
      </c>
      <c r="J14" s="12" t="s">
        <v>598</v>
      </c>
      <c r="K14" s="12" t="s">
        <v>599</v>
      </c>
      <c r="L14" s="12" t="s">
        <v>598</v>
      </c>
      <c r="M14" s="12" t="s">
        <v>599</v>
      </c>
    </row>
    <row r="15" customFormat="false" ht="15" hidden="false" customHeight="true" outlineLevel="0" collapsed="false">
      <c r="A15" s="22" t="s">
        <v>271</v>
      </c>
      <c r="B15" s="104" t="s">
        <v>147</v>
      </c>
      <c r="C15" s="104" t="s">
        <v>147</v>
      </c>
      <c r="D15" s="104" t="s">
        <v>147</v>
      </c>
      <c r="E15" s="104" t="s">
        <v>147</v>
      </c>
      <c r="F15" s="104" t="s">
        <v>147</v>
      </c>
      <c r="G15" s="104" t="s">
        <v>147</v>
      </c>
      <c r="H15" s="104" t="s">
        <v>147</v>
      </c>
      <c r="I15" s="104" t="s">
        <v>147</v>
      </c>
      <c r="J15" s="104" t="s">
        <v>147</v>
      </c>
      <c r="K15" s="104" t="s">
        <v>147</v>
      </c>
      <c r="L15" s="104" t="s">
        <v>147</v>
      </c>
      <c r="M15" s="104" t="s">
        <v>147</v>
      </c>
    </row>
    <row r="16" customFormat="false" ht="15" hidden="false" customHeight="true" outlineLevel="0" collapsed="false">
      <c r="A16" s="22" t="s">
        <v>273</v>
      </c>
      <c r="B16" s="104" t="s">
        <v>147</v>
      </c>
      <c r="C16" s="104" t="s">
        <v>147</v>
      </c>
      <c r="D16" s="104" t="s">
        <v>147</v>
      </c>
      <c r="E16" s="104" t="s">
        <v>147</v>
      </c>
      <c r="F16" s="104" t="s">
        <v>147</v>
      </c>
      <c r="G16" s="104" t="s">
        <v>147</v>
      </c>
      <c r="H16" s="99" t="n">
        <v>0.90625</v>
      </c>
      <c r="I16" s="99" t="n">
        <v>0.971115952294209</v>
      </c>
      <c r="J16" s="99" t="n">
        <v>0.906666666666667</v>
      </c>
      <c r="K16" s="99" t="n">
        <v>0.975440048142019</v>
      </c>
      <c r="L16" s="104" t="s">
        <v>147</v>
      </c>
      <c r="M16" s="104" t="s">
        <v>147</v>
      </c>
    </row>
    <row r="17" customFormat="false" ht="15" hidden="false" customHeight="true" outlineLevel="0" collapsed="false">
      <c r="A17" s="22" t="s">
        <v>274</v>
      </c>
      <c r="B17" s="99" t="n">
        <v>0.973684210526316</v>
      </c>
      <c r="C17" s="99" t="n">
        <v>0.738011695906433</v>
      </c>
      <c r="D17" s="105" t="n">
        <v>0.96551724137931</v>
      </c>
      <c r="E17" s="105" t="n">
        <v>0.976258910094275</v>
      </c>
      <c r="F17" s="99" t="n">
        <v>0.966666666666667</v>
      </c>
      <c r="G17" s="99" t="n">
        <v>1</v>
      </c>
      <c r="H17" s="105" t="n">
        <v>1</v>
      </c>
      <c r="I17" s="105" t="n">
        <v>1</v>
      </c>
      <c r="J17" s="105" t="n">
        <v>0.944444444444444</v>
      </c>
      <c r="K17" s="105" t="n">
        <v>1</v>
      </c>
      <c r="L17" s="105" t="n">
        <v>0.9</v>
      </c>
      <c r="M17" s="105" t="n">
        <v>1</v>
      </c>
    </row>
    <row r="18" customFormat="false" ht="15" hidden="false" customHeight="true" outlineLevel="0" collapsed="false">
      <c r="A18" s="22" t="s">
        <v>291</v>
      </c>
      <c r="B18" s="104" t="s">
        <v>147</v>
      </c>
      <c r="C18" s="104" t="s">
        <v>147</v>
      </c>
      <c r="D18" s="104" t="s">
        <v>147</v>
      </c>
      <c r="E18" s="104" t="s">
        <v>147</v>
      </c>
      <c r="F18" s="104" t="s">
        <v>147</v>
      </c>
      <c r="G18" s="104" t="s">
        <v>147</v>
      </c>
      <c r="H18" s="104" t="s">
        <v>147</v>
      </c>
      <c r="I18" s="104" t="s">
        <v>147</v>
      </c>
      <c r="J18" s="104" t="s">
        <v>147</v>
      </c>
      <c r="K18" s="104" t="s">
        <v>147</v>
      </c>
      <c r="L18" s="104" t="s">
        <v>147</v>
      </c>
      <c r="M18" s="104" t="s">
        <v>147</v>
      </c>
    </row>
    <row r="19" customFormat="false" ht="15" hidden="false" customHeight="true" outlineLevel="0" collapsed="false">
      <c r="A19" s="22" t="s">
        <v>292</v>
      </c>
      <c r="B19" s="99" t="n">
        <v>0.726190476190476</v>
      </c>
      <c r="C19" s="99" t="n">
        <v>0.641809478166183</v>
      </c>
      <c r="D19" s="99" t="n">
        <v>0.734375</v>
      </c>
      <c r="E19" s="99" t="n">
        <v>0.639715800558648</v>
      </c>
      <c r="F19" s="99" t="n">
        <v>0.580645161290323</v>
      </c>
      <c r="G19" s="99" t="n">
        <v>0.603473970587303</v>
      </c>
      <c r="H19" s="99" t="n">
        <v>0.698412698412698</v>
      </c>
      <c r="I19" s="99" t="n">
        <v>0.573607768614635</v>
      </c>
      <c r="J19" s="99" t="n">
        <v>0.813559322033898</v>
      </c>
      <c r="K19" s="99" t="n">
        <v>0.768531043005305</v>
      </c>
      <c r="L19" s="99" t="n">
        <v>0.596153846153846</v>
      </c>
      <c r="M19" s="99" t="n">
        <v>0.770619614279852</v>
      </c>
    </row>
    <row r="20" customFormat="false" ht="15" hidden="false" customHeight="true" outlineLevel="0" collapsed="false">
      <c r="A20" s="22" t="s">
        <v>293</v>
      </c>
      <c r="B20" s="104" t="s">
        <v>147</v>
      </c>
      <c r="C20" s="104" t="s">
        <v>147</v>
      </c>
      <c r="D20" s="99" t="n">
        <v>0.64</v>
      </c>
      <c r="E20" s="99" t="n">
        <v>0.952240999265246</v>
      </c>
      <c r="F20" s="99" t="n">
        <v>0.791666666666667</v>
      </c>
      <c r="G20" s="99" t="n">
        <v>0.918584928519506</v>
      </c>
      <c r="H20" s="99" t="n">
        <v>0.645833333333333</v>
      </c>
      <c r="I20" s="99" t="n">
        <v>0.969849246231156</v>
      </c>
      <c r="J20" s="99" t="n">
        <v>0.688888888888889</v>
      </c>
      <c r="K20" s="99" t="n">
        <v>0.787469773887467</v>
      </c>
      <c r="L20" s="99" t="n">
        <v>0.636363636363636</v>
      </c>
      <c r="M20" s="99" t="n">
        <v>0.787234042553192</v>
      </c>
    </row>
    <row r="21" customFormat="false" ht="15" hidden="false" customHeight="true" outlineLevel="0" collapsed="false">
      <c r="A21" s="22" t="s">
        <v>294</v>
      </c>
      <c r="B21" s="104" t="s">
        <v>147</v>
      </c>
      <c r="C21" s="104" t="s">
        <v>147</v>
      </c>
      <c r="D21" s="104" t="s">
        <v>147</v>
      </c>
      <c r="E21" s="104" t="s">
        <v>147</v>
      </c>
      <c r="F21" s="105" t="n">
        <v>1</v>
      </c>
      <c r="G21" s="105" t="n">
        <v>0.699646643109541</v>
      </c>
      <c r="H21" s="99" t="n">
        <v>0.753424657534247</v>
      </c>
      <c r="I21" s="99" t="n">
        <v>1</v>
      </c>
      <c r="J21" s="99" t="n">
        <v>0.847457627118644</v>
      </c>
      <c r="K21" s="99" t="n">
        <v>0.671725218229529</v>
      </c>
      <c r="L21" s="99" t="n">
        <v>0.763636363636364</v>
      </c>
      <c r="M21" s="99" t="n">
        <v>0.771504357711254</v>
      </c>
    </row>
    <row r="22" customFormat="false" ht="15" hidden="false" customHeight="true" outlineLevel="0" collapsed="false">
      <c r="A22" s="22" t="s">
        <v>295</v>
      </c>
      <c r="B22" s="99" t="n">
        <v>0.483870967741936</v>
      </c>
      <c r="C22" s="99" t="n">
        <v>0.842049214529286</v>
      </c>
      <c r="D22" s="99" t="n">
        <v>0.487804878048781</v>
      </c>
      <c r="E22" s="99" t="n">
        <v>0.944682856540782</v>
      </c>
      <c r="F22" s="99" t="n">
        <v>0.527777777777778</v>
      </c>
      <c r="G22" s="99" t="n">
        <v>0.801794753735882</v>
      </c>
      <c r="H22" s="99" t="n">
        <v>0.6</v>
      </c>
      <c r="I22" s="99" t="n">
        <v>0.789995178366112</v>
      </c>
      <c r="J22" s="99" t="n">
        <v>0.54320987654321</v>
      </c>
      <c r="K22" s="99" t="n">
        <v>0.773568045859391</v>
      </c>
      <c r="L22" s="99" t="n">
        <v>0.5</v>
      </c>
      <c r="M22" s="99" t="n">
        <v>0.913573085846868</v>
      </c>
    </row>
    <row r="23" customFormat="false" ht="15" hidden="false" customHeight="true" outlineLevel="0" collapsed="false">
      <c r="A23" s="22" t="s">
        <v>296</v>
      </c>
      <c r="B23" s="99" t="n">
        <v>0.622222222222222</v>
      </c>
      <c r="C23" s="99" t="n">
        <v>0.845599899950659</v>
      </c>
      <c r="D23" s="99" t="n">
        <v>0.536842105263158</v>
      </c>
      <c r="E23" s="99" t="n">
        <v>0.837366219663253</v>
      </c>
      <c r="F23" s="99" t="n">
        <v>0.717514124293785</v>
      </c>
      <c r="G23" s="99" t="n">
        <v>0.779425876973773</v>
      </c>
      <c r="H23" s="99" t="n">
        <v>0.646067415730337</v>
      </c>
      <c r="I23" s="99" t="n">
        <v>0.924009991219767</v>
      </c>
      <c r="J23" s="99" t="n">
        <v>0.635869565217391</v>
      </c>
      <c r="K23" s="99" t="n">
        <v>0.8961448432373</v>
      </c>
      <c r="L23" s="99" t="n">
        <v>0.603603603603604</v>
      </c>
      <c r="M23" s="99" t="n">
        <v>0.825515947467167</v>
      </c>
    </row>
    <row r="24" customFormat="false" ht="15" hidden="false" customHeight="true" outlineLevel="0" collapsed="false">
      <c r="A24" s="22" t="s">
        <v>297</v>
      </c>
      <c r="B24" s="99" t="n">
        <v>0.546296296296296</v>
      </c>
      <c r="C24" s="99" t="n">
        <v>0.675872649434007</v>
      </c>
      <c r="D24" s="99" t="n">
        <v>0.555555555555556</v>
      </c>
      <c r="E24" s="99" t="n">
        <v>0.68377009612349</v>
      </c>
      <c r="F24" s="99" t="n">
        <v>0.536363636363636</v>
      </c>
      <c r="G24" s="99" t="n">
        <v>0.761562507575171</v>
      </c>
      <c r="H24" s="99" t="n">
        <v>0.607843137254902</v>
      </c>
      <c r="I24" s="99" t="n">
        <v>0.762521514785829</v>
      </c>
      <c r="J24" s="99" t="n">
        <v>0.553398058252427</v>
      </c>
      <c r="K24" s="99" t="n">
        <v>0.849902195174962</v>
      </c>
      <c r="L24" s="99" t="n">
        <v>0.594594594594595</v>
      </c>
      <c r="M24" s="99" t="n">
        <v>0.742782834850455</v>
      </c>
    </row>
    <row r="25" customFormat="false" ht="15" hidden="false" customHeight="true" outlineLevel="0" collapsed="false">
      <c r="A25" s="22" t="s">
        <v>298</v>
      </c>
      <c r="B25" s="99" t="n">
        <v>0.903225806451613</v>
      </c>
      <c r="C25" s="99" t="n">
        <v>0.994872525281299</v>
      </c>
      <c r="D25" s="99" t="n">
        <v>0.753424657534247</v>
      </c>
      <c r="E25" s="99" t="n">
        <v>0.816362669568551</v>
      </c>
      <c r="F25" s="99" t="n">
        <v>0.848484848484849</v>
      </c>
      <c r="G25" s="99" t="n">
        <v>0.994374188584892</v>
      </c>
      <c r="H25" s="99" t="n">
        <v>0.753623188405797</v>
      </c>
      <c r="I25" s="99" t="n">
        <v>0.813437566025777</v>
      </c>
      <c r="J25" s="99" t="n">
        <v>0.779411764705882</v>
      </c>
      <c r="K25" s="99" t="n">
        <v>0.987684054956484</v>
      </c>
      <c r="L25" s="99" t="n">
        <v>0.837837837837838</v>
      </c>
      <c r="M25" s="99" t="n">
        <v>0.75098814229249</v>
      </c>
    </row>
    <row r="26" customFormat="false" ht="15" hidden="false" customHeight="true" outlineLevel="0" collapsed="false">
      <c r="A26" s="22" t="s">
        <v>299</v>
      </c>
      <c r="B26" s="104" t="s">
        <v>147</v>
      </c>
      <c r="C26" s="104" t="s">
        <v>147</v>
      </c>
      <c r="D26" s="99" t="n">
        <v>0.718446601941748</v>
      </c>
      <c r="E26" s="99" t="n">
        <v>0.810942618534608</v>
      </c>
      <c r="F26" s="99" t="n">
        <v>0.820224719101124</v>
      </c>
      <c r="G26" s="99" t="n">
        <v>0.927727816910571</v>
      </c>
      <c r="H26" s="99" t="n">
        <v>0.893939393939394</v>
      </c>
      <c r="I26" s="99" t="n">
        <v>0.939507806267507</v>
      </c>
      <c r="J26" s="99" t="n">
        <v>0.891891891891892</v>
      </c>
      <c r="K26" s="99" t="n">
        <v>0.846210144026955</v>
      </c>
      <c r="L26" s="99" t="n">
        <v>0.784810126582278</v>
      </c>
      <c r="M26" s="99" t="n">
        <v>0.746630727762803</v>
      </c>
    </row>
    <row r="27" customFormat="false" ht="15" hidden="false" customHeight="true" outlineLevel="0" collapsed="false">
      <c r="A27" s="22" t="s">
        <v>300</v>
      </c>
      <c r="B27" s="104" t="s">
        <v>147</v>
      </c>
      <c r="C27" s="104" t="s">
        <v>147</v>
      </c>
      <c r="D27" s="99" t="n">
        <v>0.878048780487805</v>
      </c>
      <c r="E27" s="99" t="n">
        <v>0.677002903205881</v>
      </c>
      <c r="F27" s="99" t="n">
        <v>0.875</v>
      </c>
      <c r="G27" s="99" t="n">
        <v>0.695652173913043</v>
      </c>
      <c r="H27" s="99" t="n">
        <v>0.852941176470588</v>
      </c>
      <c r="I27" s="99" t="n">
        <v>0.617942442400203</v>
      </c>
      <c r="J27" s="99" t="n">
        <v>0.970588235294118</v>
      </c>
      <c r="K27" s="99" t="n">
        <v>0.808699154248892</v>
      </c>
      <c r="L27" s="105" t="n">
        <v>0.758620689655172</v>
      </c>
      <c r="M27" s="105" t="n">
        <v>0.785631517960603</v>
      </c>
    </row>
    <row r="28" customFormat="false" ht="15" hidden="false" customHeight="true" outlineLevel="0" collapsed="false">
      <c r="A28" s="22" t="s">
        <v>301</v>
      </c>
      <c r="B28" s="104" t="s">
        <v>147</v>
      </c>
      <c r="C28" s="104" t="s">
        <v>147</v>
      </c>
      <c r="D28" s="104" t="s">
        <v>147</v>
      </c>
      <c r="E28" s="104" t="s">
        <v>147</v>
      </c>
      <c r="F28" s="104" t="s">
        <v>147</v>
      </c>
      <c r="G28" s="104" t="s">
        <v>147</v>
      </c>
      <c r="H28" s="104" t="s">
        <v>147</v>
      </c>
      <c r="I28" s="104" t="s">
        <v>147</v>
      </c>
      <c r="J28" s="105" t="n">
        <v>0.647058823529412</v>
      </c>
      <c r="K28" s="105" t="n">
        <v>0.882011605415861</v>
      </c>
      <c r="L28" s="99" t="n">
        <v>0.59375</v>
      </c>
      <c r="M28" s="99" t="n">
        <v>0.898876404494382</v>
      </c>
    </row>
    <row r="29" customFormat="false" ht="15" hidden="false" customHeight="true" outlineLevel="0" collapsed="false">
      <c r="A29" s="22" t="s">
        <v>302</v>
      </c>
      <c r="B29" s="104" t="s">
        <v>147</v>
      </c>
      <c r="C29" s="104" t="s">
        <v>147</v>
      </c>
      <c r="D29" s="104" t="s">
        <v>147</v>
      </c>
      <c r="E29" s="104" t="s">
        <v>147</v>
      </c>
      <c r="F29" s="104" t="s">
        <v>147</v>
      </c>
      <c r="G29" s="104" t="s">
        <v>147</v>
      </c>
      <c r="H29" s="104" t="s">
        <v>147</v>
      </c>
      <c r="I29" s="104" t="s">
        <v>147</v>
      </c>
      <c r="J29" s="105" t="n">
        <v>0.545454545454545</v>
      </c>
      <c r="K29" s="105" t="n">
        <v>1</v>
      </c>
      <c r="L29" s="105" t="n">
        <v>0.818181818181818</v>
      </c>
      <c r="M29" s="105" t="n">
        <v>1</v>
      </c>
    </row>
    <row r="30" customFormat="false" ht="15" hidden="false" customHeight="true" outlineLevel="0" collapsed="false">
      <c r="A30" s="22" t="s">
        <v>303</v>
      </c>
      <c r="B30" s="99" t="n">
        <v>0.767676767676768</v>
      </c>
      <c r="C30" s="99" t="n">
        <v>0.967095538569856</v>
      </c>
      <c r="D30" s="99" t="n">
        <v>0.666666666666667</v>
      </c>
      <c r="E30" s="99" t="n">
        <v>0.782803366540263</v>
      </c>
      <c r="F30" s="99" t="n">
        <v>0.680851063829787</v>
      </c>
      <c r="G30" s="99" t="n">
        <v>0.732942913507947</v>
      </c>
      <c r="H30" s="99" t="n">
        <v>0.75</v>
      </c>
      <c r="I30" s="99" t="n">
        <v>0.716245661239791</v>
      </c>
      <c r="J30" s="99" t="n">
        <v>0.709090909090909</v>
      </c>
      <c r="K30" s="99" t="n">
        <v>0.861471079405505</v>
      </c>
      <c r="L30" s="99" t="n">
        <v>0.789473684210526</v>
      </c>
      <c r="M30" s="99" t="n">
        <v>0.870233352305065</v>
      </c>
    </row>
    <row r="31" customFormat="false" ht="15" hidden="false" customHeight="true" outlineLevel="0" collapsed="false">
      <c r="A31" s="22" t="s">
        <v>304</v>
      </c>
      <c r="B31" s="105" t="n">
        <v>0.9</v>
      </c>
      <c r="C31" s="105" t="n">
        <v>0.945945945945946</v>
      </c>
      <c r="D31" s="105" t="n">
        <v>0.64</v>
      </c>
      <c r="E31" s="105" t="n">
        <v>0.937575757575758</v>
      </c>
      <c r="F31" s="105" t="n">
        <v>0.615384615384615</v>
      </c>
      <c r="G31" s="105" t="n">
        <v>1</v>
      </c>
      <c r="H31" s="105" t="n">
        <v>0.80952380952381</v>
      </c>
      <c r="I31" s="106" t="n">
        <v>1.03003727252796</v>
      </c>
      <c r="J31" s="105" t="n">
        <v>0.764705882352941</v>
      </c>
      <c r="K31" s="105" t="n">
        <v>1</v>
      </c>
      <c r="L31" s="105" t="n">
        <v>0.8125</v>
      </c>
      <c r="M31" s="105" t="n">
        <v>0.808612440191388</v>
      </c>
    </row>
    <row r="32" customFormat="false" ht="15" hidden="false" customHeight="true" outlineLevel="0" collapsed="false">
      <c r="A32" s="22" t="s">
        <v>305</v>
      </c>
      <c r="B32" s="104" t="s">
        <v>147</v>
      </c>
      <c r="C32" s="104" t="s">
        <v>147</v>
      </c>
      <c r="D32" s="104" t="s">
        <v>147</v>
      </c>
      <c r="E32" s="104" t="s">
        <v>147</v>
      </c>
      <c r="F32" s="104" t="s">
        <v>147</v>
      </c>
      <c r="G32" s="104" t="s">
        <v>147</v>
      </c>
      <c r="H32" s="104" t="s">
        <v>147</v>
      </c>
      <c r="I32" s="104" t="s">
        <v>147</v>
      </c>
      <c r="J32" s="105" t="n">
        <v>1</v>
      </c>
      <c r="K32" s="105" t="n">
        <v>1</v>
      </c>
      <c r="L32" s="105" t="n">
        <v>0.25</v>
      </c>
      <c r="M32" s="105" t="n">
        <v>1</v>
      </c>
    </row>
    <row r="33" customFormat="false" ht="15" hidden="false" customHeight="true" outlineLevel="0" collapsed="false">
      <c r="A33" s="22" t="s">
        <v>306</v>
      </c>
      <c r="B33" s="99" t="n">
        <v>0.727272727272727</v>
      </c>
      <c r="C33" s="106" t="n">
        <v>1.01300416033482</v>
      </c>
      <c r="D33" s="99" t="n">
        <v>0.785714285714286</v>
      </c>
      <c r="E33" s="99" t="n">
        <v>0.98114626536706</v>
      </c>
      <c r="F33" s="99" t="n">
        <v>0.696428571428571</v>
      </c>
      <c r="G33" s="99" t="n">
        <v>0.833144688756064</v>
      </c>
      <c r="H33" s="99" t="n">
        <v>0.675675675675676</v>
      </c>
      <c r="I33" s="99" t="n">
        <v>0.832133523318615</v>
      </c>
      <c r="J33" s="99" t="n">
        <v>0.722222222222222</v>
      </c>
      <c r="K33" s="99" t="n">
        <v>0.817412793460698</v>
      </c>
      <c r="L33" s="99" t="n">
        <v>0.755555555555556</v>
      </c>
      <c r="M33" s="99" t="n">
        <v>0.814393208566467</v>
      </c>
    </row>
    <row r="34" customFormat="false" ht="15" hidden="false" customHeight="true" outlineLevel="0" collapsed="false">
      <c r="A34" s="22" t="s">
        <v>307</v>
      </c>
      <c r="B34" s="99" t="n">
        <v>0.732919254658385</v>
      </c>
      <c r="C34" s="99" t="n">
        <v>0.790879798806383</v>
      </c>
      <c r="D34" s="99" t="n">
        <v>0.627329192546584</v>
      </c>
      <c r="E34" s="99" t="n">
        <v>0.78915206302712</v>
      </c>
      <c r="F34" s="99" t="n">
        <v>0.64957264957265</v>
      </c>
      <c r="G34" s="99" t="n">
        <v>0.756477620937359</v>
      </c>
      <c r="H34" s="99" t="n">
        <v>0.653225806451613</v>
      </c>
      <c r="I34" s="99" t="n">
        <v>0.78648610363487</v>
      </c>
      <c r="J34" s="99" t="n">
        <v>0.707865168539326</v>
      </c>
      <c r="K34" s="99" t="n">
        <v>0.833306249796873</v>
      </c>
      <c r="L34" s="99" t="n">
        <v>0.701754385964912</v>
      </c>
      <c r="M34" s="99" t="n">
        <v>0.775882124854595</v>
      </c>
    </row>
    <row r="35" customFormat="false" ht="15" hidden="false" customHeight="true" outlineLevel="0" collapsed="false">
      <c r="A35" s="22" t="s">
        <v>308</v>
      </c>
      <c r="B35" s="105" t="n">
        <v>0.75</v>
      </c>
      <c r="C35" s="105" t="n">
        <v>0.860495436766623</v>
      </c>
      <c r="D35" s="105" t="n">
        <v>0.6875</v>
      </c>
      <c r="E35" s="105" t="n">
        <v>0.956130483689539</v>
      </c>
      <c r="F35" s="105" t="n">
        <v>0.9</v>
      </c>
      <c r="G35" s="105" t="n">
        <v>0.946702800361337</v>
      </c>
      <c r="H35" s="105" t="n">
        <v>0.5</v>
      </c>
      <c r="I35" s="105" t="n">
        <v>0.973584905660377</v>
      </c>
      <c r="J35" s="104" t="s">
        <v>147</v>
      </c>
      <c r="K35" s="104" t="s">
        <v>147</v>
      </c>
      <c r="L35" s="105" t="n">
        <v>0.714285714285714</v>
      </c>
      <c r="M35" s="105" t="n">
        <v>0.90032154340836</v>
      </c>
    </row>
    <row r="36" customFormat="false" ht="15" hidden="false" customHeight="true" outlineLevel="0" collapsed="false">
      <c r="A36" s="22" t="s">
        <v>309</v>
      </c>
      <c r="B36" s="104" t="s">
        <v>147</v>
      </c>
      <c r="C36" s="104" t="s">
        <v>147</v>
      </c>
      <c r="D36" s="104" t="s">
        <v>147</v>
      </c>
      <c r="E36" s="104" t="s">
        <v>147</v>
      </c>
      <c r="F36" s="104" t="s">
        <v>147</v>
      </c>
      <c r="G36" s="104" t="s">
        <v>147</v>
      </c>
      <c r="H36" s="104" t="s">
        <v>147</v>
      </c>
      <c r="I36" s="104" t="s">
        <v>147</v>
      </c>
      <c r="J36" s="105" t="n">
        <v>0.793103448275862</v>
      </c>
      <c r="K36" s="105" t="n">
        <v>0.577190542420028</v>
      </c>
      <c r="L36" s="105" t="n">
        <v>0.777777777777778</v>
      </c>
      <c r="M36" s="105" t="n">
        <v>0.769230769230769</v>
      </c>
    </row>
    <row r="37" customFormat="false" ht="15" hidden="false" customHeight="true" outlineLevel="0" collapsed="false">
      <c r="A37" s="22" t="s">
        <v>310</v>
      </c>
      <c r="B37" s="104" t="s">
        <v>147</v>
      </c>
      <c r="C37" s="104" t="s">
        <v>147</v>
      </c>
      <c r="D37" s="104" t="s">
        <v>147</v>
      </c>
      <c r="E37" s="104" t="s">
        <v>147</v>
      </c>
      <c r="F37" s="104" t="s">
        <v>147</v>
      </c>
      <c r="G37" s="104" t="s">
        <v>147</v>
      </c>
      <c r="H37" s="99" t="n">
        <v>0.44</v>
      </c>
      <c r="I37" s="99" t="n">
        <v>0.690075374304277</v>
      </c>
      <c r="J37" s="99" t="n">
        <v>0.680851063829787</v>
      </c>
      <c r="K37" s="99" t="n">
        <v>0.956678561095574</v>
      </c>
      <c r="L37" s="99" t="n">
        <v>0.7</v>
      </c>
      <c r="M37" s="99" t="n">
        <v>0.95128552097429</v>
      </c>
    </row>
    <row r="38" customFormat="false" ht="15" hidden="false" customHeight="true" outlineLevel="0" collapsed="false">
      <c r="A38" s="22" t="s">
        <v>311</v>
      </c>
      <c r="B38" s="104" t="s">
        <v>147</v>
      </c>
      <c r="C38" s="104" t="s">
        <v>147</v>
      </c>
      <c r="D38" s="104" t="s">
        <v>147</v>
      </c>
      <c r="E38" s="104" t="s">
        <v>147</v>
      </c>
      <c r="F38" s="99" t="n">
        <v>0.694444444444444</v>
      </c>
      <c r="G38" s="99" t="n">
        <v>0.796653467875846</v>
      </c>
      <c r="H38" s="99" t="n">
        <v>0.536585365853659</v>
      </c>
      <c r="I38" s="106" t="n">
        <v>1.11711908931699</v>
      </c>
      <c r="J38" s="105" t="n">
        <v>0.75</v>
      </c>
      <c r="K38" s="105" t="n">
        <v>0.731163620151583</v>
      </c>
      <c r="L38" s="99" t="n">
        <v>0.85</v>
      </c>
      <c r="M38" s="99" t="n">
        <v>0.853316326530612</v>
      </c>
    </row>
    <row r="39" customFormat="false" ht="15" hidden="false" customHeight="true" outlineLevel="0" collapsed="false">
      <c r="A39" s="22" t="s">
        <v>312</v>
      </c>
      <c r="B39" s="99" t="n">
        <v>0.883720930232558</v>
      </c>
      <c r="C39" s="99" t="n">
        <v>0.732012924965645</v>
      </c>
      <c r="D39" s="99" t="n">
        <v>0.861111111111111</v>
      </c>
      <c r="E39" s="99" t="n">
        <v>0.751427217721578</v>
      </c>
      <c r="F39" s="99" t="n">
        <v>0.833333333333333</v>
      </c>
      <c r="G39" s="99" t="n">
        <v>0.708315225264378</v>
      </c>
      <c r="H39" s="99" t="n">
        <v>0.75</v>
      </c>
      <c r="I39" s="99" t="n">
        <v>0.776954824316788</v>
      </c>
      <c r="J39" s="99" t="n">
        <v>0.75</v>
      </c>
      <c r="K39" s="99" t="n">
        <v>0.824965926000025</v>
      </c>
      <c r="L39" s="99" t="n">
        <v>0.853658536585366</v>
      </c>
      <c r="M39" s="99" t="n">
        <v>0.763740771123872</v>
      </c>
    </row>
    <row r="40" customFormat="false" ht="15" hidden="false" customHeight="true" outlineLevel="0" collapsed="false">
      <c r="A40" s="22" t="s">
        <v>313</v>
      </c>
      <c r="B40" s="105" t="n">
        <v>0.619047619047619</v>
      </c>
      <c r="C40" s="105" t="n">
        <v>0.798289956382333</v>
      </c>
      <c r="D40" s="99" t="n">
        <v>0.507692307692308</v>
      </c>
      <c r="E40" s="99" t="n">
        <v>0.745538237823847</v>
      </c>
      <c r="F40" s="99" t="n">
        <v>0.527777777777778</v>
      </c>
      <c r="G40" s="99" t="n">
        <v>0.770879085408277</v>
      </c>
      <c r="H40" s="99" t="n">
        <v>0.628571428571429</v>
      </c>
      <c r="I40" s="99" t="n">
        <v>0.652733446272639</v>
      </c>
      <c r="J40" s="99" t="n">
        <v>0.574468085106383</v>
      </c>
      <c r="K40" s="99" t="n">
        <v>0.993680454016009</v>
      </c>
      <c r="L40" s="99" t="n">
        <v>0.68421052631579</v>
      </c>
      <c r="M40" s="99" t="n">
        <v>0.877659574468085</v>
      </c>
    </row>
    <row r="41" customFormat="false" ht="15" hidden="false" customHeight="true" outlineLevel="0" collapsed="false">
      <c r="A41" s="22" t="s">
        <v>314</v>
      </c>
      <c r="B41" s="104" t="s">
        <v>147</v>
      </c>
      <c r="C41" s="104" t="s">
        <v>147</v>
      </c>
      <c r="D41" s="104" t="s">
        <v>147</v>
      </c>
      <c r="E41" s="104" t="s">
        <v>147</v>
      </c>
      <c r="F41" s="104" t="s">
        <v>147</v>
      </c>
      <c r="G41" s="104" t="s">
        <v>147</v>
      </c>
      <c r="H41" s="104" t="s">
        <v>147</v>
      </c>
      <c r="I41" s="104" t="s">
        <v>147</v>
      </c>
      <c r="J41" s="104" t="s">
        <v>147</v>
      </c>
      <c r="K41" s="104" t="s">
        <v>147</v>
      </c>
      <c r="L41" s="105" t="n">
        <v>0.857142857142857</v>
      </c>
      <c r="M41" s="105" t="n">
        <v>1</v>
      </c>
    </row>
    <row r="42" customFormat="false" ht="15" hidden="false" customHeight="true" outlineLevel="0" collapsed="false">
      <c r="A42" s="22" t="s">
        <v>315</v>
      </c>
      <c r="B42" s="104" t="s">
        <v>147</v>
      </c>
      <c r="C42" s="104" t="s">
        <v>147</v>
      </c>
      <c r="D42" s="104" t="s">
        <v>147</v>
      </c>
      <c r="E42" s="104" t="s">
        <v>147</v>
      </c>
      <c r="F42" s="104" t="s">
        <v>147</v>
      </c>
      <c r="G42" s="104" t="s">
        <v>147</v>
      </c>
      <c r="H42" s="105" t="n">
        <v>0.791666666666667</v>
      </c>
      <c r="I42" s="105" t="n">
        <v>0.786026200873363</v>
      </c>
      <c r="J42" s="99" t="n">
        <v>0.84375</v>
      </c>
      <c r="K42" s="99" t="n">
        <v>0.562913907284768</v>
      </c>
      <c r="L42" s="99" t="n">
        <v>0.875</v>
      </c>
      <c r="M42" s="99" t="n">
        <v>0.681657402728651</v>
      </c>
    </row>
    <row r="43" customFormat="false" ht="15" hidden="false" customHeight="true" outlineLevel="0" collapsed="false">
      <c r="A43" s="22" t="s">
        <v>316</v>
      </c>
      <c r="B43" s="99" t="n">
        <v>0.783132530120482</v>
      </c>
      <c r="C43" s="99" t="n">
        <v>0.782638897205888</v>
      </c>
      <c r="D43" s="99" t="n">
        <v>0.772151898734177</v>
      </c>
      <c r="E43" s="99" t="n">
        <v>0.806159281729652</v>
      </c>
      <c r="F43" s="99" t="n">
        <v>0.603448275862069</v>
      </c>
      <c r="G43" s="99" t="n">
        <v>0.856545961002786</v>
      </c>
      <c r="H43" s="99" t="n">
        <v>0.780487804878049</v>
      </c>
      <c r="I43" s="99" t="n">
        <v>0.953529153879877</v>
      </c>
      <c r="J43" s="99" t="n">
        <v>0.62962962962963</v>
      </c>
      <c r="K43" s="99" t="n">
        <v>0.792126123732341</v>
      </c>
      <c r="L43" s="99" t="n">
        <v>0.75</v>
      </c>
      <c r="M43" s="99" t="n">
        <v>0.798293250581846</v>
      </c>
    </row>
    <row r="44" customFormat="false" ht="15" hidden="false" customHeight="true" outlineLevel="0" collapsed="false">
      <c r="A44" s="22" t="s">
        <v>317</v>
      </c>
      <c r="B44" s="99" t="n">
        <v>0.769230769230769</v>
      </c>
      <c r="C44" s="99" t="n">
        <v>0.715361173343724</v>
      </c>
      <c r="D44" s="105" t="n">
        <v>0.703703703703704</v>
      </c>
      <c r="E44" s="105" t="n">
        <v>0.856978306776733</v>
      </c>
      <c r="F44" s="105" t="n">
        <v>0.823529411764706</v>
      </c>
      <c r="G44" s="105" t="n">
        <v>0.939130434782609</v>
      </c>
      <c r="H44" s="105" t="n">
        <v>0.45</v>
      </c>
      <c r="I44" s="105" t="n">
        <v>0.873015873015873</v>
      </c>
      <c r="J44" s="105" t="n">
        <v>0.583333333333333</v>
      </c>
      <c r="K44" s="105" t="n">
        <v>0.947368421052632</v>
      </c>
      <c r="L44" s="105" t="n">
        <v>0.769230769230769</v>
      </c>
      <c r="M44" s="105" t="n">
        <v>0.85171102661597</v>
      </c>
    </row>
    <row r="45" customFormat="false" ht="15" hidden="false" customHeight="true" outlineLevel="0" collapsed="false">
      <c r="A45" s="22" t="s">
        <v>318</v>
      </c>
      <c r="B45" s="104" t="s">
        <v>147</v>
      </c>
      <c r="C45" s="104" t="s">
        <v>147</v>
      </c>
      <c r="D45" s="105" t="n">
        <v>0.476190476190476</v>
      </c>
      <c r="E45" s="105" t="n">
        <v>0.879103282626101</v>
      </c>
      <c r="F45" s="105" t="n">
        <v>0.521739130434783</v>
      </c>
      <c r="G45" s="105" t="n">
        <v>0.682154757497223</v>
      </c>
      <c r="H45" s="99" t="n">
        <v>0.680851063829787</v>
      </c>
      <c r="I45" s="99" t="n">
        <v>0.744577805853864</v>
      </c>
      <c r="J45" s="99" t="n">
        <v>0.592592592592593</v>
      </c>
      <c r="K45" s="99" t="n">
        <v>0.852863256572244</v>
      </c>
      <c r="L45" s="99" t="n">
        <v>0.603448275862069</v>
      </c>
      <c r="M45" s="99" t="n">
        <v>0.819067501739736</v>
      </c>
    </row>
    <row r="46" customFormat="false" ht="15" hidden="false" customHeight="true" outlineLevel="0" collapsed="false">
      <c r="A46" s="22" t="s">
        <v>319</v>
      </c>
      <c r="B46" s="105" t="n">
        <v>0.666666666666667</v>
      </c>
      <c r="C46" s="105" t="n">
        <v>0.935412026726058</v>
      </c>
      <c r="D46" s="105" t="n">
        <v>0.625</v>
      </c>
      <c r="E46" s="105" t="n">
        <v>0.590522478736331</v>
      </c>
      <c r="F46" s="105" t="n">
        <v>0.6</v>
      </c>
      <c r="G46" s="105" t="n">
        <v>0.775557486243846</v>
      </c>
      <c r="H46" s="99" t="n">
        <v>0.685714285714286</v>
      </c>
      <c r="I46" s="99" t="n">
        <v>0.858431018935978</v>
      </c>
      <c r="J46" s="99" t="n">
        <v>0.5</v>
      </c>
      <c r="K46" s="99" t="n">
        <v>0.90970370443799</v>
      </c>
      <c r="L46" s="99" t="n">
        <v>0.736842105263158</v>
      </c>
      <c r="M46" s="99" t="n">
        <v>0.820846905537459</v>
      </c>
    </row>
    <row r="47" customFormat="false" ht="15" hidden="false" customHeight="true" outlineLevel="0" collapsed="false">
      <c r="A47" s="22" t="s">
        <v>320</v>
      </c>
      <c r="B47" s="104" t="s">
        <v>147</v>
      </c>
      <c r="C47" s="104" t="s">
        <v>147</v>
      </c>
      <c r="D47" s="104" t="s">
        <v>147</v>
      </c>
      <c r="E47" s="104" t="s">
        <v>147</v>
      </c>
      <c r="F47" s="99" t="n">
        <v>0.806451612903226</v>
      </c>
      <c r="G47" s="99" t="n">
        <v>0.839059126548237</v>
      </c>
      <c r="H47" s="99" t="n">
        <v>0.810344827586207</v>
      </c>
      <c r="I47" s="99" t="n">
        <v>0.97875</v>
      </c>
      <c r="J47" s="99" t="n">
        <v>0.673913043478261</v>
      </c>
      <c r="K47" s="106" t="n">
        <v>1.03166510130149</v>
      </c>
      <c r="L47" s="99" t="n">
        <v>0.816326530612245</v>
      </c>
      <c r="M47" s="99" t="n">
        <v>0.845890410958904</v>
      </c>
    </row>
    <row r="48" customFormat="false" ht="15" hidden="false" customHeight="true" outlineLevel="0" collapsed="false">
      <c r="A48" s="22" t="s">
        <v>321</v>
      </c>
      <c r="B48" s="104" t="s">
        <v>147</v>
      </c>
      <c r="C48" s="104" t="s">
        <v>147</v>
      </c>
      <c r="D48" s="104" t="s">
        <v>147</v>
      </c>
      <c r="E48" s="104" t="s">
        <v>147</v>
      </c>
      <c r="F48" s="104" t="s">
        <v>147</v>
      </c>
      <c r="G48" s="104" t="s">
        <v>147</v>
      </c>
      <c r="H48" s="105" t="n">
        <v>0.615384615384615</v>
      </c>
      <c r="I48" s="105" t="n">
        <v>0.91496062992126</v>
      </c>
      <c r="J48" s="99" t="n">
        <v>0.759259259259259</v>
      </c>
      <c r="K48" s="99" t="n">
        <v>0.942911157708192</v>
      </c>
      <c r="L48" s="99" t="n">
        <v>0.5625</v>
      </c>
      <c r="M48" s="99" t="n">
        <v>0.836879432624113</v>
      </c>
    </row>
    <row r="49" customFormat="false" ht="15" hidden="false" customHeight="true" outlineLevel="0" collapsed="false">
      <c r="A49" s="22" t="s">
        <v>322</v>
      </c>
      <c r="B49" s="104" t="s">
        <v>147</v>
      </c>
      <c r="C49" s="104" t="s">
        <v>147</v>
      </c>
      <c r="D49" s="104" t="s">
        <v>147</v>
      </c>
      <c r="E49" s="104" t="s">
        <v>147</v>
      </c>
      <c r="F49" s="104" t="s">
        <v>147</v>
      </c>
      <c r="G49" s="104" t="s">
        <v>147</v>
      </c>
      <c r="H49" s="105" t="n">
        <v>0.75</v>
      </c>
      <c r="I49" s="105" t="n">
        <v>0.971043771043771</v>
      </c>
      <c r="J49" s="105" t="n">
        <v>0.655172413793103</v>
      </c>
      <c r="K49" s="105" t="n">
        <v>0.836854774003744</v>
      </c>
      <c r="L49" s="105" t="n">
        <v>0.733333333333333</v>
      </c>
      <c r="M49" s="105" t="n">
        <v>0.917098445595855</v>
      </c>
    </row>
    <row r="50" customFormat="false" ht="15" hidden="false" customHeight="true" outlineLevel="0" collapsed="false">
      <c r="A50" s="22" t="s">
        <v>323</v>
      </c>
      <c r="B50" s="99" t="n">
        <v>0.807228915662651</v>
      </c>
      <c r="C50" s="99" t="n">
        <v>0.839215116409878</v>
      </c>
      <c r="D50" s="99" t="n">
        <v>0.746781115879828</v>
      </c>
      <c r="E50" s="99" t="n">
        <v>0.756352348945268</v>
      </c>
      <c r="F50" s="99" t="n">
        <v>0.782857142857143</v>
      </c>
      <c r="G50" s="99" t="n">
        <v>0.789087087867027</v>
      </c>
      <c r="H50" s="99" t="n">
        <v>0.761421319796954</v>
      </c>
      <c r="I50" s="99" t="n">
        <v>0.908236120116407</v>
      </c>
      <c r="J50" s="99" t="n">
        <v>0.855491329479769</v>
      </c>
      <c r="K50" s="99" t="n">
        <v>0.847867354146693</v>
      </c>
      <c r="L50" s="99" t="n">
        <v>0.854838709677419</v>
      </c>
      <c r="M50" s="99" t="n">
        <v>0.794425938942029</v>
      </c>
    </row>
    <row r="51" customFormat="false" ht="15" hidden="false" customHeight="true" outlineLevel="0" collapsed="false">
      <c r="A51" s="22" t="s">
        <v>324</v>
      </c>
      <c r="B51" s="104" t="s">
        <v>147</v>
      </c>
      <c r="C51" s="104" t="s">
        <v>147</v>
      </c>
      <c r="D51" s="104" t="s">
        <v>147</v>
      </c>
      <c r="E51" s="104" t="s">
        <v>147</v>
      </c>
      <c r="F51" s="104" t="s">
        <v>147</v>
      </c>
      <c r="G51" s="104" t="s">
        <v>147</v>
      </c>
      <c r="H51" s="104" t="s">
        <v>147</v>
      </c>
      <c r="I51" s="104" t="s">
        <v>147</v>
      </c>
      <c r="J51" s="104" t="s">
        <v>147</v>
      </c>
      <c r="K51" s="104" t="s">
        <v>147</v>
      </c>
      <c r="L51" s="104" t="s">
        <v>147</v>
      </c>
      <c r="M51" s="104" t="s">
        <v>147</v>
      </c>
    </row>
    <row r="52" customFormat="false" ht="15" hidden="false" customHeight="true" outlineLevel="0" collapsed="false">
      <c r="A52" s="22" t="s">
        <v>325</v>
      </c>
      <c r="B52" s="104" t="s">
        <v>147</v>
      </c>
      <c r="C52" s="104" t="s">
        <v>147</v>
      </c>
      <c r="D52" s="105" t="n">
        <v>0.333333333333333</v>
      </c>
      <c r="E52" s="105" t="n">
        <v>1</v>
      </c>
      <c r="F52" s="105" t="n">
        <v>0</v>
      </c>
      <c r="G52" s="104" t="s">
        <v>147</v>
      </c>
      <c r="H52" s="105" t="n">
        <v>0.6</v>
      </c>
      <c r="I52" s="105" t="n">
        <v>1</v>
      </c>
      <c r="J52" s="105" t="n">
        <v>0.75</v>
      </c>
      <c r="K52" s="105" t="n">
        <v>1</v>
      </c>
      <c r="L52" s="105" t="n">
        <v>0.5</v>
      </c>
      <c r="M52" s="105" t="n">
        <v>1</v>
      </c>
    </row>
    <row r="53" customFormat="false" ht="15" hidden="false" customHeight="true" outlineLevel="0" collapsed="false">
      <c r="A53" s="22" t="s">
        <v>326</v>
      </c>
      <c r="B53" s="105" t="n">
        <v>1</v>
      </c>
      <c r="C53" s="105" t="n">
        <v>1</v>
      </c>
      <c r="D53" s="105" t="n">
        <v>0</v>
      </c>
      <c r="E53" s="104" t="s">
        <v>147</v>
      </c>
      <c r="F53" s="105" t="n">
        <v>0.5</v>
      </c>
      <c r="G53" s="105" t="n">
        <v>1</v>
      </c>
      <c r="H53" s="105" t="n">
        <v>0.25</v>
      </c>
      <c r="I53" s="105" t="n">
        <v>1</v>
      </c>
      <c r="J53" s="105" t="n">
        <v>1</v>
      </c>
      <c r="K53" s="105" t="n">
        <v>1</v>
      </c>
      <c r="L53" s="105" t="n">
        <v>0.333333333333333</v>
      </c>
      <c r="M53" s="105" t="n">
        <v>1</v>
      </c>
    </row>
    <row r="54" customFormat="false" ht="15" hidden="false" customHeight="true" outlineLevel="0" collapsed="false">
      <c r="A54" s="22" t="s">
        <v>327</v>
      </c>
      <c r="B54" s="105" t="n">
        <v>0.166666666666667</v>
      </c>
      <c r="C54" s="105" t="n">
        <v>1</v>
      </c>
      <c r="D54" s="105" t="n">
        <v>1</v>
      </c>
      <c r="E54" s="105" t="n">
        <v>1</v>
      </c>
      <c r="F54" s="105" t="n">
        <v>0.142857142857143</v>
      </c>
      <c r="G54" s="106" t="n">
        <v>1.36842105263158</v>
      </c>
      <c r="H54" s="105" t="n">
        <v>0.75</v>
      </c>
      <c r="I54" s="105" t="n">
        <v>0.777777777777778</v>
      </c>
      <c r="J54" s="105" t="n">
        <v>0.555555555555556</v>
      </c>
      <c r="K54" s="105" t="n">
        <v>0.84</v>
      </c>
      <c r="L54" s="105" t="n">
        <v>1</v>
      </c>
      <c r="M54" s="105" t="n">
        <v>1</v>
      </c>
    </row>
    <row r="55" customFormat="false" ht="15" hidden="false" customHeight="true" outlineLevel="0" collapsed="false">
      <c r="A55" s="22" t="s">
        <v>328</v>
      </c>
      <c r="B55" s="104" t="s">
        <v>147</v>
      </c>
      <c r="C55" s="104" t="s">
        <v>147</v>
      </c>
      <c r="D55" s="104" t="s">
        <v>147</v>
      </c>
      <c r="E55" s="104" t="s">
        <v>147</v>
      </c>
      <c r="F55" s="105" t="n">
        <v>0</v>
      </c>
      <c r="G55" s="104" t="s">
        <v>147</v>
      </c>
      <c r="H55" s="105" t="n">
        <v>1</v>
      </c>
      <c r="I55" s="105" t="n">
        <v>1</v>
      </c>
      <c r="J55" s="104" t="s">
        <v>147</v>
      </c>
      <c r="K55" s="104" t="s">
        <v>147</v>
      </c>
      <c r="L55" s="105" t="n">
        <v>0.25</v>
      </c>
      <c r="M55" s="106" t="n">
        <v>1.37931034482759</v>
      </c>
    </row>
  </sheetData>
  <mergeCells count="9">
    <mergeCell ref="A1:M1"/>
    <mergeCell ref="A2:M2"/>
    <mergeCell ref="A13:A14"/>
    <mergeCell ref="B13:C13"/>
    <mergeCell ref="D13:E13"/>
    <mergeCell ref="F13:G13"/>
    <mergeCell ref="H13:I13"/>
    <mergeCell ref="J13:K13"/>
    <mergeCell ref="L13:M1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46"/>
    <col collapsed="false" customWidth="true" hidden="false" outlineLevel="0" max="7" min="2" style="0" width="14"/>
  </cols>
  <sheetData>
    <row r="1" customFormat="false" ht="17.25" hidden="false" customHeight="true" outlineLevel="0" collapsed="false">
      <c r="A1" s="46" t="s">
        <v>600</v>
      </c>
      <c r="B1" s="46"/>
      <c r="C1" s="46"/>
      <c r="D1" s="46"/>
      <c r="E1" s="46"/>
      <c r="F1" s="46"/>
      <c r="G1" s="46"/>
    </row>
    <row r="2" customFormat="false" ht="61.5" hidden="false" customHeight="true" outlineLevel="0" collapsed="false">
      <c r="A2" s="47" t="s">
        <v>601</v>
      </c>
      <c r="B2" s="47"/>
      <c r="C2" s="47"/>
      <c r="D2" s="47"/>
      <c r="E2" s="47"/>
      <c r="F2" s="47"/>
      <c r="G2" s="47"/>
    </row>
    <row r="4" customFormat="false" ht="15" hidden="false" customHeight="true" outlineLevel="0" collapsed="false">
      <c r="A4" s="97" t="s">
        <v>585</v>
      </c>
    </row>
    <row r="5" customFormat="false" ht="30" hidden="false" customHeight="true" outlineLevel="0" collapsed="false">
      <c r="A5" s="12" t="s">
        <v>586</v>
      </c>
      <c r="B5" s="86" t="s">
        <v>602</v>
      </c>
      <c r="C5" s="86" t="s">
        <v>603</v>
      </c>
      <c r="D5" s="86" t="s">
        <v>604</v>
      </c>
    </row>
    <row r="6" customFormat="false" ht="15" hidden="false" customHeight="true" outlineLevel="0" collapsed="false">
      <c r="A6" s="96" t="s">
        <v>593</v>
      </c>
      <c r="B6" s="99" t="n">
        <v>0.714489657610455</v>
      </c>
      <c r="C6" s="99" t="n">
        <v>0.72739916550765</v>
      </c>
      <c r="D6" s="107" t="n">
        <v>0.717142561818896</v>
      </c>
    </row>
    <row r="7" customFormat="false" ht="15" hidden="false" customHeight="true" outlineLevel="0" collapsed="false">
      <c r="A7" s="96" t="s">
        <v>594</v>
      </c>
      <c r="B7" s="99" t="n">
        <v>0.735608059694181</v>
      </c>
      <c r="C7" s="99" t="n">
        <v>0.802186293966682</v>
      </c>
      <c r="D7" s="107" t="n">
        <v>0.799071378966737</v>
      </c>
    </row>
    <row r="10" customFormat="false" ht="15" hidden="false" customHeight="true" outlineLevel="0" collapsed="false">
      <c r="A10" s="97" t="s">
        <v>597</v>
      </c>
    </row>
    <row r="11" customFormat="false" ht="30" hidden="false" customHeight="true" outlineLevel="0" collapsed="false">
      <c r="A11" s="12" t="s">
        <v>379</v>
      </c>
      <c r="B11" s="86" t="s">
        <v>602</v>
      </c>
      <c r="C11" s="86"/>
      <c r="D11" s="86" t="s">
        <v>603</v>
      </c>
      <c r="E11" s="86"/>
      <c r="F11" s="86" t="s">
        <v>604</v>
      </c>
      <c r="G11" s="86"/>
    </row>
    <row r="12" customFormat="false" ht="15" hidden="false" customHeight="true" outlineLevel="0" collapsed="false">
      <c r="A12" s="12"/>
      <c r="B12" s="12" t="s">
        <v>598</v>
      </c>
      <c r="C12" s="12" t="s">
        <v>599</v>
      </c>
      <c r="D12" s="12" t="s">
        <v>598</v>
      </c>
      <c r="E12" s="12" t="s">
        <v>599</v>
      </c>
      <c r="F12" s="12" t="s">
        <v>598</v>
      </c>
      <c r="G12" s="12" t="s">
        <v>599</v>
      </c>
    </row>
    <row r="13" customFormat="false" ht="15" hidden="false" customHeight="true" outlineLevel="0" collapsed="false">
      <c r="A13" s="22" t="s">
        <v>271</v>
      </c>
      <c r="B13" s="104" t="s">
        <v>147</v>
      </c>
      <c r="C13" s="104" t="s">
        <v>147</v>
      </c>
      <c r="D13" s="104" t="s">
        <v>147</v>
      </c>
      <c r="E13" s="104" t="s">
        <v>147</v>
      </c>
      <c r="F13" s="104" t="s">
        <v>605</v>
      </c>
      <c r="G13" s="104" t="s">
        <v>605</v>
      </c>
    </row>
    <row r="14" customFormat="false" ht="15" hidden="false" customHeight="true" outlineLevel="0" collapsed="false">
      <c r="A14" s="22" t="s">
        <v>273</v>
      </c>
      <c r="B14" s="99" t="n">
        <v>0.906458333333333</v>
      </c>
      <c r="C14" s="99" t="n">
        <v>0.973278000218114</v>
      </c>
      <c r="D14" s="104" t="s">
        <v>147</v>
      </c>
      <c r="E14" s="104" t="s">
        <v>147</v>
      </c>
      <c r="F14" s="104" t="s">
        <v>605</v>
      </c>
      <c r="G14" s="104" t="s">
        <v>605</v>
      </c>
    </row>
    <row r="15" customFormat="false" ht="15" hidden="false" customHeight="true" outlineLevel="0" collapsed="false">
      <c r="A15" s="22" t="s">
        <v>274</v>
      </c>
      <c r="B15" s="99" t="n">
        <v>0.948148148148148</v>
      </c>
      <c r="C15" s="99" t="n">
        <v>1</v>
      </c>
      <c r="D15" s="99" t="n">
        <v>0.9</v>
      </c>
      <c r="E15" s="99" t="n">
        <v>1</v>
      </c>
      <c r="F15" s="107" t="n">
        <v>0.918554816159172</v>
      </c>
      <c r="G15" s="107" t="n">
        <v>1</v>
      </c>
    </row>
    <row r="16" customFormat="false" ht="15" hidden="false" customHeight="true" outlineLevel="0" collapsed="false">
      <c r="A16" s="22" t="s">
        <v>291</v>
      </c>
      <c r="B16" s="104" t="s">
        <v>147</v>
      </c>
      <c r="C16" s="104" t="s">
        <v>147</v>
      </c>
      <c r="D16" s="104" t="s">
        <v>147</v>
      </c>
      <c r="E16" s="104" t="s">
        <v>147</v>
      </c>
      <c r="F16" s="104" t="s">
        <v>605</v>
      </c>
      <c r="G16" s="104" t="s">
        <v>605</v>
      </c>
    </row>
    <row r="17" customFormat="false" ht="15" hidden="false" customHeight="true" outlineLevel="0" collapsed="false">
      <c r="A17" s="22" t="s">
        <v>292</v>
      </c>
      <c r="B17" s="99" t="n">
        <v>0.702708622200148</v>
      </c>
      <c r="C17" s="99" t="n">
        <v>0.704252808633264</v>
      </c>
      <c r="D17" s="99" t="n">
        <v>0.596153846153846</v>
      </c>
      <c r="E17" s="99" t="n">
        <v>0.770619614279852</v>
      </c>
      <c r="F17" s="107" t="n">
        <v>0.662069819317632</v>
      </c>
      <c r="G17" s="107" t="n">
        <v>0.76635596646222</v>
      </c>
    </row>
    <row r="18" customFormat="false" ht="15" hidden="false" customHeight="true" outlineLevel="0" collapsed="false">
      <c r="A18" s="22" t="s">
        <v>293</v>
      </c>
      <c r="B18" s="99" t="n">
        <v>0.65702861952862</v>
      </c>
      <c r="C18" s="99" t="n">
        <v>0.848184354223938</v>
      </c>
      <c r="D18" s="99" t="n">
        <v>0.636363636363636</v>
      </c>
      <c r="E18" s="99" t="n">
        <v>0.787234042553192</v>
      </c>
      <c r="F18" s="107" t="n">
        <v>0.647535353535354</v>
      </c>
      <c r="G18" s="107" t="n">
        <v>0.744737077674469</v>
      </c>
    </row>
    <row r="19" customFormat="false" ht="15" hidden="false" customHeight="true" outlineLevel="0" collapsed="false">
      <c r="A19" s="22" t="s">
        <v>294</v>
      </c>
      <c r="B19" s="99" t="n">
        <v>0.788172882763085</v>
      </c>
      <c r="C19" s="99" t="n">
        <v>0.814409858646928</v>
      </c>
      <c r="D19" s="99" t="n">
        <v>0.763636363636364</v>
      </c>
      <c r="E19" s="99" t="n">
        <v>0.771504357711254</v>
      </c>
      <c r="F19" s="107" t="n">
        <v>0.687365177195686</v>
      </c>
      <c r="G19" s="107" t="n">
        <v>0.757543645271249</v>
      </c>
    </row>
    <row r="20" customFormat="false" ht="15" hidden="false" customHeight="true" outlineLevel="0" collapsed="false">
      <c r="A20" s="22" t="s">
        <v>295</v>
      </c>
      <c r="B20" s="99" t="n">
        <v>0.547736625514403</v>
      </c>
      <c r="C20" s="99" t="n">
        <v>0.825712103357457</v>
      </c>
      <c r="D20" s="99" t="n">
        <v>0.5</v>
      </c>
      <c r="E20" s="99" t="n">
        <v>0.913573085846868</v>
      </c>
      <c r="F20" s="107" t="n">
        <v>0.555685487918201</v>
      </c>
      <c r="G20" s="107" t="n">
        <v>0.827524724063783</v>
      </c>
    </row>
    <row r="21" customFormat="false" ht="15" hidden="false" customHeight="true" outlineLevel="0" collapsed="false">
      <c r="A21" s="22" t="s">
        <v>296</v>
      </c>
      <c r="B21" s="99" t="n">
        <v>0.628513528183777</v>
      </c>
      <c r="C21" s="99" t="n">
        <v>0.881890260641412</v>
      </c>
      <c r="D21" s="99" t="n">
        <v>0.603603603603604</v>
      </c>
      <c r="E21" s="99" t="n">
        <v>0.825515947467167</v>
      </c>
      <c r="F21" s="107" t="n">
        <v>0.640274097209032</v>
      </c>
      <c r="G21" s="107" t="n">
        <v>0.873393818673721</v>
      </c>
    </row>
    <row r="22" customFormat="false" ht="15" hidden="false" customHeight="true" outlineLevel="0" collapsed="false">
      <c r="A22" s="22" t="s">
        <v>297</v>
      </c>
      <c r="B22" s="99" t="n">
        <v>0.585278596700641</v>
      </c>
      <c r="C22" s="99" t="n">
        <v>0.785068848270415</v>
      </c>
      <c r="D22" s="99" t="n">
        <v>0.594594594594595</v>
      </c>
      <c r="E22" s="99" t="n">
        <v>0.742782834850455</v>
      </c>
      <c r="F22" s="107" t="n">
        <v>0.596325063100239</v>
      </c>
      <c r="G22" s="107" t="n">
        <v>0.829459256135384</v>
      </c>
    </row>
    <row r="23" customFormat="false" ht="15" hidden="false" customHeight="true" outlineLevel="0" collapsed="false">
      <c r="A23" s="22" t="s">
        <v>298</v>
      </c>
      <c r="B23" s="99" t="n">
        <v>0.790290930316506</v>
      </c>
      <c r="C23" s="99" t="n">
        <v>0.850703254424917</v>
      </c>
      <c r="D23" s="99" t="n">
        <v>0.837837837837838</v>
      </c>
      <c r="E23" s="99" t="n">
        <v>0.75098814229249</v>
      </c>
      <c r="F23" s="107" t="n">
        <v>0.778283999073402</v>
      </c>
      <c r="G23" s="107" t="n">
        <v>0.804313752984313</v>
      </c>
    </row>
    <row r="24" customFormat="false" ht="15" hidden="false" customHeight="true" outlineLevel="0" collapsed="false">
      <c r="A24" s="22" t="s">
        <v>299</v>
      </c>
      <c r="B24" s="99" t="n">
        <v>0.856880470804521</v>
      </c>
      <c r="C24" s="99" t="n">
        <v>0.844116226019088</v>
      </c>
      <c r="D24" s="99" t="n">
        <v>0.784810126582278</v>
      </c>
      <c r="E24" s="99" t="n">
        <v>0.746630727762803</v>
      </c>
      <c r="F24" s="107" t="n">
        <v>0.883180813312836</v>
      </c>
      <c r="G24" s="107" t="n">
        <v>0.791161386372321</v>
      </c>
    </row>
    <row r="25" customFormat="false" ht="15" hidden="false" customHeight="true" outlineLevel="0" collapsed="false">
      <c r="A25" s="22" t="s">
        <v>300</v>
      </c>
      <c r="B25" s="99" t="n">
        <v>0.860716700473293</v>
      </c>
      <c r="C25" s="99" t="n">
        <v>0.737424371536566</v>
      </c>
      <c r="D25" s="99" t="n">
        <v>0.758620689655172</v>
      </c>
      <c r="E25" s="99" t="n">
        <v>0.785631517960603</v>
      </c>
      <c r="F25" s="107" t="n">
        <v>0.824059392470192</v>
      </c>
      <c r="G25" s="107" t="n">
        <v>0.816076901299312</v>
      </c>
    </row>
    <row r="26" customFormat="false" ht="15" hidden="false" customHeight="true" outlineLevel="0" collapsed="false">
      <c r="A26" s="22" t="s">
        <v>301</v>
      </c>
      <c r="B26" s="99" t="n">
        <v>0.620404411764706</v>
      </c>
      <c r="C26" s="99" t="n">
        <v>0.890444004955121</v>
      </c>
      <c r="D26" s="99" t="n">
        <v>0.59375</v>
      </c>
      <c r="E26" s="99" t="n">
        <v>0.898876404494382</v>
      </c>
      <c r="F26" s="104" t="s">
        <v>605</v>
      </c>
      <c r="G26" s="104" t="s">
        <v>605</v>
      </c>
    </row>
    <row r="27" customFormat="false" ht="15" hidden="false" customHeight="true" outlineLevel="0" collapsed="false">
      <c r="A27" s="22" t="s">
        <v>302</v>
      </c>
      <c r="B27" s="99" t="n">
        <v>0.681818181818182</v>
      </c>
      <c r="C27" s="99" t="n">
        <v>1</v>
      </c>
      <c r="D27" s="99" t="n">
        <v>0.818181818181818</v>
      </c>
      <c r="E27" s="99" t="n">
        <v>1</v>
      </c>
      <c r="F27" s="104" t="s">
        <v>605</v>
      </c>
      <c r="G27" s="104" t="s">
        <v>605</v>
      </c>
    </row>
    <row r="28" customFormat="false" ht="15" hidden="false" customHeight="true" outlineLevel="0" collapsed="false">
      <c r="A28" s="22" t="s">
        <v>303</v>
      </c>
      <c r="B28" s="99" t="n">
        <v>0.749521531100479</v>
      </c>
      <c r="C28" s="99" t="n">
        <v>0.815983364316787</v>
      </c>
      <c r="D28" s="99" t="n">
        <v>0.789473684210526</v>
      </c>
      <c r="E28" s="99" t="n">
        <v>0.870233352305065</v>
      </c>
      <c r="F28" s="107" t="n">
        <v>0.757833806523616</v>
      </c>
      <c r="G28" s="107" t="n">
        <v>0.795298147428433</v>
      </c>
    </row>
    <row r="29" customFormat="false" ht="15" hidden="false" customHeight="true" outlineLevel="0" collapsed="false">
      <c r="A29" s="22" t="s">
        <v>304</v>
      </c>
      <c r="B29" s="99" t="n">
        <v>0.795576563958917</v>
      </c>
      <c r="C29" s="99" t="n">
        <v>0.946216570906447</v>
      </c>
      <c r="D29" s="99" t="n">
        <v>0.8125</v>
      </c>
      <c r="E29" s="99" t="n">
        <v>0.808612440191388</v>
      </c>
      <c r="F29" s="107" t="n">
        <v>0.77009473533003</v>
      </c>
      <c r="G29" s="107" t="n">
        <v>0.906759483142963</v>
      </c>
    </row>
    <row r="30" customFormat="false" ht="15" hidden="false" customHeight="true" outlineLevel="0" collapsed="false">
      <c r="A30" s="22" t="s">
        <v>305</v>
      </c>
      <c r="B30" s="99" t="n">
        <v>0.625</v>
      </c>
      <c r="C30" s="99" t="n">
        <v>1</v>
      </c>
      <c r="D30" s="99" t="n">
        <v>0.25</v>
      </c>
      <c r="E30" s="99" t="n">
        <v>1</v>
      </c>
      <c r="F30" s="104" t="s">
        <v>605</v>
      </c>
      <c r="G30" s="104" t="s">
        <v>605</v>
      </c>
    </row>
    <row r="31" customFormat="false" ht="15" hidden="false" customHeight="true" outlineLevel="0" collapsed="false">
      <c r="A31" s="22" t="s">
        <v>306</v>
      </c>
      <c r="B31" s="99" t="n">
        <v>0.717817817817818</v>
      </c>
      <c r="C31" s="99" t="n">
        <v>0.82131317511526</v>
      </c>
      <c r="D31" s="99" t="n">
        <v>0.755555555555556</v>
      </c>
      <c r="E31" s="99" t="n">
        <v>0.814393208566467</v>
      </c>
      <c r="F31" s="107" t="n">
        <v>0.720163345163345</v>
      </c>
      <c r="G31" s="107" t="n">
        <v>0.733345805967458</v>
      </c>
    </row>
    <row r="32" customFormat="false" ht="15" hidden="false" customHeight="true" outlineLevel="0" collapsed="false">
      <c r="A32" s="22" t="s">
        <v>307</v>
      </c>
      <c r="B32" s="99" t="n">
        <v>0.687615120318617</v>
      </c>
      <c r="C32" s="99" t="n">
        <v>0.798558159428779</v>
      </c>
      <c r="D32" s="99" t="n">
        <v>0.701754385964912</v>
      </c>
      <c r="E32" s="99" t="n">
        <v>0.775882124854595</v>
      </c>
      <c r="F32" s="107" t="n">
        <v>0.687721417094561</v>
      </c>
      <c r="G32" s="107" t="n">
        <v>0.79744559416765</v>
      </c>
    </row>
    <row r="33" customFormat="false" ht="15" hidden="false" customHeight="true" outlineLevel="0" collapsed="false">
      <c r="A33" s="22" t="s">
        <v>308</v>
      </c>
      <c r="B33" s="99" t="n">
        <v>0.607142857142857</v>
      </c>
      <c r="C33" s="99" t="n">
        <v>0.936953224534369</v>
      </c>
      <c r="D33" s="99" t="n">
        <v>0.714285714285714</v>
      </c>
      <c r="E33" s="99" t="n">
        <v>0.90032154340836</v>
      </c>
      <c r="F33" s="107" t="n">
        <v>0.64488416988417</v>
      </c>
      <c r="G33" s="107" t="n">
        <v>0.945415165720803</v>
      </c>
    </row>
    <row r="34" customFormat="false" ht="15" hidden="false" customHeight="true" outlineLevel="0" collapsed="false">
      <c r="A34" s="22" t="s">
        <v>309</v>
      </c>
      <c r="B34" s="99" t="n">
        <v>0.78544061302682</v>
      </c>
      <c r="C34" s="99" t="n">
        <v>0.673210655825399</v>
      </c>
      <c r="D34" s="99" t="n">
        <v>0.777777777777778</v>
      </c>
      <c r="E34" s="99" t="n">
        <v>0.769230769230769</v>
      </c>
      <c r="F34" s="104" t="s">
        <v>605</v>
      </c>
      <c r="G34" s="104" t="s">
        <v>605</v>
      </c>
    </row>
    <row r="35" customFormat="false" ht="15" hidden="false" customHeight="true" outlineLevel="0" collapsed="false">
      <c r="A35" s="22" t="s">
        <v>310</v>
      </c>
      <c r="B35" s="99" t="n">
        <v>0.606950354609929</v>
      </c>
      <c r="C35" s="99" t="n">
        <v>0.866013152124713</v>
      </c>
      <c r="D35" s="99" t="n">
        <v>0.7</v>
      </c>
      <c r="E35" s="99" t="n">
        <v>0.95128552097429</v>
      </c>
      <c r="F35" s="107" t="n">
        <v>0.866950354609929</v>
      </c>
      <c r="G35" s="107" t="n">
        <v>1</v>
      </c>
    </row>
    <row r="36" customFormat="false" ht="15" hidden="false" customHeight="true" outlineLevel="0" collapsed="false">
      <c r="A36" s="22" t="s">
        <v>311</v>
      </c>
      <c r="B36" s="99" t="n">
        <v>0.71219512195122</v>
      </c>
      <c r="C36" s="99" t="n">
        <v>0.900533011999728</v>
      </c>
      <c r="D36" s="99" t="n">
        <v>0.85</v>
      </c>
      <c r="E36" s="99" t="n">
        <v>0.853316326530612</v>
      </c>
      <c r="F36" s="107" t="n">
        <v>0.877777777777778</v>
      </c>
      <c r="G36" s="107" t="n">
        <v>0.820571402668481</v>
      </c>
    </row>
    <row r="37" customFormat="false" ht="15" hidden="false" customHeight="true" outlineLevel="0" collapsed="false">
      <c r="A37" s="22" t="s">
        <v>312</v>
      </c>
      <c r="B37" s="99" t="n">
        <v>0.784552845528455</v>
      </c>
      <c r="C37" s="99" t="n">
        <v>0.788553840480228</v>
      </c>
      <c r="D37" s="99" t="n">
        <v>0.853658536585366</v>
      </c>
      <c r="E37" s="99" t="n">
        <v>0.763740771123872</v>
      </c>
      <c r="F37" s="107" t="n">
        <v>0.765272788386799</v>
      </c>
      <c r="G37" s="107" t="n">
        <v>0.804358977033269</v>
      </c>
    </row>
    <row r="38" customFormat="false" ht="15" hidden="false" customHeight="true" outlineLevel="0" collapsed="false">
      <c r="A38" s="22" t="s">
        <v>313</v>
      </c>
      <c r="B38" s="99" t="n">
        <v>0.629083346664534</v>
      </c>
      <c r="C38" s="99" t="n">
        <v>0.841357824918911</v>
      </c>
      <c r="D38" s="99" t="n">
        <v>0.68421052631579</v>
      </c>
      <c r="E38" s="99" t="n">
        <v>0.877659574468085</v>
      </c>
      <c r="F38" s="107" t="n">
        <v>0.65298817602289</v>
      </c>
      <c r="G38" s="107" t="n">
        <v>0.908776369048826</v>
      </c>
    </row>
    <row r="39" customFormat="false" ht="15" hidden="false" customHeight="true" outlineLevel="0" collapsed="false">
      <c r="A39" s="22" t="s">
        <v>314</v>
      </c>
      <c r="B39" s="99" t="n">
        <v>0.857142857142857</v>
      </c>
      <c r="C39" s="99" t="n">
        <v>1</v>
      </c>
      <c r="D39" s="99" t="n">
        <v>0.857142857142857</v>
      </c>
      <c r="E39" s="99" t="n">
        <v>1</v>
      </c>
      <c r="F39" s="104" t="s">
        <v>605</v>
      </c>
      <c r="G39" s="104" t="s">
        <v>605</v>
      </c>
    </row>
    <row r="40" customFormat="false" ht="15" hidden="false" customHeight="true" outlineLevel="0" collapsed="false">
      <c r="A40" s="22" t="s">
        <v>315</v>
      </c>
      <c r="B40" s="99" t="n">
        <v>0.836805555555556</v>
      </c>
      <c r="C40" s="99" t="n">
        <v>0.676865836962261</v>
      </c>
      <c r="D40" s="99" t="n">
        <v>0.875</v>
      </c>
      <c r="E40" s="99" t="n">
        <v>0.681657402728651</v>
      </c>
      <c r="F40" s="107" t="n">
        <v>0.920138888888889</v>
      </c>
      <c r="G40" s="107" t="n">
        <v>0.572497038817549</v>
      </c>
    </row>
    <row r="41" customFormat="false" ht="15" hidden="false" customHeight="true" outlineLevel="0" collapsed="false">
      <c r="A41" s="22" t="s">
        <v>316</v>
      </c>
      <c r="B41" s="99" t="n">
        <v>0.720039144835893</v>
      </c>
      <c r="C41" s="99" t="n">
        <v>0.847982842731355</v>
      </c>
      <c r="D41" s="99" t="n">
        <v>0.75</v>
      </c>
      <c r="E41" s="99" t="n">
        <v>0.798293250581846</v>
      </c>
      <c r="F41" s="107" t="n">
        <v>0.678189363647394</v>
      </c>
      <c r="G41" s="107" t="n">
        <v>0.84486432659856</v>
      </c>
    </row>
    <row r="42" customFormat="false" ht="15" hidden="false" customHeight="true" outlineLevel="0" collapsed="false">
      <c r="A42" s="22" t="s">
        <v>317</v>
      </c>
      <c r="B42" s="99" t="n">
        <v>0.600854700854701</v>
      </c>
      <c r="C42" s="99" t="n">
        <v>0.890698440228158</v>
      </c>
      <c r="D42" s="99" t="n">
        <v>0.769230769230769</v>
      </c>
      <c r="E42" s="99" t="n">
        <v>0.85171102661597</v>
      </c>
      <c r="F42" s="107" t="n">
        <v>0.609707278922965</v>
      </c>
      <c r="G42" s="107" t="n">
        <v>0.952608044006809</v>
      </c>
    </row>
    <row r="43" customFormat="false" ht="15" hidden="false" customHeight="true" outlineLevel="0" collapsed="false">
      <c r="A43" s="22" t="s">
        <v>318</v>
      </c>
      <c r="B43" s="99" t="n">
        <v>0.625630644094816</v>
      </c>
      <c r="C43" s="99" t="n">
        <v>0.805502854721948</v>
      </c>
      <c r="D43" s="99" t="n">
        <v>0.603448275862069</v>
      </c>
      <c r="E43" s="99" t="n">
        <v>0.819067501739736</v>
      </c>
      <c r="F43" s="107" t="n">
        <v>0.67257502623224</v>
      </c>
      <c r="G43" s="107" t="n">
        <v>0.810744402048521</v>
      </c>
    </row>
    <row r="44" customFormat="false" ht="15" hidden="false" customHeight="true" outlineLevel="0" collapsed="false">
      <c r="A44" s="22" t="s">
        <v>319</v>
      </c>
      <c r="B44" s="99" t="n">
        <v>0.640852130325815</v>
      </c>
      <c r="C44" s="99" t="n">
        <v>0.862993876303809</v>
      </c>
      <c r="D44" s="99" t="n">
        <v>0.736842105263158</v>
      </c>
      <c r="E44" s="99" t="n">
        <v>0.820846905537459</v>
      </c>
      <c r="F44" s="107" t="n">
        <v>0.641862990810359</v>
      </c>
      <c r="G44" s="107" t="n">
        <v>0.861838097155022</v>
      </c>
    </row>
    <row r="45" customFormat="false" ht="15" hidden="false" customHeight="true" outlineLevel="0" collapsed="false">
      <c r="A45" s="22" t="s">
        <v>320</v>
      </c>
      <c r="B45" s="99" t="n">
        <v>0.766861467225571</v>
      </c>
      <c r="C45" s="99" t="n">
        <v>0.952101837420131</v>
      </c>
      <c r="D45" s="99" t="n">
        <v>0.816326530612245</v>
      </c>
      <c r="E45" s="99" t="n">
        <v>0.845890410958904</v>
      </c>
      <c r="F45" s="107" t="n">
        <v>0.750057245899763</v>
      </c>
      <c r="G45" s="107" t="n">
        <v>0.94219339833553</v>
      </c>
    </row>
    <row r="46" customFormat="false" ht="15" hidden="false" customHeight="true" outlineLevel="0" collapsed="false">
      <c r="A46" s="22" t="s">
        <v>321</v>
      </c>
      <c r="B46" s="99" t="n">
        <v>0.645714624881292</v>
      </c>
      <c r="C46" s="99" t="n">
        <v>0.898250406751189</v>
      </c>
      <c r="D46" s="99" t="n">
        <v>0.5625</v>
      </c>
      <c r="E46" s="99" t="n">
        <v>0.836879432624113</v>
      </c>
      <c r="F46" s="107" t="n">
        <v>0.592830009496676</v>
      </c>
      <c r="G46" s="107" t="n">
        <v>0.820169209454042</v>
      </c>
    </row>
    <row r="47" customFormat="false" ht="15" hidden="false" customHeight="true" outlineLevel="0" collapsed="false">
      <c r="A47" s="22" t="s">
        <v>322</v>
      </c>
      <c r="B47" s="99" t="n">
        <v>0.712835249042146</v>
      </c>
      <c r="C47" s="99" t="n">
        <v>0.908332330214457</v>
      </c>
      <c r="D47" s="99" t="n">
        <v>0.733333333333333</v>
      </c>
      <c r="E47" s="99" t="n">
        <v>0.917098445595855</v>
      </c>
      <c r="F47" s="107" t="n">
        <v>0.696168582375479</v>
      </c>
      <c r="G47" s="107" t="n">
        <v>0.854387004766541</v>
      </c>
    </row>
    <row r="48" customFormat="false" ht="15" hidden="false" customHeight="true" outlineLevel="0" collapsed="false">
      <c r="A48" s="22" t="s">
        <v>323</v>
      </c>
      <c r="B48" s="99" t="n">
        <v>0.823917119651381</v>
      </c>
      <c r="C48" s="99" t="n">
        <v>0.850176471068376</v>
      </c>
      <c r="D48" s="99" t="n">
        <v>0.854838709677419</v>
      </c>
      <c r="E48" s="99" t="n">
        <v>0.794425938942029</v>
      </c>
      <c r="F48" s="107" t="n">
        <v>0.855710801006975</v>
      </c>
      <c r="G48" s="107" t="n">
        <v>0.839505477122657</v>
      </c>
    </row>
    <row r="49" customFormat="false" ht="15" hidden="false" customHeight="true" outlineLevel="0" collapsed="false">
      <c r="A49" s="22" t="s">
        <v>324</v>
      </c>
      <c r="B49" s="104" t="s">
        <v>147</v>
      </c>
      <c r="C49" s="104" t="s">
        <v>147</v>
      </c>
      <c r="D49" s="104" t="s">
        <v>147</v>
      </c>
      <c r="E49" s="104" t="s">
        <v>147</v>
      </c>
      <c r="F49" s="104" t="s">
        <v>605</v>
      </c>
      <c r="G49" s="104" t="s">
        <v>605</v>
      </c>
    </row>
    <row r="50" customFormat="false" ht="15" hidden="false" customHeight="true" outlineLevel="0" collapsed="false">
      <c r="A50" s="22" t="s">
        <v>325</v>
      </c>
      <c r="B50" s="99" t="n">
        <v>0.616666666666667</v>
      </c>
      <c r="C50" s="99" t="n">
        <v>1</v>
      </c>
      <c r="D50" s="99" t="n">
        <v>0.5</v>
      </c>
      <c r="E50" s="99" t="n">
        <v>1</v>
      </c>
      <c r="F50" s="107" t="n">
        <v>0.761666666666667</v>
      </c>
      <c r="G50" s="107" t="n">
        <v>1</v>
      </c>
    </row>
    <row r="51" customFormat="false" ht="15" hidden="false" customHeight="true" outlineLevel="0" collapsed="false">
      <c r="A51" s="22" t="s">
        <v>326</v>
      </c>
      <c r="B51" s="99" t="n">
        <v>0.527777777777778</v>
      </c>
      <c r="C51" s="99" t="n">
        <v>1</v>
      </c>
      <c r="D51" s="99" t="n">
        <v>0.333333333333333</v>
      </c>
      <c r="E51" s="99" t="n">
        <v>1</v>
      </c>
      <c r="F51" s="107" t="n">
        <v>0.455555555555556</v>
      </c>
      <c r="G51" s="107" t="n">
        <v>1</v>
      </c>
    </row>
    <row r="52" customFormat="false" ht="15" hidden="false" customHeight="true" outlineLevel="0" collapsed="false">
      <c r="A52" s="22" t="s">
        <v>327</v>
      </c>
      <c r="B52" s="99" t="n">
        <v>0.768518518518519</v>
      </c>
      <c r="C52" s="99" t="n">
        <v>0.872592592592593</v>
      </c>
      <c r="D52" s="99" t="n">
        <v>1</v>
      </c>
      <c r="E52" s="99" t="n">
        <v>1</v>
      </c>
      <c r="F52" s="107" t="n">
        <v>0.946560846560847</v>
      </c>
      <c r="G52" s="107" t="n">
        <v>0.890635477582846</v>
      </c>
    </row>
    <row r="53" customFormat="false" ht="15" hidden="false" customHeight="true" outlineLevel="0" collapsed="false">
      <c r="A53" s="22" t="s">
        <v>328</v>
      </c>
      <c r="B53" s="99" t="n">
        <v>0.625</v>
      </c>
      <c r="C53" s="106" t="n">
        <v>1.18965517241379</v>
      </c>
      <c r="D53" s="99" t="n">
        <v>0.25</v>
      </c>
      <c r="E53" s="106" t="n">
        <v>1.37931034482759</v>
      </c>
      <c r="F53" s="107" t="n">
        <v>0.464285714285714</v>
      </c>
      <c r="G53" s="104" t="s">
        <v>605</v>
      </c>
    </row>
  </sheetData>
  <mergeCells count="6">
    <mergeCell ref="A1:G1"/>
    <mergeCell ref="A2:G2"/>
    <mergeCell ref="A11:A12"/>
    <mergeCell ref="B11:C11"/>
    <mergeCell ref="D11:E11"/>
    <mergeCell ref="F11:G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2"/>
    <col collapsed="false" customWidth="true" hidden="false" outlineLevel="0" max="2" min="2" style="0" width="15"/>
    <col collapsed="false" customWidth="true" hidden="false" outlineLevel="0" max="4" min="3" style="0" width="12"/>
    <col collapsed="false" customWidth="true" hidden="false" outlineLevel="0" max="6" min="5" style="0" width="14"/>
    <col collapsed="false" customWidth="true" hidden="false" outlineLevel="0" max="7" min="7" style="0" width="10"/>
    <col collapsed="false" customWidth="true" hidden="false" outlineLevel="0" max="9" min="8" style="0" width="13"/>
  </cols>
  <sheetData>
    <row r="1" customFormat="false" ht="17.25" hidden="false" customHeight="true" outlineLevel="0" collapsed="false">
      <c r="A1" s="108" t="s">
        <v>606</v>
      </c>
      <c r="B1" s="108"/>
      <c r="C1" s="108"/>
      <c r="D1" s="108"/>
      <c r="E1" s="108"/>
      <c r="F1" s="108"/>
      <c r="G1" s="108"/>
      <c r="H1" s="108"/>
      <c r="I1" s="108"/>
    </row>
    <row r="2" customFormat="false" ht="75.75" hidden="false" customHeight="true" outlineLevel="0" collapsed="false">
      <c r="A2" s="47" t="s">
        <v>607</v>
      </c>
      <c r="B2" s="47"/>
      <c r="C2" s="47"/>
      <c r="D2" s="47"/>
      <c r="E2" s="47"/>
      <c r="F2" s="47"/>
      <c r="G2" s="47"/>
      <c r="H2" s="47"/>
      <c r="I2" s="47"/>
    </row>
    <row r="3" customFormat="false" ht="61.5" hidden="false" customHeight="true" outlineLevel="0" collapsed="false">
      <c r="A3" s="109" t="s">
        <v>608</v>
      </c>
      <c r="B3" s="109"/>
      <c r="C3" s="109"/>
      <c r="D3" s="109"/>
      <c r="E3" s="109"/>
      <c r="F3" s="109"/>
      <c r="G3" s="109"/>
      <c r="H3" s="109"/>
      <c r="I3" s="109"/>
    </row>
    <row r="5" customFormat="false" ht="33.75" hidden="false" customHeight="true" outlineLevel="0" collapsed="false">
      <c r="A5" s="110" t="s">
        <v>379</v>
      </c>
      <c r="B5" s="110" t="s">
        <v>609</v>
      </c>
      <c r="C5" s="110" t="s">
        <v>610</v>
      </c>
      <c r="D5" s="110" t="s">
        <v>611</v>
      </c>
      <c r="E5" s="110" t="s">
        <v>612</v>
      </c>
      <c r="F5" s="110" t="s">
        <v>613</v>
      </c>
      <c r="G5" s="110" t="s">
        <v>614</v>
      </c>
      <c r="H5" s="110" t="s">
        <v>615</v>
      </c>
      <c r="I5" s="110" t="s">
        <v>616</v>
      </c>
    </row>
    <row r="6" customFormat="false" ht="15" hidden="false" customHeight="true" outlineLevel="0" collapsed="false">
      <c r="A6" s="111" t="s">
        <v>274</v>
      </c>
      <c r="B6" s="112" t="n">
        <v>9652</v>
      </c>
      <c r="C6" s="112" t="n">
        <v>85313</v>
      </c>
      <c r="D6" s="113" t="n">
        <v>8.8</v>
      </c>
      <c r="E6" s="112" t="n">
        <v>5000062</v>
      </c>
      <c r="F6" s="112" t="n">
        <v>2464238</v>
      </c>
      <c r="G6" s="114" t="n">
        <v>0.507158511234461</v>
      </c>
      <c r="H6" s="112" t="n">
        <v>43267</v>
      </c>
      <c r="I6" s="113" t="n">
        <v>4.5</v>
      </c>
    </row>
    <row r="7" customFormat="false" ht="15" hidden="false" customHeight="true" outlineLevel="0" collapsed="false">
      <c r="A7" s="111" t="s">
        <v>310</v>
      </c>
      <c r="B7" s="112" t="n">
        <v>562</v>
      </c>
      <c r="C7" s="112" t="n">
        <v>11019</v>
      </c>
      <c r="D7" s="113" t="n">
        <v>19.6</v>
      </c>
      <c r="E7" s="112" t="n">
        <v>846854</v>
      </c>
      <c r="F7" s="112" t="n">
        <v>663666</v>
      </c>
      <c r="G7" s="114" t="n">
        <v>0.216315917501718</v>
      </c>
      <c r="H7" s="112" t="n">
        <v>2384</v>
      </c>
      <c r="I7" s="113" t="n">
        <v>4.2</v>
      </c>
    </row>
    <row r="8" customFormat="false" ht="15" hidden="false" customHeight="true" outlineLevel="0" collapsed="false">
      <c r="A8" s="111" t="s">
        <v>294</v>
      </c>
      <c r="B8" s="112" t="n">
        <v>3492</v>
      </c>
      <c r="C8" s="112" t="n">
        <v>25235</v>
      </c>
      <c r="D8" s="113" t="n">
        <v>7.2</v>
      </c>
      <c r="E8" s="112" t="n">
        <v>1473457</v>
      </c>
      <c r="F8" s="112" t="n">
        <v>650509</v>
      </c>
      <c r="G8" s="114" t="n">
        <v>0.558515111061945</v>
      </c>
      <c r="H8" s="112" t="n">
        <v>14094</v>
      </c>
      <c r="I8" s="113" t="n">
        <v>4</v>
      </c>
    </row>
    <row r="9" customFormat="false" ht="15" hidden="false" customHeight="true" outlineLevel="0" collapsed="false">
      <c r="A9" s="111" t="s">
        <v>311</v>
      </c>
      <c r="B9" s="112" t="n">
        <v>3072</v>
      </c>
      <c r="C9" s="112" t="n">
        <v>22435</v>
      </c>
      <c r="D9" s="113" t="n">
        <v>7.3</v>
      </c>
      <c r="E9" s="112" t="n">
        <v>1823464</v>
      </c>
      <c r="F9" s="112" t="n">
        <v>1107355</v>
      </c>
      <c r="G9" s="114" t="n">
        <v>0.392719022695266</v>
      </c>
      <c r="H9" s="112" t="n">
        <v>8811</v>
      </c>
      <c r="I9" s="113" t="n">
        <v>2.9</v>
      </c>
    </row>
    <row r="10" customFormat="false" ht="15" hidden="false" customHeight="true" outlineLevel="0" collapsed="false">
      <c r="A10" s="111" t="s">
        <v>295</v>
      </c>
      <c r="B10" s="112" t="n">
        <v>1587</v>
      </c>
      <c r="C10" s="112" t="n">
        <v>19353</v>
      </c>
      <c r="D10" s="113" t="n">
        <v>12.2</v>
      </c>
      <c r="E10" s="112" t="n">
        <v>1351051</v>
      </c>
      <c r="F10" s="112" t="n">
        <v>1036291</v>
      </c>
      <c r="G10" s="114" t="n">
        <v>0.232974180841434</v>
      </c>
      <c r="H10" s="112" t="n">
        <v>4509</v>
      </c>
      <c r="I10" s="113" t="n">
        <v>2.8</v>
      </c>
    </row>
    <row r="11" customFormat="false" ht="15" hidden="false" customHeight="true" outlineLevel="0" collapsed="false">
      <c r="A11" s="111" t="s">
        <v>315</v>
      </c>
      <c r="B11" s="112" t="n">
        <v>4750</v>
      </c>
      <c r="C11" s="112" t="n">
        <v>26009</v>
      </c>
      <c r="D11" s="113" t="n">
        <v>5.5</v>
      </c>
      <c r="E11" s="112" t="n">
        <v>1471590</v>
      </c>
      <c r="F11" s="112" t="n">
        <v>727153</v>
      </c>
      <c r="G11" s="114" t="n">
        <v>0.505872559612392</v>
      </c>
      <c r="H11" s="112" t="n">
        <v>13157</v>
      </c>
      <c r="I11" s="113" t="n">
        <v>2.8</v>
      </c>
    </row>
    <row r="12" customFormat="false" ht="15" hidden="false" customHeight="true" outlineLevel="0" collapsed="false">
      <c r="A12" s="111" t="s">
        <v>296</v>
      </c>
      <c r="B12" s="112" t="n">
        <v>1786</v>
      </c>
      <c r="C12" s="112" t="n">
        <v>20032</v>
      </c>
      <c r="D12" s="113" t="n">
        <v>11.2</v>
      </c>
      <c r="E12" s="112" t="n">
        <v>2115540</v>
      </c>
      <c r="F12" s="112" t="n">
        <v>1655175</v>
      </c>
      <c r="G12" s="114" t="n">
        <v>0.217611106384186</v>
      </c>
      <c r="H12" s="112" t="n">
        <v>4359</v>
      </c>
      <c r="I12" s="113" t="n">
        <v>2.4</v>
      </c>
    </row>
    <row r="13" customFormat="false" ht="15" hidden="false" customHeight="true" outlineLevel="0" collapsed="false">
      <c r="A13" s="111" t="s">
        <v>318</v>
      </c>
      <c r="B13" s="112" t="n">
        <v>3598</v>
      </c>
      <c r="C13" s="112" t="n">
        <v>18638</v>
      </c>
      <c r="D13" s="113" t="n">
        <v>5.2</v>
      </c>
      <c r="E13" s="112" t="n">
        <v>1039529</v>
      </c>
      <c r="F13" s="112" t="n">
        <v>572756</v>
      </c>
      <c r="G13" s="114" t="n">
        <v>0.449023548164601</v>
      </c>
      <c r="H13" s="112" t="n">
        <v>8369</v>
      </c>
      <c r="I13" s="113" t="n">
        <v>2.3</v>
      </c>
    </row>
    <row r="14" customFormat="false" ht="15" hidden="false" customHeight="true" outlineLevel="0" collapsed="false">
      <c r="A14" s="111" t="s">
        <v>316</v>
      </c>
      <c r="B14" s="112" t="n">
        <v>1510</v>
      </c>
      <c r="C14" s="112" t="n">
        <v>25131</v>
      </c>
      <c r="D14" s="113" t="n">
        <v>16.6</v>
      </c>
      <c r="E14" s="112" t="n">
        <v>1167805</v>
      </c>
      <c r="F14" s="112" t="n">
        <v>1026167</v>
      </c>
      <c r="G14" s="114" t="n">
        <v>0.121285659849033</v>
      </c>
      <c r="H14" s="112" t="n">
        <v>3048</v>
      </c>
      <c r="I14" s="113" t="n">
        <v>2</v>
      </c>
    </row>
    <row r="15" customFormat="false" ht="15" hidden="false" customHeight="true" outlineLevel="0" collapsed="false">
      <c r="A15" s="111" t="s">
        <v>323</v>
      </c>
      <c r="B15" s="112" t="n">
        <v>1766</v>
      </c>
      <c r="C15" s="112" t="n">
        <v>29413</v>
      </c>
      <c r="D15" s="113" t="n">
        <v>16.7</v>
      </c>
      <c r="E15" s="112" t="n">
        <v>5065376</v>
      </c>
      <c r="F15" s="112" t="n">
        <v>4458937</v>
      </c>
      <c r="G15" s="114" t="n">
        <v>0.119722405602269</v>
      </c>
      <c r="H15" s="112" t="n">
        <v>3521</v>
      </c>
      <c r="I15" s="113" t="n">
        <v>2</v>
      </c>
    </row>
    <row r="16" customFormat="false" ht="15" hidden="false" customHeight="true" outlineLevel="0" collapsed="false">
      <c r="A16" s="111" t="s">
        <v>317</v>
      </c>
      <c r="B16" s="112" t="n">
        <v>2694</v>
      </c>
      <c r="C16" s="112" t="n">
        <v>24567</v>
      </c>
      <c r="D16" s="113" t="n">
        <v>9.1</v>
      </c>
      <c r="E16" s="112" t="n">
        <v>463801</v>
      </c>
      <c r="F16" s="112" t="n">
        <v>370447</v>
      </c>
      <c r="G16" s="114" t="n">
        <v>0.201280290469404</v>
      </c>
      <c r="H16" s="112" t="n">
        <v>4945</v>
      </c>
      <c r="I16" s="113" t="n">
        <v>1.8</v>
      </c>
    </row>
    <row r="17" customFormat="false" ht="15" hidden="false" customHeight="true" outlineLevel="0" collapsed="false">
      <c r="A17" s="111" t="s">
        <v>297</v>
      </c>
      <c r="B17" s="112" t="n">
        <v>3133</v>
      </c>
      <c r="C17" s="112" t="n">
        <v>17651</v>
      </c>
      <c r="D17" s="113" t="n">
        <v>5.6</v>
      </c>
      <c r="E17" s="112" t="n">
        <v>1872608</v>
      </c>
      <c r="F17" s="112" t="n">
        <v>1394167</v>
      </c>
      <c r="G17" s="114" t="n">
        <v>0.255494476153044</v>
      </c>
      <c r="H17" s="112" t="n">
        <v>4510</v>
      </c>
      <c r="I17" s="113" t="n">
        <v>1.4</v>
      </c>
    </row>
    <row r="18" customFormat="false" ht="15" hidden="false" customHeight="true" outlineLevel="0" collapsed="false">
      <c r="A18" s="111" t="s">
        <v>303</v>
      </c>
      <c r="B18" s="112" t="n">
        <v>4414</v>
      </c>
      <c r="C18" s="112" t="n">
        <v>24328</v>
      </c>
      <c r="D18" s="113" t="n">
        <v>5.5</v>
      </c>
      <c r="E18" s="112" t="n">
        <v>1359596</v>
      </c>
      <c r="F18" s="112" t="n">
        <v>1007678</v>
      </c>
      <c r="G18" s="114" t="n">
        <v>0.258840126037441</v>
      </c>
      <c r="H18" s="112" t="n">
        <v>6297</v>
      </c>
      <c r="I18" s="113" t="n">
        <v>1.4</v>
      </c>
    </row>
    <row r="19" customFormat="false" ht="15" hidden="false" customHeight="true" outlineLevel="0" collapsed="false">
      <c r="A19" s="111" t="s">
        <v>319</v>
      </c>
      <c r="B19" s="112" t="n">
        <v>3804</v>
      </c>
      <c r="C19" s="112" t="n">
        <v>22553</v>
      </c>
      <c r="D19" s="113" t="n">
        <v>5.9</v>
      </c>
      <c r="E19" s="112" t="n">
        <v>668756</v>
      </c>
      <c r="F19" s="112" t="n">
        <v>521299</v>
      </c>
      <c r="G19" s="114" t="n">
        <v>0.220494470329986</v>
      </c>
      <c r="H19" s="112" t="n">
        <v>4973</v>
      </c>
      <c r="I19" s="113" t="n">
        <v>1.3</v>
      </c>
    </row>
    <row r="20" customFormat="false" ht="15" hidden="false" customHeight="true" outlineLevel="0" collapsed="false">
      <c r="A20" s="111" t="s">
        <v>300</v>
      </c>
      <c r="B20" s="112" t="n">
        <v>9906</v>
      </c>
      <c r="C20" s="112" t="n">
        <v>29506</v>
      </c>
      <c r="D20" s="113" t="n">
        <v>3</v>
      </c>
      <c r="E20" s="112" t="n">
        <v>918153</v>
      </c>
      <c r="F20" s="112" t="n">
        <v>638372</v>
      </c>
      <c r="G20" s="114" t="n">
        <v>0.304721544230646</v>
      </c>
      <c r="H20" s="112" t="n">
        <v>8991</v>
      </c>
      <c r="I20" s="115" t="n">
        <v>0.9</v>
      </c>
    </row>
    <row r="21" customFormat="false" ht="15" hidden="false" customHeight="true" outlineLevel="0" collapsed="false">
      <c r="A21" s="111" t="s">
        <v>320</v>
      </c>
      <c r="B21" s="112" t="n">
        <v>4204</v>
      </c>
      <c r="C21" s="112" t="n">
        <v>26782</v>
      </c>
      <c r="D21" s="113" t="n">
        <v>6.4</v>
      </c>
      <c r="E21" s="112" t="n">
        <v>1258830</v>
      </c>
      <c r="F21" s="112" t="n">
        <v>1119514</v>
      </c>
      <c r="G21" s="114" t="n">
        <v>0.110671019915318</v>
      </c>
      <c r="H21" s="112" t="n">
        <v>2964</v>
      </c>
      <c r="I21" s="115" t="n">
        <v>0.7</v>
      </c>
    </row>
    <row r="22" customFormat="false" ht="15" hidden="false" customHeight="true" outlineLevel="0" collapsed="false">
      <c r="A22" s="111" t="s">
        <v>321</v>
      </c>
      <c r="B22" s="112" t="n">
        <v>4249</v>
      </c>
      <c r="C22" s="112" t="n">
        <v>17919</v>
      </c>
      <c r="D22" s="113" t="n">
        <v>4.2</v>
      </c>
      <c r="E22" s="112" t="n">
        <v>858428</v>
      </c>
      <c r="F22" s="112" t="n">
        <v>754351</v>
      </c>
      <c r="G22" s="114" t="n">
        <v>0.121241385416133</v>
      </c>
      <c r="H22" s="112" t="n">
        <v>2172</v>
      </c>
      <c r="I22" s="115" t="n">
        <v>0.5</v>
      </c>
    </row>
    <row r="23" customFormat="false" ht="15" hidden="false" customHeight="true" outlineLevel="0" collapsed="false">
      <c r="A23" s="111" t="s">
        <v>313</v>
      </c>
      <c r="B23" s="112" t="n">
        <v>6088</v>
      </c>
      <c r="C23" s="112" t="n">
        <v>14815</v>
      </c>
      <c r="D23" s="113" t="n">
        <v>2.4</v>
      </c>
      <c r="E23" s="112" t="n">
        <v>1055517</v>
      </c>
      <c r="F23" s="112" t="n">
        <v>868562</v>
      </c>
      <c r="G23" s="114" t="n">
        <v>0.177121732762239</v>
      </c>
      <c r="H23" s="112" t="n">
        <v>2624</v>
      </c>
      <c r="I23" s="115" t="n">
        <v>0.4</v>
      </c>
    </row>
    <row r="24" customFormat="false" ht="15" hidden="false" customHeight="true" outlineLevel="0" collapsed="false">
      <c r="A24" s="111" t="s">
        <v>298</v>
      </c>
      <c r="B24" s="112" t="n">
        <v>4899</v>
      </c>
      <c r="C24" s="112" t="n">
        <v>23181</v>
      </c>
      <c r="D24" s="113" t="n">
        <v>4.7</v>
      </c>
      <c r="E24" s="112" t="n">
        <v>1529889</v>
      </c>
      <c r="F24" s="112" t="n">
        <v>1401289</v>
      </c>
      <c r="G24" s="114" t="n">
        <v>0.0840583859351888</v>
      </c>
      <c r="H24" s="112" t="n">
        <v>1949</v>
      </c>
      <c r="I24" s="115" t="n">
        <v>0.4</v>
      </c>
    </row>
    <row r="25" customFormat="false" ht="15" hidden="false" customHeight="true" outlineLevel="0" collapsed="false">
      <c r="A25" s="111" t="s">
        <v>299</v>
      </c>
      <c r="B25" s="112" t="n">
        <v>3320</v>
      </c>
      <c r="C25" s="112" t="n">
        <v>39095</v>
      </c>
      <c r="D25" s="113" t="n">
        <v>11.8</v>
      </c>
      <c r="E25" s="112" t="n">
        <v>2454303</v>
      </c>
      <c r="F25" s="112" t="n">
        <v>2385497</v>
      </c>
      <c r="G25" s="114" t="n">
        <v>0.028034843293595</v>
      </c>
      <c r="H25" s="112" t="n">
        <v>1096</v>
      </c>
      <c r="I25" s="115" t="n">
        <v>0.3</v>
      </c>
    </row>
    <row r="26" customFormat="false" ht="15" hidden="false" customHeight="true" outlineLevel="0" collapsed="false">
      <c r="A26" s="111" t="s">
        <v>293</v>
      </c>
      <c r="B26" s="112" t="n">
        <v>5692</v>
      </c>
      <c r="C26" s="112" t="n">
        <v>19863</v>
      </c>
      <c r="D26" s="113" t="n">
        <v>3.5</v>
      </c>
      <c r="E26" s="112" t="n">
        <v>865603</v>
      </c>
      <c r="F26" s="112" t="n">
        <v>800506</v>
      </c>
      <c r="G26" s="114" t="n">
        <v>0.0752042217968283</v>
      </c>
      <c r="H26" s="112" t="n">
        <v>1494</v>
      </c>
      <c r="I26" s="115" t="n">
        <v>0.3</v>
      </c>
    </row>
    <row r="27" customFormat="false" ht="15" hidden="false" customHeight="true" outlineLevel="0" collapsed="false">
      <c r="A27" s="111" t="s">
        <v>312</v>
      </c>
      <c r="B27" s="112" t="n">
        <v>9151</v>
      </c>
      <c r="C27" s="112" t="n">
        <v>24703</v>
      </c>
      <c r="D27" s="113" t="n">
        <v>2.7</v>
      </c>
      <c r="E27" s="112" t="n">
        <v>775607</v>
      </c>
      <c r="F27" s="112" t="n">
        <v>775490</v>
      </c>
      <c r="G27" s="114" t="n">
        <v>0.000150849592641666</v>
      </c>
      <c r="H27" s="112" t="n">
        <v>4</v>
      </c>
      <c r="I27" s="115" t="n">
        <v>0</v>
      </c>
    </row>
    <row r="28" customFormat="false" ht="15" hidden="false" customHeight="true" outlineLevel="0" collapsed="false">
      <c r="A28" s="111" t="s">
        <v>322</v>
      </c>
      <c r="B28" s="112" t="n">
        <v>8457</v>
      </c>
      <c r="C28" s="112" t="n">
        <v>22026</v>
      </c>
      <c r="D28" s="113" t="n">
        <v>2.6</v>
      </c>
      <c r="E28" s="112" t="n">
        <v>671670</v>
      </c>
      <c r="F28" s="112" t="n">
        <v>707352</v>
      </c>
      <c r="G28" s="116" t="n">
        <v>-0.0531243021126446</v>
      </c>
      <c r="H28" s="112" t="n">
        <v>-1170</v>
      </c>
      <c r="I28" s="115" t="n">
        <v>-0.1</v>
      </c>
    </row>
    <row r="29" customFormat="false" ht="15" hidden="false" customHeight="true" outlineLevel="0" collapsed="false">
      <c r="A29" s="111" t="s">
        <v>292</v>
      </c>
      <c r="B29" s="112" t="n">
        <v>3073</v>
      </c>
      <c r="C29" s="112" t="n">
        <v>25431</v>
      </c>
      <c r="D29" s="113" t="n">
        <v>8.3</v>
      </c>
      <c r="E29" s="112" t="n">
        <v>1537191</v>
      </c>
      <c r="F29" s="112" t="n">
        <v>1604877</v>
      </c>
      <c r="G29" s="116" t="n">
        <v>-0.0440322640452617</v>
      </c>
      <c r="H29" s="112" t="n">
        <v>-1120</v>
      </c>
      <c r="I29" s="115" t="n">
        <v>-0.4</v>
      </c>
    </row>
    <row r="30" customFormat="false" ht="15" hidden="false" customHeight="true" outlineLevel="0" collapsed="false">
      <c r="A30" s="111" t="s">
        <v>273</v>
      </c>
      <c r="B30" s="112" t="n">
        <v>1571</v>
      </c>
      <c r="C30" s="117" t="s">
        <v>147</v>
      </c>
      <c r="D30" s="117" t="s">
        <v>282</v>
      </c>
      <c r="E30" s="112" t="n">
        <v>876975</v>
      </c>
      <c r="F30" s="112" t="n">
        <v>406483</v>
      </c>
      <c r="G30" s="114" t="n">
        <v>0.536494198808404</v>
      </c>
      <c r="H30" s="117" t="s">
        <v>617</v>
      </c>
      <c r="I30" s="117" t="s">
        <v>617</v>
      </c>
    </row>
    <row r="31" customFormat="false" ht="15" hidden="false" customHeight="true" outlineLevel="0" collapsed="false">
      <c r="A31" s="111" t="s">
        <v>309</v>
      </c>
      <c r="B31" s="112" t="n">
        <v>2078</v>
      </c>
      <c r="C31" s="117" t="s">
        <v>147</v>
      </c>
      <c r="D31" s="117" t="s">
        <v>282</v>
      </c>
      <c r="E31" s="112" t="n">
        <v>528945</v>
      </c>
      <c r="F31" s="112" t="n">
        <v>770900</v>
      </c>
      <c r="G31" s="116" t="n">
        <v>-0.457429411375474</v>
      </c>
      <c r="H31" s="117" t="s">
        <v>617</v>
      </c>
      <c r="I31" s="117" t="s">
        <v>617</v>
      </c>
    </row>
    <row r="32" customFormat="false" ht="15" hidden="false" customHeight="true" outlineLevel="0" collapsed="false">
      <c r="A32" s="111" t="s">
        <v>301</v>
      </c>
      <c r="B32" s="112" t="n">
        <v>1140</v>
      </c>
      <c r="C32" s="117" t="s">
        <v>147</v>
      </c>
      <c r="D32" s="117" t="s">
        <v>282</v>
      </c>
      <c r="E32" s="112" t="n">
        <v>107976</v>
      </c>
      <c r="F32" s="112" t="n">
        <v>647153</v>
      </c>
      <c r="G32" s="116" t="n">
        <v>-4.99348929391717</v>
      </c>
      <c r="H32" s="117" t="s">
        <v>617</v>
      </c>
      <c r="I32" s="117" t="s">
        <v>617</v>
      </c>
    </row>
    <row r="33" customFormat="false" ht="15" hidden="false" customHeight="true" outlineLevel="0" collapsed="false">
      <c r="A33" s="111" t="s">
        <v>302</v>
      </c>
      <c r="B33" s="112" t="n">
        <v>5849</v>
      </c>
      <c r="C33" s="117" t="s">
        <v>147</v>
      </c>
      <c r="D33" s="117" t="s">
        <v>282</v>
      </c>
      <c r="E33" s="112" t="n">
        <v>261018</v>
      </c>
      <c r="F33" s="112" t="n">
        <v>649190</v>
      </c>
      <c r="G33" s="116" t="n">
        <v>-1.48714648031937</v>
      </c>
      <c r="H33" s="117" t="s">
        <v>617</v>
      </c>
      <c r="I33" s="117" t="s">
        <v>617</v>
      </c>
    </row>
    <row r="35" customFormat="false" ht="31.5" hidden="false" customHeight="true" outlineLevel="0" collapsed="false">
      <c r="A35" s="118" t="s">
        <v>618</v>
      </c>
      <c r="B35" s="118"/>
      <c r="C35" s="118"/>
      <c r="D35" s="118"/>
      <c r="E35" s="118"/>
      <c r="F35" s="118"/>
      <c r="G35" s="118"/>
      <c r="H35" s="118"/>
      <c r="I35" s="118"/>
    </row>
    <row r="37" customFormat="false" ht="30" hidden="false" customHeight="true" outlineLevel="0" collapsed="false">
      <c r="A37" s="119" t="s">
        <v>619</v>
      </c>
      <c r="B37" s="119"/>
      <c r="C37" s="119"/>
      <c r="D37" s="119"/>
      <c r="E37" s="119"/>
      <c r="F37" s="119"/>
      <c r="G37" s="119"/>
      <c r="H37" s="119"/>
      <c r="I37" s="119"/>
    </row>
    <row r="39" customFormat="false" ht="15" hidden="false" customHeight="true" outlineLevel="0" collapsed="false">
      <c r="A39" s="97" t="s">
        <v>620</v>
      </c>
    </row>
    <row r="40" customFormat="false" ht="30" hidden="false" customHeight="true" outlineLevel="0" collapsed="false">
      <c r="A40" s="47" t="s">
        <v>621</v>
      </c>
      <c r="B40" s="47"/>
      <c r="C40" s="47"/>
      <c r="D40" s="47"/>
      <c r="E40" s="47"/>
      <c r="F40" s="47"/>
      <c r="G40" s="47"/>
      <c r="H40" s="47"/>
      <c r="I40" s="47"/>
    </row>
    <row r="41" customFormat="false" ht="30" hidden="false" customHeight="true" outlineLevel="0" collapsed="false">
      <c r="A41" s="110" t="s">
        <v>379</v>
      </c>
      <c r="B41" s="110" t="s">
        <v>622</v>
      </c>
      <c r="C41" s="110" t="s">
        <v>623</v>
      </c>
      <c r="D41" s="110" t="s">
        <v>624</v>
      </c>
    </row>
    <row r="42" customFormat="false" ht="15" hidden="false" customHeight="true" outlineLevel="0" collapsed="false">
      <c r="A42" s="111" t="s">
        <v>299</v>
      </c>
      <c r="B42" s="112" t="n">
        <v>295485</v>
      </c>
      <c r="C42" s="112" t="n">
        <v>1763</v>
      </c>
      <c r="D42" s="115" t="n">
        <v>167.6</v>
      </c>
    </row>
    <row r="43" customFormat="false" ht="15" hidden="false" customHeight="true" outlineLevel="0" collapsed="false">
      <c r="A43" s="111" t="s">
        <v>312</v>
      </c>
      <c r="B43" s="112" t="n">
        <v>375181</v>
      </c>
      <c r="C43" s="112" t="n">
        <v>14343</v>
      </c>
      <c r="D43" s="115" t="n">
        <v>26.2</v>
      </c>
    </row>
    <row r="44" customFormat="false" ht="15" hidden="false" customHeight="true" outlineLevel="0" collapsed="false">
      <c r="A44" s="111" t="s">
        <v>300</v>
      </c>
      <c r="B44" s="112" t="n">
        <v>287274</v>
      </c>
      <c r="C44" s="112" t="n">
        <v>15847</v>
      </c>
      <c r="D44" s="115" t="n">
        <v>18.1</v>
      </c>
    </row>
    <row r="45" customFormat="false" ht="15" hidden="false" customHeight="true" outlineLevel="0" collapsed="false">
      <c r="A45" s="111" t="s">
        <v>313</v>
      </c>
      <c r="B45" s="112" t="n">
        <v>273967</v>
      </c>
      <c r="C45" s="112" t="n">
        <v>16877</v>
      </c>
      <c r="D45" s="115" t="n">
        <v>16.2</v>
      </c>
    </row>
    <row r="46" customFormat="false" ht="15" hidden="false" customHeight="true" outlineLevel="0" collapsed="false">
      <c r="A46" s="111" t="s">
        <v>315</v>
      </c>
      <c r="B46" s="112" t="n">
        <v>265988</v>
      </c>
      <c r="C46" s="112" t="n">
        <v>18264</v>
      </c>
      <c r="D46" s="115" t="n">
        <v>14.6</v>
      </c>
    </row>
    <row r="47" customFormat="false" ht="15" hidden="false" customHeight="true" outlineLevel="0" collapsed="false">
      <c r="A47" s="111" t="s">
        <v>303</v>
      </c>
      <c r="B47" s="112" t="n">
        <v>251610</v>
      </c>
      <c r="C47" s="112" t="n">
        <v>17510</v>
      </c>
      <c r="D47" s="115" t="n">
        <v>14.4</v>
      </c>
    </row>
    <row r="48" customFormat="false" ht="15" hidden="false" customHeight="true" outlineLevel="0" collapsed="false">
      <c r="A48" s="111" t="s">
        <v>296</v>
      </c>
      <c r="B48" s="112" t="n">
        <v>237540</v>
      </c>
      <c r="C48" s="112" t="n">
        <v>16996</v>
      </c>
      <c r="D48" s="115" t="n">
        <v>14</v>
      </c>
    </row>
    <row r="49" customFormat="false" ht="15" hidden="false" customHeight="true" outlineLevel="0" collapsed="false">
      <c r="A49" s="111" t="s">
        <v>297</v>
      </c>
      <c r="B49" s="112" t="n">
        <v>300760</v>
      </c>
      <c r="C49" s="112" t="n">
        <v>22125</v>
      </c>
      <c r="D49" s="115" t="n">
        <v>13.6</v>
      </c>
    </row>
    <row r="50" customFormat="false" ht="15" hidden="false" customHeight="true" outlineLevel="0" collapsed="false">
      <c r="A50" s="111" t="s">
        <v>319</v>
      </c>
      <c r="B50" s="112" t="n">
        <v>144540</v>
      </c>
      <c r="C50" s="112" t="n">
        <v>10775</v>
      </c>
      <c r="D50" s="115" t="n">
        <v>13.4</v>
      </c>
    </row>
    <row r="51" customFormat="false" ht="15" hidden="false" customHeight="true" outlineLevel="0" collapsed="false">
      <c r="A51" s="111" t="s">
        <v>316</v>
      </c>
      <c r="B51" s="112" t="n">
        <v>86072</v>
      </c>
      <c r="C51" s="112" t="n">
        <v>7898</v>
      </c>
      <c r="D51" s="115" t="n">
        <v>10.9</v>
      </c>
    </row>
    <row r="52" customFormat="false" ht="15" hidden="false" customHeight="true" outlineLevel="0" collapsed="false">
      <c r="A52" s="111" t="s">
        <v>294</v>
      </c>
      <c r="B52" s="112" t="n">
        <v>192074</v>
      </c>
      <c r="C52" s="112" t="n">
        <v>17774</v>
      </c>
      <c r="D52" s="115" t="n">
        <v>10.8</v>
      </c>
    </row>
    <row r="53" customFormat="false" ht="15" hidden="false" customHeight="true" outlineLevel="0" collapsed="false">
      <c r="A53" s="111" t="s">
        <v>323</v>
      </c>
      <c r="B53" s="112" t="n">
        <v>331986</v>
      </c>
      <c r="C53" s="112" t="n">
        <v>31402</v>
      </c>
      <c r="D53" s="115" t="n">
        <v>10.6</v>
      </c>
    </row>
    <row r="54" customFormat="false" ht="15" hidden="false" customHeight="true" outlineLevel="0" collapsed="false">
      <c r="A54" s="111" t="s">
        <v>292</v>
      </c>
      <c r="B54" s="112" t="n">
        <v>215122</v>
      </c>
      <c r="C54" s="112" t="n">
        <v>20349</v>
      </c>
      <c r="D54" s="115" t="n">
        <v>10.6</v>
      </c>
    </row>
    <row r="55" customFormat="false" ht="15" hidden="false" customHeight="true" outlineLevel="0" collapsed="false">
      <c r="A55" s="111" t="s">
        <v>318</v>
      </c>
      <c r="B55" s="112" t="n">
        <v>208677</v>
      </c>
      <c r="C55" s="112" t="n">
        <v>19831</v>
      </c>
      <c r="D55" s="115" t="n">
        <v>10.5</v>
      </c>
    </row>
    <row r="56" customFormat="false" ht="15" hidden="false" customHeight="true" outlineLevel="0" collapsed="false">
      <c r="A56" s="111" t="s">
        <v>274</v>
      </c>
      <c r="B56" s="112" t="n">
        <v>144774</v>
      </c>
      <c r="C56" s="112" t="n">
        <v>15799</v>
      </c>
      <c r="D56" s="115" t="n">
        <v>9.2</v>
      </c>
    </row>
    <row r="57" customFormat="false" ht="15" hidden="false" customHeight="true" outlineLevel="0" collapsed="false">
      <c r="A57" s="111" t="s">
        <v>293</v>
      </c>
      <c r="B57" s="112" t="n">
        <v>187849</v>
      </c>
      <c r="C57" s="112" t="n">
        <v>20895</v>
      </c>
      <c r="D57" s="115" t="n">
        <v>9</v>
      </c>
    </row>
    <row r="58" customFormat="false" ht="15" hidden="false" customHeight="true" outlineLevel="0" collapsed="false">
      <c r="A58" s="111" t="s">
        <v>320</v>
      </c>
      <c r="B58" s="112" t="n">
        <v>239637</v>
      </c>
      <c r="C58" s="112" t="n">
        <v>29095</v>
      </c>
      <c r="D58" s="115" t="n">
        <v>8.2</v>
      </c>
    </row>
    <row r="59" customFormat="false" ht="15" hidden="false" customHeight="true" outlineLevel="0" collapsed="false">
      <c r="A59" s="111" t="s">
        <v>295</v>
      </c>
      <c r="B59" s="112" t="n">
        <v>93651</v>
      </c>
      <c r="C59" s="112" t="n">
        <v>16314</v>
      </c>
      <c r="D59" s="115" t="n">
        <v>5.7</v>
      </c>
    </row>
    <row r="60" customFormat="false" ht="15" hidden="false" customHeight="true" outlineLevel="0" collapsed="false">
      <c r="A60" s="111" t="s">
        <v>317</v>
      </c>
      <c r="B60" s="112" t="n">
        <v>35024</v>
      </c>
      <c r="C60" s="112" t="n">
        <v>6121</v>
      </c>
      <c r="D60" s="115" t="n">
        <v>5.7</v>
      </c>
    </row>
    <row r="61" customFormat="false" ht="15" hidden="false" customHeight="true" outlineLevel="0" collapsed="false">
      <c r="A61" s="111" t="s">
        <v>311</v>
      </c>
      <c r="B61" s="112" t="n">
        <v>122873</v>
      </c>
      <c r="C61" s="112" t="n">
        <v>21746</v>
      </c>
      <c r="D61" s="115" t="n">
        <v>5.7</v>
      </c>
    </row>
    <row r="62" customFormat="false" ht="15" hidden="false" customHeight="true" outlineLevel="0" collapsed="false">
      <c r="A62" s="111" t="s">
        <v>298</v>
      </c>
      <c r="B62" s="112" t="n">
        <v>230261</v>
      </c>
      <c r="C62" s="112" t="n">
        <v>45310</v>
      </c>
      <c r="D62" s="115" t="n">
        <v>5.1</v>
      </c>
    </row>
    <row r="63" customFormat="false" ht="15" hidden="false" customHeight="true" outlineLevel="0" collapsed="false">
      <c r="A63" s="111" t="s">
        <v>322</v>
      </c>
      <c r="B63" s="112" t="n">
        <v>126848</v>
      </c>
      <c r="C63" s="112" t="n">
        <v>25089</v>
      </c>
      <c r="D63" s="115" t="n">
        <v>5.1</v>
      </c>
    </row>
    <row r="64" customFormat="false" ht="15" hidden="false" customHeight="true" outlineLevel="0" collapsed="false">
      <c r="A64" s="111" t="s">
        <v>321</v>
      </c>
      <c r="B64" s="112" t="n">
        <v>135973</v>
      </c>
      <c r="C64" s="112" t="n">
        <v>31116</v>
      </c>
      <c r="D64" s="115" t="n">
        <v>4.4</v>
      </c>
    </row>
    <row r="65" customFormat="false" ht="15" hidden="false" customHeight="true" outlineLevel="0" collapsed="false">
      <c r="A65" s="111" t="s">
        <v>302</v>
      </c>
      <c r="B65" s="112" t="n">
        <v>64343</v>
      </c>
      <c r="C65" s="112" t="n">
        <v>21342</v>
      </c>
      <c r="D65" s="115" t="n">
        <v>3</v>
      </c>
    </row>
    <row r="66" customFormat="false" ht="15" hidden="false" customHeight="true" outlineLevel="0" collapsed="false">
      <c r="A66" s="111" t="s">
        <v>309</v>
      </c>
      <c r="B66" s="112" t="n">
        <v>37402</v>
      </c>
      <c r="C66" s="112" t="n">
        <v>25310</v>
      </c>
      <c r="D66" s="120" t="n">
        <v>1.5</v>
      </c>
    </row>
    <row r="67" customFormat="false" ht="15" hidden="false" customHeight="true" outlineLevel="0" collapsed="false">
      <c r="A67" s="111" t="s">
        <v>301</v>
      </c>
      <c r="B67" s="112" t="n">
        <v>36483</v>
      </c>
      <c r="C67" s="112" t="n">
        <v>26080</v>
      </c>
      <c r="D67" s="120" t="n">
        <v>1.4</v>
      </c>
    </row>
    <row r="68" customFormat="false" ht="15" hidden="false" customHeight="true" outlineLevel="0" collapsed="false">
      <c r="A68" s="111" t="s">
        <v>310</v>
      </c>
      <c r="B68" s="112" t="n">
        <v>19676</v>
      </c>
      <c r="C68" s="112" t="n">
        <v>16783</v>
      </c>
      <c r="D68" s="120" t="n">
        <v>1.2</v>
      </c>
    </row>
    <row r="70" customFormat="false" ht="15" hidden="false" customHeight="true" outlineLevel="0" collapsed="false">
      <c r="A70" s="121" t="s">
        <v>625</v>
      </c>
    </row>
    <row r="72" customFormat="false" ht="15" hidden="true" customHeight="true" outlineLevel="0" collapsed="false">
      <c r="A72" s="122" t="s">
        <v>626</v>
      </c>
    </row>
    <row r="73" customFormat="false" ht="15" hidden="true" customHeight="true" outlineLevel="0" collapsed="false">
      <c r="A73" s="0" t="s">
        <v>133</v>
      </c>
      <c r="B73" s="0" t="s">
        <v>627</v>
      </c>
      <c r="C73" s="0" t="s">
        <v>628</v>
      </c>
    </row>
    <row r="74" customFormat="false" ht="15" hidden="true" customHeight="true" outlineLevel="0" collapsed="false">
      <c r="A74" s="0" t="s">
        <v>152</v>
      </c>
      <c r="B74" s="0" t="n">
        <v>8.84</v>
      </c>
      <c r="C74" s="0" t="n">
        <v>4.48</v>
      </c>
    </row>
    <row r="75" customFormat="false" ht="15" hidden="true" customHeight="true" outlineLevel="0" collapsed="false">
      <c r="A75" s="0" t="s">
        <v>205</v>
      </c>
      <c r="B75" s="0" t="n">
        <v>19.6</v>
      </c>
      <c r="C75" s="0" t="n">
        <v>4.24</v>
      </c>
    </row>
    <row r="76" customFormat="false" ht="15" hidden="true" customHeight="true" outlineLevel="0" collapsed="false">
      <c r="A76" s="0" t="s">
        <v>165</v>
      </c>
      <c r="B76" s="0" t="n">
        <v>7.23</v>
      </c>
      <c r="C76" s="0" t="n">
        <v>4.04</v>
      </c>
    </row>
    <row r="77" customFormat="false" ht="15" hidden="true" customHeight="true" outlineLevel="0" collapsed="false">
      <c r="A77" s="0" t="s">
        <v>207</v>
      </c>
      <c r="B77" s="0" t="n">
        <v>7.3</v>
      </c>
      <c r="C77" s="0" t="n">
        <v>2.87</v>
      </c>
    </row>
    <row r="78" customFormat="false" ht="15" hidden="true" customHeight="true" outlineLevel="0" collapsed="false">
      <c r="A78" s="0" t="s">
        <v>167</v>
      </c>
      <c r="B78" s="0" t="n">
        <v>12.19</v>
      </c>
      <c r="C78" s="0" t="n">
        <v>2.84</v>
      </c>
    </row>
    <row r="79" customFormat="false" ht="15" hidden="true" customHeight="true" outlineLevel="0" collapsed="false">
      <c r="A79" s="0" t="s">
        <v>218</v>
      </c>
      <c r="B79" s="0" t="n">
        <v>5.48</v>
      </c>
      <c r="C79" s="0" t="n">
        <v>2.77</v>
      </c>
    </row>
    <row r="80" customFormat="false" ht="15" hidden="true" customHeight="true" outlineLevel="0" collapsed="false">
      <c r="A80" s="0" t="s">
        <v>169</v>
      </c>
      <c r="B80" s="0" t="n">
        <v>11.22</v>
      </c>
      <c r="C80" s="0" t="n">
        <v>2.44</v>
      </c>
    </row>
    <row r="81" customFormat="false" ht="15" hidden="true" customHeight="true" outlineLevel="0" collapsed="false">
      <c r="A81" s="0" t="s">
        <v>226</v>
      </c>
      <c r="B81" s="0" t="n">
        <v>5.18</v>
      </c>
      <c r="C81" s="0" t="n">
        <v>2.33</v>
      </c>
    </row>
    <row r="82" customFormat="false" ht="15" hidden="true" customHeight="true" outlineLevel="0" collapsed="false">
      <c r="A82" s="0" t="s">
        <v>221</v>
      </c>
      <c r="B82" s="0" t="n">
        <v>16.64</v>
      </c>
      <c r="C82" s="0" t="n">
        <v>2.02</v>
      </c>
    </row>
    <row r="83" customFormat="false" ht="15" hidden="true" customHeight="true" outlineLevel="0" collapsed="false">
      <c r="A83" s="0" t="s">
        <v>237</v>
      </c>
      <c r="B83" s="0" t="n">
        <v>16.66</v>
      </c>
      <c r="C83" s="0" t="n">
        <v>1.99</v>
      </c>
    </row>
    <row r="84" customFormat="false" ht="15" hidden="true" customHeight="true" outlineLevel="0" collapsed="false">
      <c r="A84" s="0" t="s">
        <v>224</v>
      </c>
      <c r="B84" s="0" t="n">
        <v>9.12</v>
      </c>
      <c r="C84" s="0" t="n">
        <v>1.84</v>
      </c>
    </row>
    <row r="85" customFormat="false" ht="15" hidden="true" customHeight="true" outlineLevel="0" collapsed="false">
      <c r="A85" s="0" t="s">
        <v>172</v>
      </c>
      <c r="B85" s="0" t="n">
        <v>5.63</v>
      </c>
      <c r="C85" s="0" t="n">
        <v>1.44</v>
      </c>
    </row>
    <row r="86" customFormat="false" ht="15" hidden="true" customHeight="true" outlineLevel="0" collapsed="false">
      <c r="A86" s="0" t="s">
        <v>187</v>
      </c>
      <c r="B86" s="0" t="n">
        <v>5.51</v>
      </c>
      <c r="C86" s="0" t="n">
        <v>1.43</v>
      </c>
    </row>
    <row r="87" customFormat="false" ht="15" hidden="true" customHeight="true" outlineLevel="0" collapsed="false">
      <c r="A87" s="0" t="s">
        <v>228</v>
      </c>
      <c r="B87" s="0" t="n">
        <v>5.93</v>
      </c>
      <c r="C87" s="0" t="n">
        <v>1.31</v>
      </c>
    </row>
    <row r="88" customFormat="false" ht="15" hidden="true" customHeight="true" outlineLevel="0" collapsed="false">
      <c r="A88" s="0" t="s">
        <v>181</v>
      </c>
      <c r="B88" s="0" t="n">
        <v>2.98</v>
      </c>
      <c r="C88" s="0" t="n">
        <v>0.91</v>
      </c>
    </row>
    <row r="89" customFormat="false" ht="15" hidden="true" customHeight="true" outlineLevel="0" collapsed="false">
      <c r="A89" s="0" t="s">
        <v>230</v>
      </c>
      <c r="B89" s="0" t="n">
        <v>6.37</v>
      </c>
      <c r="C89" s="0" t="n">
        <v>0.71</v>
      </c>
    </row>
    <row r="90" customFormat="false" ht="15" hidden="true" customHeight="true" outlineLevel="0" collapsed="false">
      <c r="A90" s="0" t="s">
        <v>233</v>
      </c>
      <c r="B90" s="0" t="n">
        <v>4.22</v>
      </c>
      <c r="C90" s="0" t="n">
        <v>0.51</v>
      </c>
    </row>
    <row r="91" customFormat="false" ht="15" hidden="true" customHeight="true" outlineLevel="0" collapsed="false">
      <c r="A91" s="0" t="s">
        <v>212</v>
      </c>
      <c r="B91" s="0" t="n">
        <v>2.43</v>
      </c>
      <c r="C91" s="0" t="n">
        <v>0.43</v>
      </c>
    </row>
    <row r="92" customFormat="false" ht="15" hidden="true" customHeight="true" outlineLevel="0" collapsed="false">
      <c r="A92" s="0" t="s">
        <v>175</v>
      </c>
      <c r="B92" s="0" t="n">
        <v>4.73</v>
      </c>
      <c r="C92" s="0" t="n">
        <v>0.4</v>
      </c>
    </row>
    <row r="93" customFormat="false" ht="15" hidden="true" customHeight="true" outlineLevel="0" collapsed="false">
      <c r="A93" s="0" t="s">
        <v>179</v>
      </c>
      <c r="B93" s="0" t="n">
        <v>11.78</v>
      </c>
      <c r="C93" s="0" t="n">
        <v>0.33</v>
      </c>
    </row>
    <row r="94" customFormat="false" ht="15" hidden="true" customHeight="true" outlineLevel="0" collapsed="false">
      <c r="A94" s="0" t="s">
        <v>163</v>
      </c>
      <c r="B94" s="0" t="n">
        <v>3.49</v>
      </c>
      <c r="C94" s="0" t="n">
        <v>0.26</v>
      </c>
    </row>
    <row r="95" customFormat="false" ht="15" hidden="true" customHeight="true" outlineLevel="0" collapsed="false">
      <c r="A95" s="0" t="s">
        <v>209</v>
      </c>
      <c r="B95" s="0" t="n">
        <v>2.7</v>
      </c>
      <c r="C95" s="0" t="n">
        <v>0</v>
      </c>
    </row>
    <row r="96" customFormat="false" ht="15" hidden="true" customHeight="true" outlineLevel="0" collapsed="false">
      <c r="A96" s="0" t="s">
        <v>235</v>
      </c>
      <c r="B96" s="0" t="n">
        <v>2.6</v>
      </c>
      <c r="C96" s="0" t="n">
        <v>-0.14</v>
      </c>
    </row>
    <row r="97" customFormat="false" ht="15" hidden="true" customHeight="true" outlineLevel="0" collapsed="false">
      <c r="A97" s="0" t="s">
        <v>159</v>
      </c>
      <c r="B97" s="0" t="n">
        <v>8.28</v>
      </c>
      <c r="C97" s="0" t="n">
        <v>-0.36</v>
      </c>
    </row>
  </sheetData>
  <mergeCells count="6">
    <mergeCell ref="A1:I1"/>
    <mergeCell ref="A2:I2"/>
    <mergeCell ref="A3:I3"/>
    <mergeCell ref="A35:I35"/>
    <mergeCell ref="A37:I37"/>
    <mergeCell ref="A40:I4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6"/>
    <col collapsed="false" customWidth="true" hidden="false" outlineLevel="0" max="2" min="2" style="0" width="20"/>
    <col collapsed="false" customWidth="true" hidden="false" outlineLevel="0" max="4" min="3" style="0" width="24"/>
    <col collapsed="false" customWidth="true" hidden="false" outlineLevel="0" max="6" min="5" style="0" width="13"/>
  </cols>
  <sheetData>
    <row r="1" customFormat="false" ht="17.25" hidden="false" customHeight="true" outlineLevel="0" collapsed="false">
      <c r="A1" s="108" t="s">
        <v>629</v>
      </c>
      <c r="B1" s="108"/>
      <c r="C1" s="108"/>
      <c r="D1" s="108"/>
      <c r="E1" s="108"/>
      <c r="F1" s="108"/>
      <c r="G1" s="108"/>
      <c r="H1" s="108"/>
      <c r="I1" s="108"/>
    </row>
    <row r="2" customFormat="false" ht="75.75" hidden="false" customHeight="true" outlineLevel="0" collapsed="false">
      <c r="A2" s="47" t="s">
        <v>630</v>
      </c>
      <c r="B2" s="47"/>
      <c r="C2" s="47"/>
      <c r="D2" s="47"/>
      <c r="E2" s="47"/>
      <c r="F2" s="47"/>
      <c r="G2" s="47"/>
      <c r="H2" s="47"/>
      <c r="I2" s="47"/>
    </row>
    <row r="3" customFormat="false" ht="61.5" hidden="false" customHeight="true" outlineLevel="0" collapsed="false">
      <c r="A3" s="109" t="s">
        <v>631</v>
      </c>
      <c r="B3" s="109"/>
      <c r="C3" s="109"/>
      <c r="D3" s="109"/>
      <c r="E3" s="109"/>
      <c r="F3" s="109"/>
      <c r="G3" s="109"/>
      <c r="H3" s="109"/>
      <c r="I3" s="109"/>
    </row>
    <row r="5" customFormat="false" ht="15" hidden="false" customHeight="true" outlineLevel="0" collapsed="false">
      <c r="A5" s="97" t="s">
        <v>632</v>
      </c>
    </row>
    <row r="6" customFormat="false" ht="33.75" hidden="false" customHeight="true" outlineLevel="0" collapsed="false">
      <c r="A6" s="110" t="s">
        <v>633</v>
      </c>
      <c r="B6" s="110" t="s">
        <v>634</v>
      </c>
      <c r="C6" s="110" t="s">
        <v>635</v>
      </c>
      <c r="D6" s="110" t="s">
        <v>636</v>
      </c>
    </row>
    <row r="7" customFormat="false" ht="15" hidden="false" customHeight="true" outlineLevel="0" collapsed="false">
      <c r="A7" s="76" t="s">
        <v>587</v>
      </c>
      <c r="B7" s="114" t="n">
        <v>0.674200801199307</v>
      </c>
      <c r="C7" s="114" t="n">
        <v>1.00059281131289</v>
      </c>
      <c r="D7" s="114" t="n">
        <v>0.674200801199307</v>
      </c>
    </row>
    <row r="8" customFormat="false" ht="15" hidden="false" customHeight="true" outlineLevel="0" collapsed="false">
      <c r="A8" s="76" t="s">
        <v>588</v>
      </c>
      <c r="B8" s="114" t="n">
        <v>0.6402923507245</v>
      </c>
      <c r="C8" s="114" t="n">
        <v>0.986149011172297</v>
      </c>
      <c r="D8" s="114" t="n">
        <v>0.709230637429377</v>
      </c>
    </row>
    <row r="9" customFormat="false" ht="15" hidden="false" customHeight="true" outlineLevel="0" collapsed="false">
      <c r="A9" s="76" t="s">
        <v>589</v>
      </c>
      <c r="B9" s="114" t="n">
        <v>0.701594207873865</v>
      </c>
      <c r="C9" s="114" t="n">
        <v>0.984278020181547</v>
      </c>
      <c r="D9" s="114" t="n">
        <v>0.701594207873865</v>
      </c>
    </row>
    <row r="10" customFormat="false" ht="15" hidden="false" customHeight="true" outlineLevel="0" collapsed="false">
      <c r="A10" s="76" t="s">
        <v>590</v>
      </c>
      <c r="B10" s="114" t="n">
        <v>0.639420983801705</v>
      </c>
      <c r="C10" s="114" t="n">
        <v>0.997287909503809</v>
      </c>
      <c r="D10" s="114" t="n">
        <v>0.713085926138797</v>
      </c>
    </row>
    <row r="11" customFormat="false" ht="15" hidden="false" customHeight="true" outlineLevel="0" collapsed="false">
      <c r="A11" s="76" t="s">
        <v>591</v>
      </c>
      <c r="B11" s="114" t="n">
        <v>0.765216901314156</v>
      </c>
      <c r="C11" s="114" t="n">
        <v>0.98121799863749</v>
      </c>
      <c r="D11" s="114" t="n">
        <v>0.765216901314156</v>
      </c>
    </row>
    <row r="12" customFormat="false" ht="15" hidden="false" customHeight="true" outlineLevel="0" collapsed="false">
      <c r="A12" s="76" t="s">
        <v>592</v>
      </c>
      <c r="B12" s="114" t="n">
        <v>0.802186293966682</v>
      </c>
      <c r="C12" s="114" t="n">
        <v>0.802186293966682</v>
      </c>
      <c r="D12" s="117"/>
    </row>
    <row r="14" customFormat="false" ht="15" hidden="false" customHeight="true" outlineLevel="0" collapsed="false">
      <c r="A14" s="123" t="s">
        <v>637</v>
      </c>
    </row>
    <row r="15" customFormat="false" ht="61.5" hidden="false" customHeight="true" outlineLevel="0" collapsed="false">
      <c r="A15" s="124" t="s">
        <v>638</v>
      </c>
      <c r="B15" s="124"/>
      <c r="C15" s="124"/>
      <c r="D15" s="124"/>
      <c r="E15" s="124"/>
      <c r="F15" s="124"/>
      <c r="G15" s="124"/>
      <c r="H15" s="124"/>
      <c r="I15" s="124"/>
    </row>
    <row r="41" customFormat="false" ht="15" hidden="false" customHeight="true" outlineLevel="0" collapsed="false">
      <c r="A41" s="97" t="s">
        <v>639</v>
      </c>
    </row>
    <row r="42" customFormat="false" ht="15" hidden="false" customHeight="true" outlineLevel="0" collapsed="false">
      <c r="A42" s="47" t="s">
        <v>640</v>
      </c>
      <c r="B42" s="47"/>
      <c r="C42" s="47"/>
      <c r="D42" s="47"/>
      <c r="E42" s="47"/>
      <c r="F42" s="47"/>
      <c r="G42" s="47"/>
      <c r="H42" s="47"/>
      <c r="I42" s="47"/>
    </row>
    <row r="43" customFormat="false" ht="15" hidden="false" customHeight="true" outlineLevel="0" collapsed="false">
      <c r="A43" s="125" t="s">
        <v>379</v>
      </c>
      <c r="B43" s="125" t="s">
        <v>587</v>
      </c>
      <c r="C43" s="125" t="s">
        <v>588</v>
      </c>
      <c r="D43" s="125" t="s">
        <v>589</v>
      </c>
      <c r="E43" s="125" t="s">
        <v>590</v>
      </c>
      <c r="F43" s="125" t="s">
        <v>591</v>
      </c>
    </row>
    <row r="44" customFormat="false" ht="15" hidden="false" customHeight="true" outlineLevel="0" collapsed="false">
      <c r="A44" s="111" t="s">
        <v>291</v>
      </c>
      <c r="B44" s="117" t="s">
        <v>147</v>
      </c>
      <c r="C44" s="117" t="s">
        <v>147</v>
      </c>
      <c r="D44" s="117" t="s">
        <v>147</v>
      </c>
      <c r="E44" s="117" t="s">
        <v>147</v>
      </c>
      <c r="F44" s="117" t="s">
        <v>147</v>
      </c>
    </row>
    <row r="45" customFormat="false" ht="15" hidden="false" customHeight="true" outlineLevel="0" collapsed="false">
      <c r="A45" s="111" t="s">
        <v>324</v>
      </c>
      <c r="B45" s="117" t="s">
        <v>147</v>
      </c>
      <c r="C45" s="117" t="s">
        <v>147</v>
      </c>
      <c r="D45" s="117" t="s">
        <v>147</v>
      </c>
      <c r="E45" s="117" t="s">
        <v>147</v>
      </c>
      <c r="F45" s="117" t="s">
        <v>147</v>
      </c>
    </row>
    <row r="46" customFormat="false" ht="15" hidden="false" customHeight="true" outlineLevel="0" collapsed="false">
      <c r="A46" s="111" t="s">
        <v>271</v>
      </c>
      <c r="B46" s="117" t="s">
        <v>147</v>
      </c>
      <c r="C46" s="117" t="s">
        <v>147</v>
      </c>
      <c r="D46" s="117" t="s">
        <v>147</v>
      </c>
      <c r="E46" s="117" t="s">
        <v>147</v>
      </c>
      <c r="F46" s="117" t="s">
        <v>147</v>
      </c>
    </row>
    <row r="47" customFormat="false" ht="15" hidden="false" customHeight="true" outlineLevel="0" collapsed="false">
      <c r="A47" s="111" t="s">
        <v>273</v>
      </c>
      <c r="B47" s="117" t="s">
        <v>147</v>
      </c>
      <c r="C47" s="117" t="s">
        <v>147</v>
      </c>
      <c r="D47" s="117" t="s">
        <v>147</v>
      </c>
      <c r="E47" s="114" t="n">
        <v>0.979217057641347</v>
      </c>
      <c r="F47" s="114" t="n">
        <v>0.975440048142019</v>
      </c>
    </row>
    <row r="48" customFormat="false" ht="15" hidden="false" customHeight="true" outlineLevel="0" collapsed="false">
      <c r="A48" s="111" t="s">
        <v>292</v>
      </c>
      <c r="B48" s="114" t="n">
        <v>0.700984578420997</v>
      </c>
      <c r="C48" s="114" t="n">
        <v>0.753310014879705</v>
      </c>
      <c r="D48" s="114" t="n">
        <v>0.667966664689483</v>
      </c>
      <c r="E48" s="114" t="n">
        <v>0.639902171446052</v>
      </c>
      <c r="F48" s="114" t="n">
        <v>0.768531043005305</v>
      </c>
    </row>
    <row r="49" customFormat="false" ht="15" hidden="false" customHeight="true" outlineLevel="0" collapsed="false">
      <c r="A49" s="111" t="s">
        <v>309</v>
      </c>
      <c r="B49" s="117" t="s">
        <v>147</v>
      </c>
      <c r="C49" s="117" t="s">
        <v>147</v>
      </c>
      <c r="D49" s="117" t="s">
        <v>147</v>
      </c>
      <c r="E49" s="117" t="s">
        <v>147</v>
      </c>
      <c r="F49" s="114" t="n">
        <v>0.577190542420028</v>
      </c>
    </row>
    <row r="50" customFormat="false" ht="15" hidden="false" customHeight="true" outlineLevel="0" collapsed="false">
      <c r="A50" s="111" t="s">
        <v>310</v>
      </c>
      <c r="B50" s="117" t="s">
        <v>147</v>
      </c>
      <c r="C50" s="117" t="s">
        <v>147</v>
      </c>
      <c r="D50" s="117" t="s">
        <v>147</v>
      </c>
      <c r="E50" s="114" t="n">
        <v>0.690075374304277</v>
      </c>
      <c r="F50" s="114" t="n">
        <v>0.956678561095574</v>
      </c>
    </row>
    <row r="51" customFormat="false" ht="15" hidden="false" customHeight="true" outlineLevel="0" collapsed="false">
      <c r="A51" s="111" t="s">
        <v>294</v>
      </c>
      <c r="B51" s="117" t="s">
        <v>147</v>
      </c>
      <c r="C51" s="117" t="s">
        <v>147</v>
      </c>
      <c r="D51" s="114" t="n">
        <v>0.699646643109541</v>
      </c>
      <c r="E51" s="114" t="n">
        <v>1</v>
      </c>
      <c r="F51" s="114" t="n">
        <v>0.671725218229529</v>
      </c>
    </row>
    <row r="52" customFormat="false" ht="15" hidden="false" customHeight="true" outlineLevel="0" collapsed="false">
      <c r="A52" s="111" t="s">
        <v>293</v>
      </c>
      <c r="B52" s="117" t="s">
        <v>147</v>
      </c>
      <c r="C52" s="114" t="n">
        <v>0.952240999265246</v>
      </c>
      <c r="D52" s="114" t="n">
        <v>0.918584928519506</v>
      </c>
      <c r="E52" s="114" t="n">
        <v>0.969849246231156</v>
      </c>
      <c r="F52" s="114" t="n">
        <v>0.787469773887467</v>
      </c>
    </row>
    <row r="53" customFormat="false" ht="15" hidden="false" customHeight="true" outlineLevel="0" collapsed="false">
      <c r="A53" s="111" t="s">
        <v>311</v>
      </c>
      <c r="B53" s="117" t="s">
        <v>147</v>
      </c>
      <c r="C53" s="117" t="s">
        <v>147</v>
      </c>
      <c r="D53" s="114" t="n">
        <v>0.796653467875846</v>
      </c>
      <c r="E53" s="114" t="n">
        <v>1.11711908931699</v>
      </c>
      <c r="F53" s="114" t="n">
        <v>0.731163620151583</v>
      </c>
    </row>
    <row r="54" customFormat="false" ht="15" hidden="false" customHeight="true" outlineLevel="0" collapsed="false">
      <c r="A54" s="111" t="s">
        <v>312</v>
      </c>
      <c r="B54" s="114" t="n">
        <v>0.732012924965645</v>
      </c>
      <c r="C54" s="114" t="n">
        <v>0.751427217721578</v>
      </c>
      <c r="D54" s="114" t="n">
        <v>0.708315225264378</v>
      </c>
      <c r="E54" s="114" t="n">
        <v>0.776954824316788</v>
      </c>
      <c r="F54" s="114" t="n">
        <v>0.824965926000025</v>
      </c>
    </row>
    <row r="55" customFormat="false" ht="15" hidden="false" customHeight="true" outlineLevel="0" collapsed="false">
      <c r="A55" s="111" t="s">
        <v>299</v>
      </c>
      <c r="B55" s="117" t="s">
        <v>147</v>
      </c>
      <c r="C55" s="114" t="n">
        <v>0.89240862762718</v>
      </c>
      <c r="D55" s="114" t="n">
        <v>0.935854766204384</v>
      </c>
      <c r="E55" s="114" t="n">
        <v>0.951523778519649</v>
      </c>
      <c r="F55" s="114" t="n">
        <v>0.846210144026955</v>
      </c>
    </row>
    <row r="56" customFormat="false" ht="15" hidden="false" customHeight="true" outlineLevel="0" collapsed="false">
      <c r="A56" s="111" t="s">
        <v>300</v>
      </c>
      <c r="B56" s="117" t="s">
        <v>147</v>
      </c>
      <c r="C56" s="114" t="n">
        <v>0.677002903205881</v>
      </c>
      <c r="D56" s="114" t="n">
        <v>0.695652173913043</v>
      </c>
      <c r="E56" s="114" t="n">
        <v>0.617942442400203</v>
      </c>
      <c r="F56" s="114" t="n">
        <v>0.808699154248892</v>
      </c>
    </row>
    <row r="57" customFormat="false" ht="15" hidden="false" customHeight="true" outlineLevel="0" collapsed="false">
      <c r="A57" s="111" t="s">
        <v>313</v>
      </c>
      <c r="B57" s="114" t="n">
        <v>0.926293218976146</v>
      </c>
      <c r="C57" s="114" t="n">
        <v>0.83002484813363</v>
      </c>
      <c r="D57" s="114" t="n">
        <v>0.770879085408277</v>
      </c>
      <c r="E57" s="114" t="n">
        <v>0.652733446272639</v>
      </c>
      <c r="F57" s="114" t="n">
        <v>0.993680454016009</v>
      </c>
    </row>
    <row r="58" customFormat="false" ht="15" hidden="false" customHeight="true" outlineLevel="0" collapsed="false">
      <c r="A58" s="111" t="s">
        <v>314</v>
      </c>
      <c r="B58" s="117" t="s">
        <v>147</v>
      </c>
      <c r="C58" s="117" t="s">
        <v>147</v>
      </c>
      <c r="D58" s="117" t="s">
        <v>147</v>
      </c>
      <c r="E58" s="117" t="s">
        <v>147</v>
      </c>
      <c r="F58" s="117" t="s">
        <v>147</v>
      </c>
    </row>
    <row r="59" customFormat="false" ht="15" hidden="false" customHeight="true" outlineLevel="0" collapsed="false">
      <c r="A59" s="111" t="s">
        <v>301</v>
      </c>
      <c r="B59" s="117" t="s">
        <v>147</v>
      </c>
      <c r="C59" s="117" t="s">
        <v>147</v>
      </c>
      <c r="D59" s="117" t="s">
        <v>147</v>
      </c>
      <c r="E59" s="117" t="s">
        <v>147</v>
      </c>
      <c r="F59" s="114" t="n">
        <v>0.882011605415861</v>
      </c>
    </row>
    <row r="60" customFormat="false" ht="15" hidden="false" customHeight="true" outlineLevel="0" collapsed="false">
      <c r="A60" s="111" t="s">
        <v>325</v>
      </c>
      <c r="B60" s="117" t="s">
        <v>147</v>
      </c>
      <c r="C60" s="114" t="n">
        <v>1</v>
      </c>
      <c r="D60" s="117" t="s">
        <v>147</v>
      </c>
      <c r="E60" s="114" t="n">
        <v>1</v>
      </c>
      <c r="F60" s="114" t="n">
        <v>1</v>
      </c>
    </row>
    <row r="61" customFormat="false" ht="15" hidden="false" customHeight="true" outlineLevel="0" collapsed="false">
      <c r="A61" s="111" t="s">
        <v>274</v>
      </c>
      <c r="B61" s="114" t="n">
        <v>0.738011695906433</v>
      </c>
      <c r="C61" s="114" t="n">
        <v>0.976258910094275</v>
      </c>
      <c r="D61" s="114" t="n">
        <v>1</v>
      </c>
      <c r="E61" s="114" t="n">
        <v>1</v>
      </c>
      <c r="F61" s="114" t="n">
        <v>1</v>
      </c>
    </row>
    <row r="62" customFormat="false" ht="15" hidden="false" customHeight="true" outlineLevel="0" collapsed="false">
      <c r="A62" s="111" t="s">
        <v>304</v>
      </c>
      <c r="B62" s="114" t="n">
        <v>0.945945945945946</v>
      </c>
      <c r="C62" s="114" t="n">
        <v>0.937575757575758</v>
      </c>
      <c r="D62" s="114" t="n">
        <v>1</v>
      </c>
      <c r="E62" s="114" t="n">
        <v>1.03003727252796</v>
      </c>
      <c r="F62" s="114" t="n">
        <v>1</v>
      </c>
    </row>
    <row r="63" customFormat="false" ht="15" hidden="false" customHeight="true" outlineLevel="0" collapsed="false">
      <c r="A63" s="111" t="s">
        <v>315</v>
      </c>
      <c r="B63" s="117" t="s">
        <v>147</v>
      </c>
      <c r="C63" s="117" t="s">
        <v>147</v>
      </c>
      <c r="D63" s="117" t="s">
        <v>147</v>
      </c>
      <c r="E63" s="114" t="n">
        <v>0.786026200873363</v>
      </c>
      <c r="F63" s="114" t="n">
        <v>0.562913907284768</v>
      </c>
    </row>
    <row r="64" customFormat="false" ht="15" hidden="false" customHeight="true" outlineLevel="0" collapsed="false">
      <c r="A64" s="111" t="s">
        <v>302</v>
      </c>
      <c r="B64" s="117" t="s">
        <v>147</v>
      </c>
      <c r="C64" s="117" t="s">
        <v>147</v>
      </c>
      <c r="D64" s="117" t="s">
        <v>147</v>
      </c>
      <c r="E64" s="117" t="s">
        <v>147</v>
      </c>
      <c r="F64" s="114" t="n">
        <v>1</v>
      </c>
    </row>
    <row r="65" customFormat="false" ht="15" hidden="false" customHeight="true" outlineLevel="0" collapsed="false">
      <c r="A65" s="111" t="s">
        <v>316</v>
      </c>
      <c r="B65" s="114" t="n">
        <v>0.782638897205888</v>
      </c>
      <c r="C65" s="114" t="n">
        <v>0.806159281729652</v>
      </c>
      <c r="D65" s="114" t="n">
        <v>0.856545961002786</v>
      </c>
      <c r="E65" s="114" t="n">
        <v>0.953529153879877</v>
      </c>
      <c r="F65" s="114" t="n">
        <v>0.792126123732341</v>
      </c>
    </row>
    <row r="66" customFormat="false" ht="15" hidden="false" customHeight="true" outlineLevel="0" collapsed="false">
      <c r="A66" s="111" t="s">
        <v>317</v>
      </c>
      <c r="B66" s="114" t="n">
        <v>0.715361173343724</v>
      </c>
      <c r="C66" s="114" t="n">
        <v>0.856978306776733</v>
      </c>
      <c r="D66" s="114" t="n">
        <v>0.939130434782609</v>
      </c>
      <c r="E66" s="114" t="n">
        <v>0.873015873015873</v>
      </c>
      <c r="F66" s="114" t="n">
        <v>0.947368421052632</v>
      </c>
    </row>
    <row r="67" customFormat="false" ht="15" hidden="false" customHeight="true" outlineLevel="0" collapsed="false">
      <c r="A67" s="111" t="s">
        <v>295</v>
      </c>
      <c r="B67" s="114" t="n">
        <v>0.942110769561392</v>
      </c>
      <c r="C67" s="114" t="n">
        <v>1.1119174900355</v>
      </c>
      <c r="D67" s="114" t="n">
        <v>0.888001792297196</v>
      </c>
      <c r="E67" s="114" t="n">
        <v>0.864237495994962</v>
      </c>
      <c r="F67" s="114" t="n">
        <v>0.773568045859391</v>
      </c>
    </row>
    <row r="68" customFormat="false" ht="15" hidden="false" customHeight="true" outlineLevel="0" collapsed="false">
      <c r="A68" s="111" t="s">
        <v>306</v>
      </c>
      <c r="B68" s="114" t="n">
        <v>1.01300416033482</v>
      </c>
      <c r="C68" s="114" t="n">
        <v>0.98114626536706</v>
      </c>
      <c r="D68" s="114" t="n">
        <v>0.833144688756064</v>
      </c>
      <c r="E68" s="114" t="n">
        <v>0.832133523318615</v>
      </c>
      <c r="F68" s="114" t="n">
        <v>0.817412793460698</v>
      </c>
    </row>
    <row r="69" customFormat="false" ht="15" hidden="false" customHeight="true" outlineLevel="0" collapsed="false">
      <c r="A69" s="111" t="s">
        <v>326</v>
      </c>
      <c r="B69" s="114" t="n">
        <v>1</v>
      </c>
      <c r="C69" s="117" t="s">
        <v>147</v>
      </c>
      <c r="D69" s="114" t="n">
        <v>1</v>
      </c>
      <c r="E69" s="114" t="n">
        <v>1</v>
      </c>
      <c r="F69" s="114" t="n">
        <v>1</v>
      </c>
    </row>
    <row r="70" customFormat="false" ht="15" hidden="false" customHeight="true" outlineLevel="0" collapsed="false">
      <c r="A70" s="111" t="s">
        <v>303</v>
      </c>
      <c r="B70" s="114" t="n">
        <v>0.967095538569856</v>
      </c>
      <c r="C70" s="114" t="n">
        <v>0.782803366540263</v>
      </c>
      <c r="D70" s="114" t="n">
        <v>0.732942913507947</v>
      </c>
      <c r="E70" s="114" t="n">
        <v>0.781297583315228</v>
      </c>
      <c r="F70" s="114" t="n">
        <v>0.861471079405505</v>
      </c>
    </row>
    <row r="71" customFormat="false" ht="15" hidden="false" customHeight="true" outlineLevel="0" collapsed="false">
      <c r="A71" s="111" t="s">
        <v>307</v>
      </c>
      <c r="B71" s="114" t="n">
        <v>0.790879798806383</v>
      </c>
      <c r="C71" s="114" t="n">
        <v>0.78915206302712</v>
      </c>
      <c r="D71" s="114" t="n">
        <v>0.756477620937359</v>
      </c>
      <c r="E71" s="114" t="n">
        <v>0.78648610363487</v>
      </c>
      <c r="F71" s="114" t="n">
        <v>0.833306249796873</v>
      </c>
    </row>
    <row r="72" customFormat="false" ht="15" hidden="false" customHeight="true" outlineLevel="0" collapsed="false">
      <c r="A72" s="111" t="s">
        <v>327</v>
      </c>
      <c r="B72" s="114" t="n">
        <v>1</v>
      </c>
      <c r="C72" s="114" t="n">
        <v>1</v>
      </c>
      <c r="D72" s="114" t="n">
        <v>1.41176470588235</v>
      </c>
      <c r="E72" s="114" t="n">
        <v>0.777777777777778</v>
      </c>
      <c r="F72" s="114" t="n">
        <v>0.84</v>
      </c>
    </row>
    <row r="73" customFormat="false" ht="15" hidden="false" customHeight="true" outlineLevel="0" collapsed="false">
      <c r="A73" s="111" t="s">
        <v>318</v>
      </c>
      <c r="B73" s="117" t="s">
        <v>147</v>
      </c>
      <c r="C73" s="114" t="n">
        <v>0.879103282626101</v>
      </c>
      <c r="D73" s="114" t="n">
        <v>0.7450294953026</v>
      </c>
      <c r="E73" s="114" t="n">
        <v>0.744577805853864</v>
      </c>
      <c r="F73" s="114" t="n">
        <v>0.852863256572244</v>
      </c>
    </row>
    <row r="74" customFormat="false" ht="15" hidden="false" customHeight="true" outlineLevel="0" collapsed="false">
      <c r="A74" s="111" t="s">
        <v>308</v>
      </c>
      <c r="B74" s="114" t="n">
        <v>0.860495436766623</v>
      </c>
      <c r="C74" s="114" t="n">
        <v>0.956130483689539</v>
      </c>
      <c r="D74" s="114" t="n">
        <v>0.946702800361337</v>
      </c>
      <c r="E74" s="114" t="n">
        <v>0.973584905660377</v>
      </c>
      <c r="F74" s="117" t="s">
        <v>147</v>
      </c>
    </row>
    <row r="75" customFormat="false" ht="15" hidden="false" customHeight="true" outlineLevel="0" collapsed="false">
      <c r="A75" s="111" t="s">
        <v>328</v>
      </c>
      <c r="B75" s="117" t="s">
        <v>147</v>
      </c>
      <c r="C75" s="117" t="s">
        <v>147</v>
      </c>
      <c r="D75" s="117" t="s">
        <v>147</v>
      </c>
      <c r="E75" s="114" t="n">
        <v>1</v>
      </c>
      <c r="F75" s="117" t="s">
        <v>147</v>
      </c>
    </row>
    <row r="76" customFormat="false" ht="15" hidden="false" customHeight="true" outlineLevel="0" collapsed="false">
      <c r="A76" s="111" t="s">
        <v>305</v>
      </c>
      <c r="B76" s="117" t="s">
        <v>147</v>
      </c>
      <c r="C76" s="117" t="s">
        <v>147</v>
      </c>
      <c r="D76" s="117" t="s">
        <v>147</v>
      </c>
      <c r="E76" s="117" t="s">
        <v>147</v>
      </c>
      <c r="F76" s="114" t="n">
        <v>1</v>
      </c>
    </row>
    <row r="77" customFormat="false" ht="15" hidden="false" customHeight="true" outlineLevel="0" collapsed="false">
      <c r="A77" s="111" t="s">
        <v>296</v>
      </c>
      <c r="B77" s="114" t="n">
        <v>0.918598765860084</v>
      </c>
      <c r="C77" s="114" t="n">
        <v>0.891202356336813</v>
      </c>
      <c r="D77" s="114" t="n">
        <v>0.779425876973773</v>
      </c>
      <c r="E77" s="114" t="n">
        <v>0.924009991219767</v>
      </c>
      <c r="F77" s="114" t="n">
        <v>0.8961448432373</v>
      </c>
    </row>
    <row r="78" customFormat="false" ht="15" hidden="false" customHeight="true" outlineLevel="0" collapsed="false">
      <c r="A78" s="111" t="s">
        <v>319</v>
      </c>
      <c r="B78" s="114" t="n">
        <v>1.03367875647668</v>
      </c>
      <c r="C78" s="114" t="n">
        <v>0.84472049689441</v>
      </c>
      <c r="D78" s="114" t="n">
        <v>0.775557486243846</v>
      </c>
      <c r="E78" s="114" t="n">
        <v>0.858431018935978</v>
      </c>
      <c r="F78" s="114" t="n">
        <v>0.90970370443799</v>
      </c>
    </row>
    <row r="79" customFormat="false" ht="15" hidden="false" customHeight="true" outlineLevel="0" collapsed="false">
      <c r="A79" s="111" t="s">
        <v>297</v>
      </c>
      <c r="B79" s="114" t="n">
        <v>0.798815318727265</v>
      </c>
      <c r="C79" s="114" t="n">
        <v>0.755494090113317</v>
      </c>
      <c r="D79" s="114" t="n">
        <v>0.761562507575171</v>
      </c>
      <c r="E79" s="114" t="n">
        <v>0.762521514785829</v>
      </c>
      <c r="F79" s="114" t="n">
        <v>0.849902195174962</v>
      </c>
    </row>
    <row r="80" customFormat="false" ht="15" hidden="false" customHeight="true" outlineLevel="0" collapsed="false">
      <c r="A80" s="111" t="s">
        <v>323</v>
      </c>
      <c r="B80" s="114" t="n">
        <v>0.946835200424127</v>
      </c>
      <c r="C80" s="114" t="n">
        <v>0.931981366240496</v>
      </c>
      <c r="D80" s="114" t="n">
        <v>0.963957509300883</v>
      </c>
      <c r="E80" s="114" t="n">
        <v>0.973488581126699</v>
      </c>
      <c r="F80" s="114" t="n">
        <v>0.847867354146693</v>
      </c>
    </row>
    <row r="81" customFormat="false" ht="15" hidden="false" customHeight="true" outlineLevel="0" collapsed="false">
      <c r="A81" s="111" t="s">
        <v>298</v>
      </c>
      <c r="B81" s="114" t="n">
        <v>0.994872525281299</v>
      </c>
      <c r="C81" s="114" t="n">
        <v>0.816362669568551</v>
      </c>
      <c r="D81" s="114" t="n">
        <v>0.994374188584892</v>
      </c>
      <c r="E81" s="114" t="n">
        <v>0.813437566025777</v>
      </c>
      <c r="F81" s="114" t="n">
        <v>0.987684054956484</v>
      </c>
    </row>
    <row r="82" customFormat="false" ht="15" hidden="false" customHeight="true" outlineLevel="0" collapsed="false">
      <c r="A82" s="111" t="s">
        <v>320</v>
      </c>
      <c r="B82" s="117" t="s">
        <v>147</v>
      </c>
      <c r="C82" s="117" t="s">
        <v>147</v>
      </c>
      <c r="D82" s="114" t="n">
        <v>0.839059126548237</v>
      </c>
      <c r="E82" s="114" t="n">
        <v>0.97875</v>
      </c>
      <c r="F82" s="114" t="n">
        <v>1.03166510130149</v>
      </c>
    </row>
    <row r="83" customFormat="false" ht="15" hidden="false" customHeight="true" outlineLevel="0" collapsed="false">
      <c r="A83" s="111" t="s">
        <v>322</v>
      </c>
      <c r="B83" s="117" t="s">
        <v>147</v>
      </c>
      <c r="C83" s="117" t="s">
        <v>147</v>
      </c>
      <c r="D83" s="117" t="s">
        <v>147</v>
      </c>
      <c r="E83" s="114" t="n">
        <v>0.971043771043771</v>
      </c>
      <c r="F83" s="114" t="n">
        <v>0.836854774003744</v>
      </c>
    </row>
    <row r="84" customFormat="false" ht="15" hidden="false" customHeight="true" outlineLevel="0" collapsed="false">
      <c r="A84" s="111" t="s">
        <v>321</v>
      </c>
      <c r="B84" s="117" t="s">
        <v>147</v>
      </c>
      <c r="C84" s="117" t="s">
        <v>147</v>
      </c>
      <c r="D84" s="117" t="s">
        <v>147</v>
      </c>
      <c r="E84" s="114" t="n">
        <v>0.91496062992126</v>
      </c>
      <c r="F84" s="114" t="n">
        <v>0.942911157708192</v>
      </c>
    </row>
  </sheetData>
  <mergeCells count="5">
    <mergeCell ref="A1:I1"/>
    <mergeCell ref="A2:I2"/>
    <mergeCell ref="A3:I3"/>
    <mergeCell ref="A15:I15"/>
    <mergeCell ref="A42:I4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6"/>
    <col collapsed="false" customWidth="true" hidden="false" outlineLevel="0" max="2" min="2" style="0" width="17"/>
    <col collapsed="false" customWidth="true" hidden="false" outlineLevel="0" max="3" min="3" style="0" width="14"/>
    <col collapsed="false" customWidth="true" hidden="false" outlineLevel="0" max="4" min="4" style="0" width="13"/>
    <col collapsed="false" customWidth="true" hidden="false" outlineLevel="0" max="6" min="5" style="0" width="15"/>
    <col collapsed="false" customWidth="true" hidden="false" outlineLevel="0" max="8" min="7" style="0" width="30"/>
  </cols>
  <sheetData>
    <row r="1" customFormat="false" ht="17.25" hidden="false" customHeight="true" outlineLevel="0" collapsed="false">
      <c r="A1" s="108" t="s">
        <v>641</v>
      </c>
      <c r="B1" s="108"/>
      <c r="C1" s="108"/>
      <c r="D1" s="108"/>
      <c r="E1" s="108"/>
      <c r="F1" s="108"/>
      <c r="G1" s="108"/>
      <c r="H1" s="108"/>
    </row>
    <row r="2" customFormat="false" ht="61.5" hidden="false" customHeight="true" outlineLevel="0" collapsed="false">
      <c r="A2" s="47" t="s">
        <v>642</v>
      </c>
      <c r="B2" s="47"/>
      <c r="C2" s="47"/>
      <c r="D2" s="47"/>
      <c r="E2" s="47"/>
      <c r="F2" s="47"/>
      <c r="G2" s="47"/>
      <c r="H2" s="47"/>
    </row>
    <row r="3" customFormat="false" ht="75.75" hidden="false" customHeight="true" outlineLevel="0" collapsed="false">
      <c r="A3" s="47" t="s">
        <v>643</v>
      </c>
      <c r="B3" s="47"/>
      <c r="C3" s="47"/>
      <c r="D3" s="47"/>
      <c r="E3" s="47"/>
      <c r="F3" s="47"/>
      <c r="G3" s="47"/>
      <c r="H3" s="47"/>
    </row>
    <row r="4" customFormat="false" ht="61.5" hidden="false" customHeight="true" outlineLevel="0" collapsed="false">
      <c r="A4" s="109" t="s">
        <v>644</v>
      </c>
      <c r="B4" s="109"/>
      <c r="C4" s="109"/>
      <c r="D4" s="109"/>
      <c r="E4" s="109"/>
      <c r="F4" s="109"/>
      <c r="G4" s="109"/>
      <c r="H4" s="109"/>
    </row>
    <row r="5" customFormat="false" ht="48" hidden="false" customHeight="true" outlineLevel="0" collapsed="false">
      <c r="A5" s="47" t="s">
        <v>645</v>
      </c>
      <c r="B5" s="47"/>
      <c r="C5" s="47"/>
      <c r="D5" s="47"/>
      <c r="E5" s="47"/>
      <c r="F5" s="47"/>
      <c r="G5" s="47"/>
      <c r="H5" s="47"/>
    </row>
    <row r="7" customFormat="false" ht="31.5" hidden="false" customHeight="true" outlineLevel="0" collapsed="false">
      <c r="A7" s="110" t="s">
        <v>379</v>
      </c>
      <c r="B7" s="110" t="s">
        <v>622</v>
      </c>
      <c r="C7" s="110" t="s">
        <v>646</v>
      </c>
      <c r="D7" s="110" t="s">
        <v>647</v>
      </c>
      <c r="E7" s="110" t="s">
        <v>648</v>
      </c>
      <c r="F7" s="110" t="s">
        <v>649</v>
      </c>
      <c r="G7" s="110" t="s">
        <v>650</v>
      </c>
      <c r="H7" s="110" t="s">
        <v>651</v>
      </c>
    </row>
    <row r="8" customFormat="false" ht="15" hidden="false" customHeight="true" outlineLevel="0" collapsed="false">
      <c r="A8" s="111" t="s">
        <v>310</v>
      </c>
      <c r="B8" s="112" t="n">
        <v>19676</v>
      </c>
      <c r="C8" s="112" t="n">
        <v>35</v>
      </c>
      <c r="D8" s="112" t="n">
        <v>562</v>
      </c>
      <c r="E8" s="112" t="n">
        <v>11019</v>
      </c>
      <c r="F8" s="113" t="n">
        <v>19.6</v>
      </c>
      <c r="G8" s="126" t="s">
        <v>652</v>
      </c>
      <c r="H8" s="127"/>
    </row>
    <row r="9" customFormat="false" ht="15" hidden="false" customHeight="true" outlineLevel="0" collapsed="false">
      <c r="A9" s="111" t="s">
        <v>323</v>
      </c>
      <c r="B9" s="112" t="n">
        <v>331986</v>
      </c>
      <c r="C9" s="112" t="n">
        <v>188</v>
      </c>
      <c r="D9" s="112" t="n">
        <v>1766</v>
      </c>
      <c r="E9" s="112" t="n">
        <v>29413</v>
      </c>
      <c r="F9" s="113" t="n">
        <v>16.7</v>
      </c>
      <c r="G9" s="128" t="s">
        <v>653</v>
      </c>
      <c r="H9" s="127"/>
    </row>
    <row r="10" customFormat="false" ht="15" hidden="false" customHeight="true" outlineLevel="0" collapsed="false">
      <c r="A10" s="111" t="s">
        <v>316</v>
      </c>
      <c r="B10" s="112" t="n">
        <v>86072</v>
      </c>
      <c r="C10" s="112" t="n">
        <v>57</v>
      </c>
      <c r="D10" s="112" t="n">
        <v>1510</v>
      </c>
      <c r="E10" s="112" t="n">
        <v>25131</v>
      </c>
      <c r="F10" s="113" t="n">
        <v>16.6</v>
      </c>
      <c r="G10" s="128" t="s">
        <v>653</v>
      </c>
      <c r="H10" s="127"/>
    </row>
    <row r="11" customFormat="false" ht="15" hidden="false" customHeight="true" outlineLevel="0" collapsed="false">
      <c r="A11" s="111" t="s">
        <v>295</v>
      </c>
      <c r="B11" s="112" t="n">
        <v>93651</v>
      </c>
      <c r="C11" s="112" t="n">
        <v>59</v>
      </c>
      <c r="D11" s="112" t="n">
        <v>1587</v>
      </c>
      <c r="E11" s="112" t="n">
        <v>19353</v>
      </c>
      <c r="F11" s="113" t="n">
        <v>12.2</v>
      </c>
      <c r="G11" s="126" t="s">
        <v>652</v>
      </c>
      <c r="H11" s="127"/>
    </row>
    <row r="12" customFormat="false" ht="15" hidden="false" customHeight="true" outlineLevel="0" collapsed="false">
      <c r="A12" s="111" t="s">
        <v>299</v>
      </c>
      <c r="B12" s="112" t="n">
        <v>295485</v>
      </c>
      <c r="C12" s="112" t="n">
        <v>89</v>
      </c>
      <c r="D12" s="112" t="n">
        <v>3320</v>
      </c>
      <c r="E12" s="112" t="n">
        <v>39095</v>
      </c>
      <c r="F12" s="113" t="n">
        <v>11.8</v>
      </c>
      <c r="G12" s="128" t="s">
        <v>653</v>
      </c>
      <c r="H12" s="127"/>
    </row>
    <row r="13" customFormat="false" ht="15" hidden="false" customHeight="true" outlineLevel="0" collapsed="false">
      <c r="A13" s="111" t="s">
        <v>296</v>
      </c>
      <c r="B13" s="112" t="n">
        <v>237540</v>
      </c>
      <c r="C13" s="112" t="n">
        <v>133</v>
      </c>
      <c r="D13" s="112" t="n">
        <v>1786</v>
      </c>
      <c r="E13" s="112" t="n">
        <v>20032</v>
      </c>
      <c r="F13" s="113" t="n">
        <v>11.2</v>
      </c>
      <c r="G13" s="126" t="s">
        <v>652</v>
      </c>
      <c r="H13" s="127"/>
    </row>
    <row r="14" customFormat="false" ht="15" hidden="false" customHeight="true" outlineLevel="0" collapsed="false">
      <c r="A14" s="111" t="s">
        <v>317</v>
      </c>
      <c r="B14" s="112" t="n">
        <v>35024</v>
      </c>
      <c r="C14" s="112" t="n">
        <v>13</v>
      </c>
      <c r="D14" s="112" t="n">
        <v>2694</v>
      </c>
      <c r="E14" s="112" t="n">
        <v>24567</v>
      </c>
      <c r="F14" s="113" t="n">
        <v>9.1</v>
      </c>
      <c r="G14" s="128" t="s">
        <v>653</v>
      </c>
      <c r="H14" s="127"/>
    </row>
    <row r="15" customFormat="false" ht="18.75" hidden="false" customHeight="true" outlineLevel="0" collapsed="false">
      <c r="A15" s="111" t="s">
        <v>274</v>
      </c>
      <c r="B15" s="112" t="n">
        <v>144774</v>
      </c>
      <c r="C15" s="112" t="n">
        <v>15</v>
      </c>
      <c r="D15" s="112" t="n">
        <v>9652</v>
      </c>
      <c r="E15" s="112" t="n">
        <v>85313</v>
      </c>
      <c r="F15" s="113" t="n">
        <v>8.8</v>
      </c>
      <c r="G15" s="126" t="s">
        <v>654</v>
      </c>
      <c r="H15" s="127" t="s">
        <v>655</v>
      </c>
    </row>
    <row r="16" customFormat="false" ht="15" hidden="false" customHeight="true" outlineLevel="0" collapsed="false">
      <c r="A16" s="111" t="s">
        <v>292</v>
      </c>
      <c r="B16" s="112" t="n">
        <v>215122</v>
      </c>
      <c r="C16" s="112" t="n">
        <v>70</v>
      </c>
      <c r="D16" s="112" t="n">
        <v>3073</v>
      </c>
      <c r="E16" s="112" t="n">
        <v>25431</v>
      </c>
      <c r="F16" s="113" t="n">
        <v>8.3</v>
      </c>
      <c r="G16" s="128" t="s">
        <v>653</v>
      </c>
      <c r="H16" s="127"/>
    </row>
    <row r="17" customFormat="false" ht="15" hidden="false" customHeight="true" outlineLevel="0" collapsed="false">
      <c r="A17" s="111" t="s">
        <v>311</v>
      </c>
      <c r="B17" s="112" t="n">
        <v>122873</v>
      </c>
      <c r="C17" s="112" t="n">
        <v>40</v>
      </c>
      <c r="D17" s="112" t="n">
        <v>3072</v>
      </c>
      <c r="E17" s="112" t="n">
        <v>22435</v>
      </c>
      <c r="F17" s="113" t="n">
        <v>7.3</v>
      </c>
      <c r="G17" s="126" t="s">
        <v>652</v>
      </c>
      <c r="H17" s="127"/>
    </row>
    <row r="18" customFormat="false" ht="15" hidden="false" customHeight="true" outlineLevel="0" collapsed="false">
      <c r="A18" s="111" t="s">
        <v>294</v>
      </c>
      <c r="B18" s="112" t="n">
        <v>192074</v>
      </c>
      <c r="C18" s="112" t="n">
        <v>55</v>
      </c>
      <c r="D18" s="112" t="n">
        <v>3492</v>
      </c>
      <c r="E18" s="112" t="n">
        <v>25235</v>
      </c>
      <c r="F18" s="113" t="n">
        <v>7.2</v>
      </c>
      <c r="G18" s="128" t="s">
        <v>653</v>
      </c>
      <c r="H18" s="127"/>
    </row>
    <row r="19" customFormat="false" ht="15" hidden="false" customHeight="true" outlineLevel="0" collapsed="false">
      <c r="A19" s="111" t="s">
        <v>320</v>
      </c>
      <c r="B19" s="112" t="n">
        <v>239637</v>
      </c>
      <c r="C19" s="112" t="n">
        <v>57</v>
      </c>
      <c r="D19" s="112" t="n">
        <v>4204</v>
      </c>
      <c r="E19" s="112" t="n">
        <v>26782</v>
      </c>
      <c r="F19" s="113" t="n">
        <v>6.4</v>
      </c>
      <c r="G19" s="126" t="s">
        <v>654</v>
      </c>
      <c r="H19" s="127"/>
    </row>
    <row r="20" customFormat="false" ht="15" hidden="false" customHeight="true" outlineLevel="0" collapsed="false">
      <c r="A20" s="111" t="s">
        <v>319</v>
      </c>
      <c r="B20" s="112" t="n">
        <v>144540</v>
      </c>
      <c r="C20" s="112" t="n">
        <v>38</v>
      </c>
      <c r="D20" s="112" t="n">
        <v>3804</v>
      </c>
      <c r="E20" s="112" t="n">
        <v>22553</v>
      </c>
      <c r="F20" s="113" t="n">
        <v>5.9</v>
      </c>
      <c r="G20" s="129" t="s">
        <v>656</v>
      </c>
      <c r="H20" s="127"/>
    </row>
    <row r="21" customFormat="false" ht="15" hidden="false" customHeight="true" outlineLevel="0" collapsed="false">
      <c r="A21" s="111" t="s">
        <v>297</v>
      </c>
      <c r="B21" s="112" t="n">
        <v>300760</v>
      </c>
      <c r="C21" s="112" t="n">
        <v>96</v>
      </c>
      <c r="D21" s="112" t="n">
        <v>3133</v>
      </c>
      <c r="E21" s="112" t="n">
        <v>17651</v>
      </c>
      <c r="F21" s="113" t="n">
        <v>5.6</v>
      </c>
      <c r="G21" s="126" t="s">
        <v>652</v>
      </c>
      <c r="H21" s="127"/>
    </row>
    <row r="22" customFormat="false" ht="15" hidden="false" customHeight="true" outlineLevel="0" collapsed="false">
      <c r="A22" s="111" t="s">
        <v>303</v>
      </c>
      <c r="B22" s="112" t="n">
        <v>251610</v>
      </c>
      <c r="C22" s="112" t="n">
        <v>57</v>
      </c>
      <c r="D22" s="112" t="n">
        <v>4414</v>
      </c>
      <c r="E22" s="112" t="n">
        <v>24328</v>
      </c>
      <c r="F22" s="113" t="n">
        <v>5.5</v>
      </c>
      <c r="G22" s="126" t="s">
        <v>654</v>
      </c>
      <c r="H22" s="127"/>
    </row>
    <row r="23" customFormat="false" ht="15" hidden="false" customHeight="true" outlineLevel="0" collapsed="false">
      <c r="A23" s="111" t="s">
        <v>315</v>
      </c>
      <c r="B23" s="112" t="n">
        <v>265988</v>
      </c>
      <c r="C23" s="112" t="n">
        <v>56</v>
      </c>
      <c r="D23" s="112" t="n">
        <v>4750</v>
      </c>
      <c r="E23" s="112" t="n">
        <v>26009</v>
      </c>
      <c r="F23" s="113" t="n">
        <v>5.5</v>
      </c>
      <c r="G23" s="126" t="s">
        <v>654</v>
      </c>
      <c r="H23" s="127"/>
    </row>
    <row r="24" customFormat="false" ht="15" hidden="false" customHeight="true" outlineLevel="0" collapsed="false">
      <c r="A24" s="111" t="s">
        <v>318</v>
      </c>
      <c r="B24" s="112" t="n">
        <v>208677</v>
      </c>
      <c r="C24" s="112" t="n">
        <v>58</v>
      </c>
      <c r="D24" s="112" t="n">
        <v>3598</v>
      </c>
      <c r="E24" s="112" t="n">
        <v>18638</v>
      </c>
      <c r="F24" s="113" t="n">
        <v>5.2</v>
      </c>
      <c r="G24" s="126" t="s">
        <v>652</v>
      </c>
      <c r="H24" s="127"/>
    </row>
    <row r="25" customFormat="false" ht="15" hidden="false" customHeight="true" outlineLevel="0" collapsed="false">
      <c r="A25" s="111" t="s">
        <v>298</v>
      </c>
      <c r="B25" s="112" t="n">
        <v>230261</v>
      </c>
      <c r="C25" s="112" t="n">
        <v>47</v>
      </c>
      <c r="D25" s="112" t="n">
        <v>4899</v>
      </c>
      <c r="E25" s="112" t="n">
        <v>23181</v>
      </c>
      <c r="F25" s="113" t="n">
        <v>4.7</v>
      </c>
      <c r="G25" s="126" t="s">
        <v>654</v>
      </c>
      <c r="H25" s="127"/>
    </row>
    <row r="26" customFormat="false" ht="15" hidden="false" customHeight="true" outlineLevel="0" collapsed="false">
      <c r="A26" s="111" t="s">
        <v>321</v>
      </c>
      <c r="B26" s="112" t="n">
        <v>135973</v>
      </c>
      <c r="C26" s="112" t="n">
        <v>32</v>
      </c>
      <c r="D26" s="112" t="n">
        <v>4249</v>
      </c>
      <c r="E26" s="112" t="n">
        <v>17919</v>
      </c>
      <c r="F26" s="113" t="n">
        <v>4.2</v>
      </c>
      <c r="G26" s="129" t="s">
        <v>656</v>
      </c>
      <c r="H26" s="127"/>
    </row>
    <row r="27" customFormat="false" ht="15" hidden="false" customHeight="true" outlineLevel="0" collapsed="false">
      <c r="A27" s="111" t="s">
        <v>293</v>
      </c>
      <c r="B27" s="112" t="n">
        <v>187849</v>
      </c>
      <c r="C27" s="112" t="n">
        <v>33</v>
      </c>
      <c r="D27" s="112" t="n">
        <v>5692</v>
      </c>
      <c r="E27" s="112" t="n">
        <v>19863</v>
      </c>
      <c r="F27" s="113" t="n">
        <v>3.5</v>
      </c>
      <c r="G27" s="129" t="s">
        <v>656</v>
      </c>
      <c r="H27" s="127"/>
    </row>
    <row r="28" customFormat="false" ht="15" hidden="false" customHeight="true" outlineLevel="0" collapsed="false">
      <c r="A28" s="111" t="s">
        <v>300</v>
      </c>
      <c r="B28" s="112" t="n">
        <v>287274</v>
      </c>
      <c r="C28" s="112" t="n">
        <v>29</v>
      </c>
      <c r="D28" s="112" t="n">
        <v>9906</v>
      </c>
      <c r="E28" s="112" t="n">
        <v>29506</v>
      </c>
      <c r="F28" s="113" t="n">
        <v>3</v>
      </c>
      <c r="G28" s="126" t="s">
        <v>654</v>
      </c>
      <c r="H28" s="127"/>
    </row>
    <row r="29" customFormat="false" ht="15" hidden="false" customHeight="true" outlineLevel="0" collapsed="false">
      <c r="A29" s="111" t="s">
        <v>312</v>
      </c>
      <c r="B29" s="112" t="n">
        <v>375181</v>
      </c>
      <c r="C29" s="112" t="n">
        <v>41</v>
      </c>
      <c r="D29" s="112" t="n">
        <v>9151</v>
      </c>
      <c r="E29" s="112" t="n">
        <v>24703</v>
      </c>
      <c r="F29" s="113" t="n">
        <v>2.7</v>
      </c>
      <c r="G29" s="126" t="s">
        <v>654</v>
      </c>
      <c r="H29" s="127"/>
    </row>
    <row r="30" customFormat="false" ht="15" hidden="false" customHeight="true" outlineLevel="0" collapsed="false">
      <c r="A30" s="111" t="s">
        <v>322</v>
      </c>
      <c r="B30" s="112" t="n">
        <v>126848</v>
      </c>
      <c r="C30" s="112" t="n">
        <v>15</v>
      </c>
      <c r="D30" s="112" t="n">
        <v>8457</v>
      </c>
      <c r="E30" s="112" t="n">
        <v>22026</v>
      </c>
      <c r="F30" s="113" t="n">
        <v>2.6</v>
      </c>
      <c r="G30" s="129" t="s">
        <v>656</v>
      </c>
      <c r="H30" s="127"/>
    </row>
    <row r="31" customFormat="false" ht="15" hidden="false" customHeight="true" outlineLevel="0" collapsed="false">
      <c r="A31" s="111" t="s">
        <v>313</v>
      </c>
      <c r="B31" s="112" t="n">
        <v>273967</v>
      </c>
      <c r="C31" s="112" t="n">
        <v>45</v>
      </c>
      <c r="D31" s="112" t="n">
        <v>6088</v>
      </c>
      <c r="E31" s="112" t="n">
        <v>14815</v>
      </c>
      <c r="F31" s="113" t="n">
        <v>2.4</v>
      </c>
      <c r="G31" s="129" t="s">
        <v>656</v>
      </c>
      <c r="H31" s="127"/>
    </row>
    <row r="32" customFormat="false" ht="15" hidden="false" customHeight="true" outlineLevel="0" collapsed="false">
      <c r="A32" s="111" t="s">
        <v>273</v>
      </c>
      <c r="B32" s="112" t="n">
        <v>108405</v>
      </c>
      <c r="C32" s="112" t="n">
        <v>69</v>
      </c>
      <c r="D32" s="112" t="n">
        <v>1571</v>
      </c>
      <c r="E32" s="117" t="s">
        <v>147</v>
      </c>
      <c r="F32" s="117" t="s">
        <v>282</v>
      </c>
      <c r="G32" s="117" t="s">
        <v>657</v>
      </c>
      <c r="H32" s="127" t="s">
        <v>658</v>
      </c>
    </row>
    <row r="33" customFormat="false" ht="15" hidden="false" customHeight="true" outlineLevel="0" collapsed="false">
      <c r="A33" s="111" t="s">
        <v>309</v>
      </c>
      <c r="B33" s="112" t="n">
        <v>37402</v>
      </c>
      <c r="C33" s="112" t="n">
        <v>18</v>
      </c>
      <c r="D33" s="112" t="n">
        <v>2078</v>
      </c>
      <c r="E33" s="117" t="s">
        <v>147</v>
      </c>
      <c r="F33" s="117" t="s">
        <v>282</v>
      </c>
      <c r="G33" s="117" t="s">
        <v>657</v>
      </c>
      <c r="H33" s="127" t="s">
        <v>658</v>
      </c>
    </row>
    <row r="34" customFormat="false" ht="15" hidden="false" customHeight="true" outlineLevel="0" collapsed="false">
      <c r="A34" s="111" t="s">
        <v>314</v>
      </c>
      <c r="B34" s="112" t="n">
        <v>98533</v>
      </c>
      <c r="C34" s="112" t="n">
        <v>7</v>
      </c>
      <c r="D34" s="112" t="n">
        <v>14076</v>
      </c>
      <c r="E34" s="117" t="s">
        <v>147</v>
      </c>
      <c r="F34" s="117" t="s">
        <v>282</v>
      </c>
      <c r="G34" s="117" t="s">
        <v>657</v>
      </c>
      <c r="H34" s="127" t="s">
        <v>658</v>
      </c>
    </row>
    <row r="35" customFormat="false" ht="15" hidden="false" customHeight="true" outlineLevel="0" collapsed="false">
      <c r="A35" s="111" t="s">
        <v>301</v>
      </c>
      <c r="B35" s="112" t="n">
        <v>36483</v>
      </c>
      <c r="C35" s="112" t="n">
        <v>32</v>
      </c>
      <c r="D35" s="112" t="n">
        <v>1140</v>
      </c>
      <c r="E35" s="117" t="s">
        <v>147</v>
      </c>
      <c r="F35" s="117" t="s">
        <v>282</v>
      </c>
      <c r="G35" s="117" t="s">
        <v>657</v>
      </c>
      <c r="H35" s="127" t="s">
        <v>658</v>
      </c>
    </row>
    <row r="36" customFormat="false" ht="15" hidden="false" customHeight="true" outlineLevel="0" collapsed="false">
      <c r="A36" s="111" t="s">
        <v>302</v>
      </c>
      <c r="B36" s="112" t="n">
        <v>64343</v>
      </c>
      <c r="C36" s="112" t="n">
        <v>11</v>
      </c>
      <c r="D36" s="112" t="n">
        <v>5849</v>
      </c>
      <c r="E36" s="117" t="s">
        <v>147</v>
      </c>
      <c r="F36" s="117" t="s">
        <v>282</v>
      </c>
      <c r="G36" s="117" t="s">
        <v>657</v>
      </c>
      <c r="H36" s="127" t="s">
        <v>658</v>
      </c>
    </row>
    <row r="37" customFormat="false" ht="18.75" hidden="false" customHeight="true" outlineLevel="0" collapsed="false">
      <c r="A37" s="111" t="s">
        <v>291</v>
      </c>
      <c r="B37" s="117" t="s">
        <v>147</v>
      </c>
      <c r="C37" s="117" t="s">
        <v>147</v>
      </c>
      <c r="D37" s="117" t="s">
        <v>147</v>
      </c>
      <c r="E37" s="117" t="s">
        <v>147</v>
      </c>
      <c r="F37" s="117" t="s">
        <v>282</v>
      </c>
      <c r="G37" s="117" t="s">
        <v>657</v>
      </c>
      <c r="H37" s="127" t="s">
        <v>659</v>
      </c>
    </row>
    <row r="38" customFormat="false" ht="18.75" hidden="false" customHeight="true" outlineLevel="0" collapsed="false">
      <c r="A38" s="111" t="s">
        <v>324</v>
      </c>
      <c r="B38" s="117" t="s">
        <v>147</v>
      </c>
      <c r="C38" s="117" t="s">
        <v>147</v>
      </c>
      <c r="D38" s="117" t="s">
        <v>147</v>
      </c>
      <c r="E38" s="117" t="s">
        <v>147</v>
      </c>
      <c r="F38" s="117" t="s">
        <v>282</v>
      </c>
      <c r="G38" s="117" t="s">
        <v>657</v>
      </c>
      <c r="H38" s="127" t="s">
        <v>659</v>
      </c>
    </row>
    <row r="39" customFormat="false" ht="18.75" hidden="false" customHeight="true" outlineLevel="0" collapsed="false">
      <c r="A39" s="111" t="s">
        <v>271</v>
      </c>
      <c r="B39" s="117" t="s">
        <v>147</v>
      </c>
      <c r="C39" s="117" t="s">
        <v>147</v>
      </c>
      <c r="D39" s="117" t="s">
        <v>147</v>
      </c>
      <c r="E39" s="117" t="s">
        <v>147</v>
      </c>
      <c r="F39" s="117" t="s">
        <v>282</v>
      </c>
      <c r="G39" s="117" t="s">
        <v>657</v>
      </c>
      <c r="H39" s="127" t="s">
        <v>659</v>
      </c>
    </row>
    <row r="40" customFormat="false" ht="18.75" hidden="false" customHeight="true" outlineLevel="0" collapsed="false">
      <c r="A40" s="111" t="s">
        <v>325</v>
      </c>
      <c r="B40" s="117" t="s">
        <v>147</v>
      </c>
      <c r="C40" s="117" t="s">
        <v>147</v>
      </c>
      <c r="D40" s="117" t="s">
        <v>147</v>
      </c>
      <c r="E40" s="112" t="n">
        <v>11543</v>
      </c>
      <c r="F40" s="117" t="s">
        <v>282</v>
      </c>
      <c r="G40" s="117" t="s">
        <v>657</v>
      </c>
      <c r="H40" s="127" t="s">
        <v>659</v>
      </c>
    </row>
    <row r="41" customFormat="false" ht="18.75" hidden="false" customHeight="true" outlineLevel="0" collapsed="false">
      <c r="A41" s="111" t="s">
        <v>304</v>
      </c>
      <c r="B41" s="117" t="s">
        <v>147</v>
      </c>
      <c r="C41" s="117" t="s">
        <v>147</v>
      </c>
      <c r="D41" s="117" t="s">
        <v>147</v>
      </c>
      <c r="E41" s="112" t="n">
        <v>19416</v>
      </c>
      <c r="F41" s="117" t="s">
        <v>282</v>
      </c>
      <c r="G41" s="117" t="s">
        <v>657</v>
      </c>
      <c r="H41" s="127" t="s">
        <v>659</v>
      </c>
    </row>
    <row r="42" customFormat="false" ht="18.75" hidden="false" customHeight="true" outlineLevel="0" collapsed="false">
      <c r="A42" s="111" t="s">
        <v>306</v>
      </c>
      <c r="B42" s="117" t="s">
        <v>147</v>
      </c>
      <c r="C42" s="117" t="s">
        <v>147</v>
      </c>
      <c r="D42" s="117" t="s">
        <v>147</v>
      </c>
      <c r="E42" s="112" t="n">
        <v>21924</v>
      </c>
      <c r="F42" s="117" t="s">
        <v>282</v>
      </c>
      <c r="G42" s="117" t="s">
        <v>657</v>
      </c>
      <c r="H42" s="127" t="s">
        <v>659</v>
      </c>
    </row>
    <row r="43" customFormat="false" ht="18.75" hidden="false" customHeight="true" outlineLevel="0" collapsed="false">
      <c r="A43" s="111" t="s">
        <v>326</v>
      </c>
      <c r="B43" s="117" t="s">
        <v>147</v>
      </c>
      <c r="C43" s="117" t="s">
        <v>147</v>
      </c>
      <c r="D43" s="117" t="s">
        <v>147</v>
      </c>
      <c r="E43" s="112" t="n">
        <v>10511</v>
      </c>
      <c r="F43" s="117" t="s">
        <v>282</v>
      </c>
      <c r="G43" s="117" t="s">
        <v>657</v>
      </c>
      <c r="H43" s="127" t="s">
        <v>659</v>
      </c>
    </row>
    <row r="44" customFormat="false" ht="18.75" hidden="false" customHeight="true" outlineLevel="0" collapsed="false">
      <c r="A44" s="111" t="s">
        <v>307</v>
      </c>
      <c r="B44" s="117" t="s">
        <v>147</v>
      </c>
      <c r="C44" s="117" t="s">
        <v>147</v>
      </c>
      <c r="D44" s="117" t="s">
        <v>147</v>
      </c>
      <c r="E44" s="112" t="n">
        <v>21473</v>
      </c>
      <c r="F44" s="117" t="s">
        <v>282</v>
      </c>
      <c r="G44" s="117" t="s">
        <v>657</v>
      </c>
      <c r="H44" s="127" t="s">
        <v>659</v>
      </c>
    </row>
    <row r="45" customFormat="false" ht="18.75" hidden="false" customHeight="true" outlineLevel="0" collapsed="false">
      <c r="A45" s="111" t="s">
        <v>327</v>
      </c>
      <c r="B45" s="117" t="s">
        <v>147</v>
      </c>
      <c r="C45" s="117" t="s">
        <v>147</v>
      </c>
      <c r="D45" s="117" t="s">
        <v>147</v>
      </c>
      <c r="E45" s="112" t="n">
        <v>13514</v>
      </c>
      <c r="F45" s="117" t="s">
        <v>282</v>
      </c>
      <c r="G45" s="117" t="s">
        <v>657</v>
      </c>
      <c r="H45" s="127" t="s">
        <v>659</v>
      </c>
    </row>
    <row r="46" customFormat="false" ht="18.75" hidden="false" customHeight="true" outlineLevel="0" collapsed="false">
      <c r="A46" s="111" t="s">
        <v>308</v>
      </c>
      <c r="B46" s="117" t="s">
        <v>147</v>
      </c>
      <c r="C46" s="117" t="s">
        <v>147</v>
      </c>
      <c r="D46" s="117" t="s">
        <v>147</v>
      </c>
      <c r="E46" s="112" t="n">
        <v>20121</v>
      </c>
      <c r="F46" s="117" t="s">
        <v>282</v>
      </c>
      <c r="G46" s="117" t="s">
        <v>657</v>
      </c>
      <c r="H46" s="127" t="s">
        <v>659</v>
      </c>
    </row>
    <row r="47" customFormat="false" ht="18.75" hidden="false" customHeight="true" outlineLevel="0" collapsed="false">
      <c r="A47" s="111" t="s">
        <v>328</v>
      </c>
      <c r="B47" s="117" t="s">
        <v>147</v>
      </c>
      <c r="C47" s="117" t="s">
        <v>147</v>
      </c>
      <c r="D47" s="117" t="s">
        <v>147</v>
      </c>
      <c r="E47" s="112" t="n">
        <v>11402</v>
      </c>
      <c r="F47" s="117" t="s">
        <v>282</v>
      </c>
      <c r="G47" s="117" t="s">
        <v>657</v>
      </c>
      <c r="H47" s="127" t="s">
        <v>659</v>
      </c>
    </row>
    <row r="48" customFormat="false" ht="18.75" hidden="false" customHeight="true" outlineLevel="0" collapsed="false">
      <c r="A48" s="111" t="s">
        <v>305</v>
      </c>
      <c r="B48" s="117" t="s">
        <v>147</v>
      </c>
      <c r="C48" s="117" t="s">
        <v>147</v>
      </c>
      <c r="D48" s="117" t="s">
        <v>147</v>
      </c>
      <c r="E48" s="117" t="s">
        <v>147</v>
      </c>
      <c r="F48" s="117" t="s">
        <v>282</v>
      </c>
      <c r="G48" s="117" t="s">
        <v>657</v>
      </c>
      <c r="H48" s="127" t="s">
        <v>659</v>
      </c>
    </row>
    <row r="50" customFormat="false" ht="15" hidden="false" customHeight="true" outlineLevel="0" collapsed="false">
      <c r="A50" s="121" t="s">
        <v>660</v>
      </c>
    </row>
    <row r="51" customFormat="false" ht="15" hidden="false" customHeight="true" outlineLevel="0" collapsed="false">
      <c r="A51" s="121" t="s">
        <v>661</v>
      </c>
    </row>
    <row r="52" customFormat="false" ht="15" hidden="false" customHeight="true" outlineLevel="0" collapsed="false">
      <c r="A52" s="123" t="s">
        <v>662</v>
      </c>
    </row>
    <row r="54" customFormat="false" ht="30" hidden="false" customHeight="true" outlineLevel="0" collapsed="false">
      <c r="A54" s="119" t="s">
        <v>663</v>
      </c>
      <c r="B54" s="119"/>
      <c r="C54" s="119"/>
      <c r="D54" s="119"/>
      <c r="E54" s="119"/>
      <c r="F54" s="119"/>
      <c r="G54" s="119"/>
      <c r="H54" s="119"/>
    </row>
  </sheetData>
  <mergeCells count="6">
    <mergeCell ref="A1:H1"/>
    <mergeCell ref="A2:H2"/>
    <mergeCell ref="A3:H3"/>
    <mergeCell ref="A4:H4"/>
    <mergeCell ref="A5:H5"/>
    <mergeCell ref="A54:H5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3"/>
  <sheetViews>
    <sheetView showFormulas="false" showGridLines="false" showRowColHeaders="true" showZeros="true" rightToLeft="false" tabSelected="true" showOutlineSymbols="true" defaultGridColor="true" view="normal" topLeftCell="A18" colorId="64" zoomScale="100" zoomScaleNormal="100" zoomScalePageLayoutView="100" workbookViewId="0">
      <selection pane="topLeft" activeCell="N47" activeCellId="0" sqref="N47"/>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4" min="2" style="0" width="22"/>
    <col collapsed="false" customWidth="true" hidden="false" outlineLevel="0" max="10" min="5" style="0" width="11"/>
  </cols>
  <sheetData>
    <row r="1" customFormat="false" ht="17.25" hidden="false" customHeight="true" outlineLevel="0" collapsed="false">
      <c r="A1" s="108" t="s">
        <v>664</v>
      </c>
      <c r="B1" s="108"/>
      <c r="C1" s="108"/>
      <c r="D1" s="108"/>
      <c r="E1" s="108"/>
      <c r="F1" s="108"/>
      <c r="G1" s="108"/>
      <c r="H1" s="108"/>
      <c r="I1" s="108"/>
      <c r="J1" s="108"/>
    </row>
    <row r="2" customFormat="false" ht="75.75" hidden="false" customHeight="true" outlineLevel="0" collapsed="false">
      <c r="A2" s="47" t="s">
        <v>665</v>
      </c>
      <c r="B2" s="47"/>
      <c r="C2" s="47"/>
      <c r="D2" s="47"/>
      <c r="E2" s="47"/>
      <c r="F2" s="47"/>
      <c r="G2" s="47"/>
      <c r="H2" s="47"/>
      <c r="I2" s="47"/>
      <c r="J2" s="47"/>
    </row>
    <row r="4" customFormat="false" ht="15" hidden="true" customHeight="true" outlineLevel="0" collapsed="false">
      <c r="A4" s="122" t="s">
        <v>666</v>
      </c>
    </row>
    <row r="5" customFormat="false" ht="15" hidden="true" customHeight="true" outlineLevel="0" collapsed="false">
      <c r="A5" s="0" t="s">
        <v>667</v>
      </c>
      <c r="B5" s="0" t="s">
        <v>668</v>
      </c>
      <c r="C5" s="0" t="s">
        <v>669</v>
      </c>
      <c r="D5" s="0" t="s">
        <v>670</v>
      </c>
      <c r="E5" s="0" t="s">
        <v>671</v>
      </c>
      <c r="F5" s="0" t="s">
        <v>672</v>
      </c>
      <c r="G5" s="0" t="s">
        <v>673</v>
      </c>
      <c r="H5" s="0" t="s">
        <v>674</v>
      </c>
      <c r="I5" s="0" t="s">
        <v>675</v>
      </c>
      <c r="J5" s="0" t="s">
        <v>676</v>
      </c>
      <c r="K5" s="130" t="s">
        <v>677</v>
      </c>
      <c r="L5" s="130" t="s">
        <v>678</v>
      </c>
    </row>
    <row r="6" customFormat="false" ht="15" hidden="true" customHeight="true" outlineLevel="0" collapsed="false">
      <c r="A6" s="0" t="s">
        <v>237</v>
      </c>
      <c r="B6" s="0" t="n">
        <v>29413.17</v>
      </c>
      <c r="C6" s="0" t="n">
        <v>1765.88</v>
      </c>
      <c r="D6" s="0" t="s">
        <v>181</v>
      </c>
      <c r="E6" s="0" t="n">
        <v>29505.61</v>
      </c>
      <c r="F6" s="0" t="n">
        <v>9906.01</v>
      </c>
      <c r="G6" s="0" t="s">
        <v>167</v>
      </c>
      <c r="H6" s="0" t="n">
        <v>19353.23</v>
      </c>
      <c r="I6" s="0" t="n">
        <v>1587.31</v>
      </c>
      <c r="J6" s="0" t="s">
        <v>235</v>
      </c>
      <c r="K6" s="0" t="n">
        <v>22025.5</v>
      </c>
      <c r="L6" s="0" t="n">
        <v>8456.52</v>
      </c>
    </row>
    <row r="7" customFormat="false" ht="15" hidden="true" customHeight="true" outlineLevel="0" collapsed="false">
      <c r="A7" s="0" t="s">
        <v>179</v>
      </c>
      <c r="B7" s="0" t="n">
        <v>39095.33</v>
      </c>
      <c r="C7" s="0" t="n">
        <v>3320.06</v>
      </c>
      <c r="D7" s="0" t="s">
        <v>218</v>
      </c>
      <c r="E7" s="0" t="n">
        <v>26009.38</v>
      </c>
      <c r="F7" s="0" t="n">
        <v>4749.79</v>
      </c>
      <c r="G7" s="0" t="s">
        <v>169</v>
      </c>
      <c r="H7" s="0" t="n">
        <v>20032.2</v>
      </c>
      <c r="I7" s="0" t="n">
        <v>1786.02</v>
      </c>
      <c r="J7" s="0" t="s">
        <v>212</v>
      </c>
      <c r="K7" s="0" t="n">
        <v>14814.7</v>
      </c>
      <c r="L7" s="0" t="n">
        <v>6088.15</v>
      </c>
    </row>
    <row r="8" customFormat="false" ht="15" hidden="true" customHeight="true" outlineLevel="0" collapsed="false">
      <c r="A8" s="0" t="s">
        <v>224</v>
      </c>
      <c r="B8" s="0" t="n">
        <v>24566.94</v>
      </c>
      <c r="C8" s="0" t="n">
        <v>2694.18</v>
      </c>
      <c r="D8" s="0" t="s">
        <v>187</v>
      </c>
      <c r="E8" s="0" t="n">
        <v>24328.03</v>
      </c>
      <c r="F8" s="0" t="n">
        <v>4414.21</v>
      </c>
      <c r="G8" s="0" t="s">
        <v>205</v>
      </c>
      <c r="H8" s="0" t="n">
        <v>11019.49</v>
      </c>
      <c r="I8" s="0" t="n">
        <v>562.17</v>
      </c>
      <c r="J8" s="0" t="s">
        <v>228</v>
      </c>
      <c r="K8" s="0" t="n">
        <v>22552.8</v>
      </c>
      <c r="L8" s="0" t="n">
        <v>3803.68</v>
      </c>
    </row>
    <row r="9" customFormat="false" ht="15" hidden="true" customHeight="true" outlineLevel="0" collapsed="false">
      <c r="A9" s="0" t="s">
        <v>165</v>
      </c>
      <c r="B9" s="0" t="n">
        <v>25235.44</v>
      </c>
      <c r="C9" s="0" t="n">
        <v>3492.26</v>
      </c>
      <c r="D9" s="0" t="s">
        <v>209</v>
      </c>
      <c r="E9" s="0" t="n">
        <v>24703</v>
      </c>
      <c r="F9" s="0" t="n">
        <v>9150.74</v>
      </c>
      <c r="G9" s="0" t="s">
        <v>172</v>
      </c>
      <c r="H9" s="0" t="n">
        <v>17651.3</v>
      </c>
      <c r="I9" s="0" t="n">
        <v>3132.91</v>
      </c>
      <c r="J9" s="0" t="s">
        <v>233</v>
      </c>
      <c r="K9" s="0" t="n">
        <v>17918.65</v>
      </c>
      <c r="L9" s="0" t="n">
        <v>4249.14</v>
      </c>
    </row>
    <row r="10" customFormat="false" ht="15" hidden="true" customHeight="true" outlineLevel="0" collapsed="false">
      <c r="A10" s="0" t="s">
        <v>221</v>
      </c>
      <c r="B10" s="0" t="n">
        <v>25130.94</v>
      </c>
      <c r="C10" s="0" t="n">
        <v>1510.04</v>
      </c>
      <c r="D10" s="0" t="s">
        <v>175</v>
      </c>
      <c r="E10" s="0" t="n">
        <v>23181.39</v>
      </c>
      <c r="F10" s="0" t="n">
        <v>4899.18</v>
      </c>
      <c r="G10" s="0" t="s">
        <v>226</v>
      </c>
      <c r="H10" s="0" t="n">
        <v>18638.08</v>
      </c>
      <c r="I10" s="0" t="n">
        <v>3597.88</v>
      </c>
      <c r="J10" s="0" t="s">
        <v>163</v>
      </c>
      <c r="K10" s="0" t="n">
        <v>19863.29</v>
      </c>
      <c r="L10" s="0" t="n">
        <v>5692.38</v>
      </c>
    </row>
    <row r="11" customFormat="false" ht="15" hidden="true" customHeight="true" outlineLevel="0" collapsed="false">
      <c r="A11" s="0" t="s">
        <v>159</v>
      </c>
      <c r="B11" s="0" t="n">
        <v>25430.97</v>
      </c>
      <c r="C11" s="0" t="n">
        <v>3073.17</v>
      </c>
      <c r="D11" s="0" t="s">
        <v>230</v>
      </c>
      <c r="E11" s="0" t="n">
        <v>26782.16</v>
      </c>
      <c r="F11" s="0" t="n">
        <v>4204.16</v>
      </c>
      <c r="G11" s="0" t="s">
        <v>207</v>
      </c>
      <c r="H11" s="0" t="n">
        <v>22435.45</v>
      </c>
      <c r="I11" s="0" t="n">
        <v>3071.82</v>
      </c>
    </row>
    <row r="12" customFormat="false" ht="15" hidden="true" customHeight="true" outlineLevel="0" collapsed="false"/>
    <row r="13" customFormat="false" ht="15" hidden="true" customHeight="true" outlineLevel="0" collapsed="false">
      <c r="A13" s="0" t="s">
        <v>679</v>
      </c>
      <c r="B13" s="0" t="n">
        <v>23181.38671875</v>
      </c>
      <c r="C13" s="0" t="n">
        <v>23181.38671875</v>
      </c>
    </row>
    <row r="14" customFormat="false" ht="15" hidden="true" customHeight="true" outlineLevel="0" collapsed="false">
      <c r="A14" s="0" t="s">
        <v>680</v>
      </c>
      <c r="B14" s="0" t="n">
        <v>0</v>
      </c>
      <c r="C14" s="0" t="n">
        <v>10896.6072068966</v>
      </c>
    </row>
    <row r="15" customFormat="false" ht="15" hidden="true" customHeight="true" outlineLevel="0" collapsed="false">
      <c r="A15" s="0" t="s">
        <v>681</v>
      </c>
      <c r="B15" s="0" t="n">
        <v>0</v>
      </c>
      <c r="C15" s="0" t="n">
        <v>43004.8666666667</v>
      </c>
    </row>
    <row r="16" customFormat="false" ht="15" hidden="true" customHeight="true" outlineLevel="0" collapsed="false">
      <c r="A16" s="0" t="s">
        <v>682</v>
      </c>
      <c r="B16" s="0" t="n">
        <v>3597.87568965517</v>
      </c>
      <c r="C16" s="0" t="n">
        <v>3597.87568965517</v>
      </c>
    </row>
    <row r="45" customFormat="false" ht="15" hidden="false" customHeight="true" outlineLevel="0" collapsed="false">
      <c r="A45" s="97" t="s">
        <v>683</v>
      </c>
    </row>
    <row r="46" customFormat="false" ht="15" hidden="false" customHeight="true" outlineLevel="0" collapsed="false">
      <c r="B46" s="49" t="s">
        <v>684</v>
      </c>
      <c r="D46" s="49" t="s">
        <v>685</v>
      </c>
    </row>
    <row r="47" customFormat="false" ht="31.5" hidden="false" customHeight="true" outlineLevel="0" collapsed="false">
      <c r="A47" s="49" t="s">
        <v>686</v>
      </c>
      <c r="B47" s="131" t="s">
        <v>687</v>
      </c>
      <c r="C47" s="131"/>
      <c r="D47" s="132" t="s">
        <v>688</v>
      </c>
      <c r="E47" s="132"/>
    </row>
    <row r="48" customFormat="false" ht="31.5" hidden="false" customHeight="true" outlineLevel="0" collapsed="false">
      <c r="A48" s="49" t="s">
        <v>689</v>
      </c>
      <c r="B48" s="133" t="s">
        <v>690</v>
      </c>
      <c r="C48" s="133"/>
      <c r="D48" s="134" t="s">
        <v>691</v>
      </c>
      <c r="E48" s="134"/>
    </row>
    <row r="50" customFormat="false" ht="33.75" hidden="false" customHeight="true" outlineLevel="0" collapsed="false">
      <c r="A50" s="135" t="s">
        <v>692</v>
      </c>
      <c r="B50" s="121" t="s">
        <v>653</v>
      </c>
      <c r="C50" s="136" t="s">
        <v>693</v>
      </c>
      <c r="D50" s="136"/>
      <c r="E50" s="136"/>
      <c r="F50" s="136"/>
      <c r="G50" s="136"/>
      <c r="H50" s="136"/>
      <c r="I50" s="136"/>
    </row>
    <row r="51" customFormat="false" ht="33.75" hidden="false" customHeight="true" outlineLevel="0" collapsed="false">
      <c r="A51" s="137" t="s">
        <v>692</v>
      </c>
      <c r="B51" s="121" t="s">
        <v>654</v>
      </c>
      <c r="C51" s="136" t="s">
        <v>694</v>
      </c>
      <c r="D51" s="136"/>
      <c r="E51" s="136"/>
      <c r="F51" s="136"/>
      <c r="G51" s="136"/>
      <c r="H51" s="136"/>
      <c r="I51" s="136"/>
    </row>
    <row r="52" customFormat="false" ht="33.75" hidden="false" customHeight="true" outlineLevel="0" collapsed="false">
      <c r="A52" s="137" t="s">
        <v>692</v>
      </c>
      <c r="B52" s="121" t="s">
        <v>652</v>
      </c>
      <c r="C52" s="136" t="s">
        <v>695</v>
      </c>
      <c r="D52" s="136"/>
      <c r="E52" s="136"/>
      <c r="F52" s="136"/>
      <c r="G52" s="136"/>
      <c r="H52" s="136"/>
      <c r="I52" s="136"/>
    </row>
    <row r="53" customFormat="false" ht="33.75" hidden="false" customHeight="true" outlineLevel="0" collapsed="false">
      <c r="A53" s="138" t="s">
        <v>692</v>
      </c>
      <c r="B53" s="121" t="s">
        <v>656</v>
      </c>
      <c r="C53" s="136" t="s">
        <v>696</v>
      </c>
      <c r="D53" s="136"/>
      <c r="E53" s="136"/>
      <c r="F53" s="136"/>
      <c r="G53" s="136"/>
      <c r="H53" s="136"/>
      <c r="I53" s="136"/>
    </row>
  </sheetData>
  <mergeCells count="10">
    <mergeCell ref="A1:J1"/>
    <mergeCell ref="A2:J2"/>
    <mergeCell ref="B47:C47"/>
    <mergeCell ref="D47:E47"/>
    <mergeCell ref="B48:C48"/>
    <mergeCell ref="D48:E48"/>
    <mergeCell ref="C50:I50"/>
    <mergeCell ref="C51:I51"/>
    <mergeCell ref="C52:I52"/>
    <mergeCell ref="C53:I5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29" activePane="bottomRight" state="frozen"/>
      <selection pane="topLeft" activeCell="A1" activeCellId="0" sqref="A1"/>
      <selection pane="topRight" activeCell="C1" activeCellId="0" sqref="C1"/>
      <selection pane="bottomLeft" activeCell="A29" activeCellId="0" sqref="A29"/>
      <selection pane="bottomRight" activeCell="M16" activeCellId="0" sqref="M16"/>
    </sheetView>
  </sheetViews>
  <sheetFormatPr defaultColWidth="8.66796875" defaultRowHeight="14.25" zeroHeight="false" outlineLevelRow="0" outlineLevelCol="0"/>
  <cols>
    <col collapsed="false" customWidth="true" hidden="false" outlineLevel="0" max="1" min="1" style="0" width="14.86"/>
    <col collapsed="false" customWidth="true" hidden="false" outlineLevel="0" max="2" min="2" style="0" width="40"/>
    <col collapsed="false" customWidth="true" hidden="false" outlineLevel="0" max="10" min="3" style="0" width="9"/>
    <col collapsed="false" customWidth="true" hidden="false" outlineLevel="0" max="11" min="11" style="0" width="11"/>
  </cols>
  <sheetData>
    <row r="1" customFormat="false" ht="17.25" hidden="false" customHeight="true" outlineLevel="0" collapsed="false">
      <c r="A1" s="139" t="s">
        <v>697</v>
      </c>
    </row>
    <row r="2" customFormat="false" ht="42" hidden="false" customHeight="true" outlineLevel="0" collapsed="false">
      <c r="A2" s="140" t="s">
        <v>698</v>
      </c>
      <c r="B2" s="140"/>
      <c r="C2" s="140"/>
      <c r="D2" s="140"/>
      <c r="E2" s="140"/>
      <c r="F2" s="140"/>
      <c r="G2" s="140"/>
      <c r="H2" s="140"/>
      <c r="I2" s="140"/>
      <c r="J2" s="140"/>
      <c r="K2" s="140"/>
    </row>
    <row r="5" customFormat="false" ht="18" hidden="false" customHeight="true" outlineLevel="0" collapsed="false">
      <c r="A5" s="141" t="s">
        <v>699</v>
      </c>
      <c r="B5" s="142" t="s">
        <v>134</v>
      </c>
      <c r="C5" s="143" t="n">
        <v>2019</v>
      </c>
      <c r="D5" s="143" t="n">
        <v>2020</v>
      </c>
      <c r="E5" s="143" t="n">
        <v>2021</v>
      </c>
      <c r="F5" s="143" t="n">
        <v>2022</v>
      </c>
      <c r="G5" s="143" t="n">
        <v>2023</v>
      </c>
      <c r="H5" s="143" t="n">
        <v>2024</v>
      </c>
      <c r="I5" s="143" t="n">
        <v>2025</v>
      </c>
      <c r="J5" s="143" t="n">
        <v>2026</v>
      </c>
      <c r="K5" s="141" t="s">
        <v>582</v>
      </c>
    </row>
    <row r="7" customFormat="false" ht="15" hidden="false" customHeight="true" outlineLevel="0" collapsed="false">
      <c r="A7" s="144" t="str">
        <f aca="false">'Program List'!A2</f>
        <v>1550C</v>
      </c>
      <c r="B7" s="145" t="str">
        <f aca="false">'Program List'!B2</f>
        <v>Certificate in Population Health</v>
      </c>
      <c r="C7" s="146" t="str">
        <f aca="false">IF('HC by Program-Term'!$Y7="","—",'HC by Program-Term'!C7)</f>
        <v>—</v>
      </c>
      <c r="D7" s="146" t="str">
        <f aca="false">IF('HC by Program-Term'!$Y7="","—",SUM('HC by Program-Term'!D7:F7))</f>
        <v>—</v>
      </c>
      <c r="E7" s="146" t="str">
        <f aca="false">IF('HC by Program-Term'!$Y7="","—",SUM('HC by Program-Term'!G7:I7))</f>
        <v>—</v>
      </c>
      <c r="F7" s="146" t="str">
        <f aca="false">IF('HC by Program-Term'!$Y7="","—",SUM('HC by Program-Term'!J7:L7))</f>
        <v>—</v>
      </c>
      <c r="G7" s="146" t="str">
        <f aca="false">IF('HC by Program-Term'!$Y7="","—",SUM('HC by Program-Term'!M7:O7))</f>
        <v>—</v>
      </c>
      <c r="H7" s="146" t="str">
        <f aca="false">IF('HC by Program-Term'!$Y7="","—",SUM('HC by Program-Term'!P7:R7))</f>
        <v>—</v>
      </c>
      <c r="I7" s="146" t="str">
        <f aca="false">IF('HC by Program-Term'!$Y7="","—",SUM('HC by Program-Term'!S7:U7))</f>
        <v>—</v>
      </c>
      <c r="J7" s="146" t="str">
        <f aca="false">IF('HC by Program-Term'!$Y7="","—",'HC by Program-Term'!V7)</f>
        <v>—</v>
      </c>
      <c r="K7" s="147" t="str">
        <f aca="false">IF('HC by Program-Term'!$Y7="","—",SUM(C7:J7))</f>
        <v>—</v>
      </c>
    </row>
    <row r="8" customFormat="false" ht="15" hidden="false" customHeight="true" outlineLevel="0" collapsed="false">
      <c r="A8" s="148" t="str">
        <f aca="false">'Program List'!A3</f>
        <v>D318</v>
      </c>
      <c r="B8" s="149" t="str">
        <f aca="false">'Program List'!B3</f>
        <v>Ed.D. in Education Administration</v>
      </c>
      <c r="C8" s="150" t="str">
        <f aca="false">IF('HC by Program-Term'!$Y8="","—",'HC by Program-Term'!C8)</f>
        <v>—</v>
      </c>
      <c r="D8" s="150" t="str">
        <f aca="false">IF('HC by Program-Term'!$Y8="","—",SUM('HC by Program-Term'!D8:F8))</f>
        <v>—</v>
      </c>
      <c r="E8" s="150" t="str">
        <f aca="false">IF('HC by Program-Term'!$Y8="","—",SUM('HC by Program-Term'!G8:I8))</f>
        <v>—</v>
      </c>
      <c r="F8" s="150" t="str">
        <f aca="false">IF('HC by Program-Term'!$Y8="","—",SUM('HC by Program-Term'!J8:L8))</f>
        <v>—</v>
      </c>
      <c r="G8" s="150" t="str">
        <f aca="false">IF('HC by Program-Term'!$Y8="","—",SUM('HC by Program-Term'!M8:O8))</f>
        <v>—</v>
      </c>
      <c r="H8" s="150" t="str">
        <f aca="false">IF('HC by Program-Term'!$Y8="","—",SUM('HC by Program-Term'!P8:R8))</f>
        <v>—</v>
      </c>
      <c r="I8" s="150" t="str">
        <f aca="false">IF('HC by Program-Term'!$Y8="","—",SUM('HC by Program-Term'!S8:U8))</f>
        <v>—</v>
      </c>
      <c r="J8" s="150" t="str">
        <f aca="false">IF('HC by Program-Term'!$Y8="","—",'HC by Program-Term'!V8)</f>
        <v>—</v>
      </c>
      <c r="K8" s="151" t="str">
        <f aca="false">IF('HC by Program-Term'!$Y8="","—",SUM(C8:J8))</f>
        <v>—</v>
      </c>
    </row>
    <row r="9" customFormat="false" ht="15" hidden="false" customHeight="true" outlineLevel="0" collapsed="false">
      <c r="A9" s="144" t="str">
        <f aca="false">'Program List'!A4</f>
        <v>M366</v>
      </c>
      <c r="B9" s="145" t="str">
        <f aca="false">'Program List'!B4</f>
        <v>Executive MBA in Energy</v>
      </c>
      <c r="C9" s="146" t="n">
        <f aca="false">IF('HC by Program-Term'!$Y9="","—",'HC by Program-Term'!C9)</f>
        <v>0</v>
      </c>
      <c r="D9" s="146" t="n">
        <f aca="false">IF('HC by Program-Term'!$Y9="","—",SUM('HC by Program-Term'!D9:F9))</f>
        <v>82</v>
      </c>
      <c r="E9" s="146" t="n">
        <f aca="false">IF('HC by Program-Term'!$Y9="","—",SUM('HC by Program-Term'!G9:I9))</f>
        <v>115</v>
      </c>
      <c r="F9" s="146" t="n">
        <f aca="false">IF('HC by Program-Term'!$Y9="","—",SUM('HC by Program-Term'!J9:L9))</f>
        <v>150</v>
      </c>
      <c r="G9" s="146" t="n">
        <f aca="false">IF('HC by Program-Term'!$Y9="","—",SUM('HC by Program-Term'!M9:O9))</f>
        <v>147</v>
      </c>
      <c r="H9" s="146" t="n">
        <f aca="false">IF('HC by Program-Term'!$Y9="","—",SUM('HC by Program-Term'!P9:R9))</f>
        <v>123</v>
      </c>
      <c r="I9" s="146" t="n">
        <f aca="false">IF('HC by Program-Term'!$Y9="","—",SUM('HC by Program-Term'!S9:U9))</f>
        <v>88</v>
      </c>
      <c r="J9" s="146" t="n">
        <f aca="false">IF('HC by Program-Term'!$Y9="","—",'HC by Program-Term'!V9)</f>
        <v>21</v>
      </c>
      <c r="K9" s="147" t="n">
        <f aca="false">IF('HC by Program-Term'!$Y9="","—",SUM(C9:J9))</f>
        <v>726</v>
      </c>
    </row>
    <row r="10" customFormat="false" ht="15" hidden="false" customHeight="true" outlineLevel="0" collapsed="false">
      <c r="A10" s="148" t="str">
        <f aca="false">'Program List'!A5</f>
        <v>1231EX</v>
      </c>
      <c r="B10" s="149" t="str">
        <f aca="false">'Program List'!B5</f>
        <v>Executive Masters in Health Administration</v>
      </c>
      <c r="C10" s="150" t="str">
        <f aca="false">IF('HC by Program-Term'!$Y10="","—",'HC by Program-Term'!C10)</f>
        <v>—</v>
      </c>
      <c r="D10" s="150" t="str">
        <f aca="false">IF('HC by Program-Term'!$Y10="","—",SUM('HC by Program-Term'!D10:F10))</f>
        <v>—</v>
      </c>
      <c r="E10" s="150" t="str">
        <f aca="false">IF('HC by Program-Term'!$Y10="","—",SUM('HC by Program-Term'!G10:I10))</f>
        <v>—</v>
      </c>
      <c r="F10" s="150" t="str">
        <f aca="false">IF('HC by Program-Term'!$Y10="","—",SUM('HC by Program-Term'!J10:L10))</f>
        <v>—</v>
      </c>
      <c r="G10" s="150" t="str">
        <f aca="false">IF('HC by Program-Term'!$Y10="","—",SUM('HC by Program-Term'!M10:O10))</f>
        <v>—</v>
      </c>
      <c r="H10" s="150" t="str">
        <f aca="false">IF('HC by Program-Term'!$Y10="","—",SUM('HC by Program-Term'!P10:R10))</f>
        <v>—</v>
      </c>
      <c r="I10" s="150" t="str">
        <f aca="false">IF('HC by Program-Term'!$Y10="","—",SUM('HC by Program-Term'!S10:U10))</f>
        <v>—</v>
      </c>
      <c r="J10" s="150" t="str">
        <f aca="false">IF('HC by Program-Term'!$Y10="","—",'HC by Program-Term'!V10)</f>
        <v>—</v>
      </c>
      <c r="K10" s="151" t="str">
        <f aca="false">IF('HC by Program-Term'!$Y10="","—",SUM(C10:J10))</f>
        <v>—</v>
      </c>
    </row>
    <row r="11" customFormat="false" ht="15" hidden="false" customHeight="true" outlineLevel="0" collapsed="false">
      <c r="A11" s="144" t="str">
        <f aca="false">'Program List'!A6</f>
        <v>M013</v>
      </c>
      <c r="B11" s="145" t="str">
        <f aca="false">'Program List'!B6</f>
        <v>Master of Accountancy</v>
      </c>
      <c r="C11" s="146" t="n">
        <f aca="false">IF('HC by Program-Term'!$Y11="","—",'HC by Program-Term'!C11)</f>
        <v>8</v>
      </c>
      <c r="D11" s="146" t="n">
        <f aca="false">IF('HC by Program-Term'!$Y11="","—",SUM('HC by Program-Term'!D11:F11))</f>
        <v>178</v>
      </c>
      <c r="E11" s="146" t="n">
        <f aca="false">IF('HC by Program-Term'!$Y11="","—",SUM('HC by Program-Term'!G11:I11))</f>
        <v>279</v>
      </c>
      <c r="F11" s="146" t="n">
        <f aca="false">IF('HC by Program-Term'!$Y11="","—",SUM('HC by Program-Term'!J11:L11))</f>
        <v>298</v>
      </c>
      <c r="G11" s="146" t="n">
        <f aca="false">IF('HC by Program-Term'!$Y11="","—",SUM('HC by Program-Term'!M11:O11))</f>
        <v>286</v>
      </c>
      <c r="H11" s="146" t="n">
        <f aca="false">IF('HC by Program-Term'!$Y11="","—",SUM('HC by Program-Term'!P11:R11))</f>
        <v>274</v>
      </c>
      <c r="I11" s="146" t="n">
        <f aca="false">IF('HC by Program-Term'!$Y11="","—",SUM('HC by Program-Term'!S11:U11))</f>
        <v>301</v>
      </c>
      <c r="J11" s="146" t="n">
        <f aca="false">IF('HC by Program-Term'!$Y11="","—",'HC by Program-Term'!V11)</f>
        <v>96</v>
      </c>
      <c r="K11" s="147" t="n">
        <f aca="false">IF('HC by Program-Term'!$Y11="","—",SUM(C11:J11))</f>
        <v>1720</v>
      </c>
    </row>
    <row r="12" customFormat="false" ht="15" hidden="false" customHeight="true" outlineLevel="0" collapsed="false">
      <c r="A12" s="148" t="str">
        <f aca="false">'Program List'!A7</f>
        <v>M075</v>
      </c>
      <c r="B12" s="149" t="str">
        <f aca="false">'Program List'!B7</f>
        <v>Master of Arts in Art and Technology</v>
      </c>
      <c r="C12" s="150" t="n">
        <f aca="false">IF('HC by Program-Term'!$Y12="","—",'HC by Program-Term'!C12)</f>
        <v>0</v>
      </c>
      <c r="D12" s="150" t="n">
        <f aca="false">IF('HC by Program-Term'!$Y12="","—",SUM('HC by Program-Term'!D12:F12))</f>
        <v>0</v>
      </c>
      <c r="E12" s="150" t="n">
        <f aca="false">IF('HC by Program-Term'!$Y12="","—",SUM('HC by Program-Term'!G12:I12))</f>
        <v>102</v>
      </c>
      <c r="F12" s="150" t="n">
        <f aca="false">IF('HC by Program-Term'!$Y12="","—",SUM('HC by Program-Term'!J12:L12))</f>
        <v>189</v>
      </c>
      <c r="G12" s="150" t="n">
        <f aca="false">IF('HC by Program-Term'!$Y12="","—",SUM('HC by Program-Term'!M12:O12))</f>
        <v>195</v>
      </c>
      <c r="H12" s="150" t="n">
        <f aca="false">IF('HC by Program-Term'!$Y12="","—",SUM('HC by Program-Term'!P12:R12))</f>
        <v>179</v>
      </c>
      <c r="I12" s="150" t="n">
        <f aca="false">IF('HC by Program-Term'!$Y12="","—",SUM('HC by Program-Term'!S12:U12))</f>
        <v>156</v>
      </c>
      <c r="J12" s="150" t="n">
        <f aca="false">IF('HC by Program-Term'!$Y12="","—",'HC by Program-Term'!V12)</f>
        <v>43</v>
      </c>
      <c r="K12" s="151" t="n">
        <f aca="false">IF('HC by Program-Term'!$Y12="","—",SUM(C12:J12))</f>
        <v>864</v>
      </c>
    </row>
    <row r="13" customFormat="false" ht="15" hidden="false" customHeight="true" outlineLevel="0" collapsed="false">
      <c r="A13" s="144" t="str">
        <f aca="false">'Program List'!A8</f>
        <v>M073</v>
      </c>
      <c r="B13" s="145" t="str">
        <f aca="false">'Program List'!B8</f>
        <v>Master of Arts in Arts Management</v>
      </c>
      <c r="C13" s="146" t="n">
        <f aca="false">IF('HC by Program-Term'!$Y13="","—",'HC by Program-Term'!C13)</f>
        <v>0</v>
      </c>
      <c r="D13" s="146" t="n">
        <f aca="false">IF('HC by Program-Term'!$Y13="","—",SUM('HC by Program-Term'!D13:F13))</f>
        <v>0</v>
      </c>
      <c r="E13" s="146" t="n">
        <f aca="false">IF('HC by Program-Term'!$Y13="","—",SUM('HC by Program-Term'!G13:I13))</f>
        <v>0</v>
      </c>
      <c r="F13" s="146" t="n">
        <f aca="false">IF('HC by Program-Term'!$Y13="","—",SUM('HC by Program-Term'!J13:L13))</f>
        <v>13</v>
      </c>
      <c r="G13" s="146" t="n">
        <f aca="false">IF('HC by Program-Term'!$Y13="","—",SUM('HC by Program-Term'!M13:O13))</f>
        <v>173</v>
      </c>
      <c r="H13" s="146" t="n">
        <f aca="false">IF('HC by Program-Term'!$Y13="","—",SUM('HC by Program-Term'!P13:R13))</f>
        <v>233</v>
      </c>
      <c r="I13" s="146" t="n">
        <f aca="false">IF('HC by Program-Term'!$Y13="","—",SUM('HC by Program-Term'!S13:U13))</f>
        <v>231</v>
      </c>
      <c r="J13" s="146" t="n">
        <f aca="false">IF('HC by Program-Term'!$Y13="","—",'HC by Program-Term'!V13)</f>
        <v>71</v>
      </c>
      <c r="K13" s="147" t="n">
        <f aca="false">IF('HC by Program-Term'!$Y13="","—",SUM(C13:J13))</f>
        <v>721</v>
      </c>
    </row>
    <row r="14" customFormat="false" ht="15" hidden="false" customHeight="true" outlineLevel="0" collapsed="false">
      <c r="A14" s="148" t="str">
        <f aca="false">'Program List'!A9</f>
        <v>M494</v>
      </c>
      <c r="B14" s="149" t="str">
        <f aca="false">'Program List'!B9</f>
        <v>Master of Arts in Global Affairs</v>
      </c>
      <c r="C14" s="150" t="n">
        <f aca="false">IF('HC by Program-Term'!$Y14="","—",'HC by Program-Term'!C14)</f>
        <v>4</v>
      </c>
      <c r="D14" s="150" t="n">
        <f aca="false">IF('HC by Program-Term'!$Y14="","—",SUM('HC by Program-Term'!D14:F14))</f>
        <v>102</v>
      </c>
      <c r="E14" s="150" t="n">
        <f aca="false">IF('HC by Program-Term'!$Y14="","—",SUM('HC by Program-Term'!G14:I14))</f>
        <v>180</v>
      </c>
      <c r="F14" s="150" t="n">
        <f aca="false">IF('HC by Program-Term'!$Y14="","—",SUM('HC by Program-Term'!J14:L14))</f>
        <v>254</v>
      </c>
      <c r="G14" s="150" t="n">
        <f aca="false">IF('HC by Program-Term'!$Y14="","—",SUM('HC by Program-Term'!M14:O14))</f>
        <v>298</v>
      </c>
      <c r="H14" s="150" t="n">
        <f aca="false">IF('HC by Program-Term'!$Y14="","—",SUM('HC by Program-Term'!P14:R14))</f>
        <v>349</v>
      </c>
      <c r="I14" s="150" t="n">
        <f aca="false">IF('HC by Program-Term'!$Y14="","—",SUM('HC by Program-Term'!S14:U14))</f>
        <v>331</v>
      </c>
      <c r="J14" s="150" t="n">
        <f aca="false">IF('HC by Program-Term'!$Y14="","—",'HC by Program-Term'!V14)</f>
        <v>100</v>
      </c>
      <c r="K14" s="151" t="n">
        <f aca="false">IF('HC by Program-Term'!$Y14="","—",SUM(C14:J14))</f>
        <v>1618</v>
      </c>
    </row>
    <row r="15" customFormat="false" ht="15" hidden="false" customHeight="true" outlineLevel="0" collapsed="false">
      <c r="A15" s="144" t="str">
        <f aca="false">'Program List'!A10</f>
        <v>M700</v>
      </c>
      <c r="B15" s="145" t="str">
        <f aca="false">'Program List'!B10</f>
        <v>Master of Arts in Museum Studies</v>
      </c>
      <c r="C15" s="146" t="n">
        <f aca="false">IF('HC by Program-Term'!$Y15="","—",'HC by Program-Term'!C15)</f>
        <v>7</v>
      </c>
      <c r="D15" s="146" t="n">
        <f aca="false">IF('HC by Program-Term'!$Y15="","—",SUM('HC by Program-Term'!D15:F15))</f>
        <v>100</v>
      </c>
      <c r="E15" s="146" t="n">
        <f aca="false">IF('HC by Program-Term'!$Y15="","—",SUM('HC by Program-Term'!G15:I15))</f>
        <v>241</v>
      </c>
      <c r="F15" s="146" t="n">
        <f aca="false">IF('HC by Program-Term'!$Y15="","—",SUM('HC by Program-Term'!J15:L15))</f>
        <v>524</v>
      </c>
      <c r="G15" s="146" t="n">
        <f aca="false">IF('HC by Program-Term'!$Y15="","—",SUM('HC by Program-Term'!M15:O15))</f>
        <v>815</v>
      </c>
      <c r="H15" s="146" t="n">
        <f aca="false">IF('HC by Program-Term'!$Y15="","—",SUM('HC by Program-Term'!P15:R15))</f>
        <v>854</v>
      </c>
      <c r="I15" s="146" t="n">
        <f aca="false">IF('HC by Program-Term'!$Y15="","—",SUM('HC by Program-Term'!S15:U15))</f>
        <v>703</v>
      </c>
      <c r="J15" s="146" t="n">
        <f aca="false">IF('HC by Program-Term'!$Y15="","—",'HC by Program-Term'!V15)</f>
        <v>221</v>
      </c>
      <c r="K15" s="147" t="n">
        <f aca="false">IF('HC by Program-Term'!$Y15="","—",SUM(C15:J15))</f>
        <v>3465</v>
      </c>
    </row>
    <row r="16" customFormat="false" ht="15" hidden="false" customHeight="true" outlineLevel="0" collapsed="false">
      <c r="A16" s="148" t="str">
        <f aca="false">'Program List'!A11</f>
        <v>M762</v>
      </c>
      <c r="B16" s="149" t="str">
        <f aca="false">'Program List'!B11</f>
        <v>Master of Arts in Organizational Leadership</v>
      </c>
      <c r="C16" s="150" t="n">
        <f aca="false">IF('HC by Program-Term'!$Y16="","—",'HC by Program-Term'!C16)</f>
        <v>29</v>
      </c>
      <c r="D16" s="150" t="n">
        <f aca="false">IF('HC by Program-Term'!$Y16="","—",SUM('HC by Program-Term'!D16:F16))</f>
        <v>239</v>
      </c>
      <c r="E16" s="150" t="n">
        <f aca="false">IF('HC by Program-Term'!$Y16="","—",SUM('HC by Program-Term'!G16:I16))</f>
        <v>424</v>
      </c>
      <c r="F16" s="150" t="n">
        <f aca="false">IF('HC by Program-Term'!$Y16="","—",SUM('HC by Program-Term'!J16:L16))</f>
        <v>482</v>
      </c>
      <c r="G16" s="150" t="n">
        <f aca="false">IF('HC by Program-Term'!$Y16="","—",SUM('HC by Program-Term'!M16:O16))</f>
        <v>572</v>
      </c>
      <c r="H16" s="150" t="n">
        <f aca="false">IF('HC by Program-Term'!$Y16="","—",SUM('HC by Program-Term'!P16:R16))</f>
        <v>558</v>
      </c>
      <c r="I16" s="150" t="n">
        <f aca="false">IF('HC by Program-Term'!$Y16="","—",SUM('HC by Program-Term'!S16:U16))</f>
        <v>452</v>
      </c>
      <c r="J16" s="150" t="n">
        <f aca="false">IF('HC by Program-Term'!$Y16="","—",'HC by Program-Term'!V16)</f>
        <v>155</v>
      </c>
      <c r="K16" s="151" t="n">
        <f aca="false">IF('HC by Program-Term'!$Y16="","—",SUM(C16:J16))</f>
        <v>2911</v>
      </c>
    </row>
    <row r="17" customFormat="false" ht="15" hidden="false" customHeight="true" outlineLevel="0" collapsed="false">
      <c r="A17" s="144" t="str">
        <f aca="false">'Program List'!A12</f>
        <v>M859</v>
      </c>
      <c r="B17" s="145" t="str">
        <f aca="false">'Program List'!B12</f>
        <v>Master of Arts in Strategic Communication and Digital Strategy</v>
      </c>
      <c r="C17" s="146" t="n">
        <f aca="false">IF('HC by Program-Term'!$Y17="","—",'HC by Program-Term'!C17)</f>
        <v>0</v>
      </c>
      <c r="D17" s="146" t="n">
        <f aca="false">IF('HC by Program-Term'!$Y17="","—",SUM('HC by Program-Term'!D17:F17))</f>
        <v>90</v>
      </c>
      <c r="E17" s="146" t="n">
        <f aca="false">IF('HC by Program-Term'!$Y17="","—",SUM('HC by Program-Term'!G17:I17))</f>
        <v>316</v>
      </c>
      <c r="F17" s="146" t="n">
        <f aca="false">IF('HC by Program-Term'!$Y17="","—",SUM('HC by Program-Term'!J17:L17))</f>
        <v>317</v>
      </c>
      <c r="G17" s="146" t="n">
        <f aca="false">IF('HC by Program-Term'!$Y17="","—",SUM('HC by Program-Term'!M17:O17))</f>
        <v>304</v>
      </c>
      <c r="H17" s="146" t="n">
        <f aca="false">IF('HC by Program-Term'!$Y17="","—",SUM('HC by Program-Term'!P17:R17))</f>
        <v>310</v>
      </c>
      <c r="I17" s="146" t="n">
        <f aca="false">IF('HC by Program-Term'!$Y17="","—",SUM('HC by Program-Term'!S17:U17))</f>
        <v>270</v>
      </c>
      <c r="J17" s="146" t="n">
        <f aca="false">IF('HC by Program-Term'!$Y17="","—",'HC by Program-Term'!V17)</f>
        <v>80</v>
      </c>
      <c r="K17" s="147" t="n">
        <f aca="false">IF('HC by Program-Term'!$Y17="","—",SUM(C17:J17))</f>
        <v>1687</v>
      </c>
    </row>
    <row r="18" customFormat="false" ht="15" hidden="false" customHeight="true" outlineLevel="0" collapsed="false">
      <c r="A18" s="148" t="str">
        <f aca="false">'Program List'!A13</f>
        <v>M202</v>
      </c>
      <c r="B18" s="149" t="str">
        <f aca="false">'Program List'!B13</f>
        <v>Master of Clinical Mental Health Counseling</v>
      </c>
      <c r="C18" s="150" t="n">
        <f aca="false">IF('HC by Program-Term'!$Y18="","—",'HC by Program-Term'!C18)</f>
        <v>0</v>
      </c>
      <c r="D18" s="150" t="n">
        <f aca="false">IF('HC by Program-Term'!$Y18="","—",SUM('HC by Program-Term'!D18:F18))</f>
        <v>0</v>
      </c>
      <c r="E18" s="150" t="n">
        <f aca="false">IF('HC by Program-Term'!$Y18="","—",SUM('HC by Program-Term'!G18:I18))</f>
        <v>183</v>
      </c>
      <c r="F18" s="150" t="n">
        <f aca="false">IF('HC by Program-Term'!$Y18="","—",SUM('HC by Program-Term'!J18:L18))</f>
        <v>388</v>
      </c>
      <c r="G18" s="150" t="n">
        <f aca="false">IF('HC by Program-Term'!$Y18="","—",SUM('HC by Program-Term'!M18:O18))</f>
        <v>521</v>
      </c>
      <c r="H18" s="150" t="n">
        <f aca="false">IF('HC by Program-Term'!$Y18="","—",SUM('HC by Program-Term'!P18:R18))</f>
        <v>457</v>
      </c>
      <c r="I18" s="150" t="n">
        <f aca="false">IF('HC by Program-Term'!$Y18="","—",SUM('HC by Program-Term'!S18:U18))</f>
        <v>457</v>
      </c>
      <c r="J18" s="150" t="n">
        <f aca="false">IF('HC by Program-Term'!$Y18="","—",'HC by Program-Term'!V18)</f>
        <v>174</v>
      </c>
      <c r="K18" s="151" t="n">
        <f aca="false">IF('HC by Program-Term'!$Y18="","—",SUM(C18:J18))</f>
        <v>2180</v>
      </c>
    </row>
    <row r="19" customFormat="false" ht="15" hidden="false" customHeight="true" outlineLevel="0" collapsed="false">
      <c r="A19" s="144" t="str">
        <f aca="false">'Program List'!A14</f>
        <v>M246</v>
      </c>
      <c r="B19" s="145" t="str">
        <f aca="false">'Program List'!B14</f>
        <v>Master of Construction Business</v>
      </c>
      <c r="C19" s="146" t="n">
        <f aca="false">IF('HC by Program-Term'!$Y19="","—",'HC by Program-Term'!C19)</f>
        <v>0</v>
      </c>
      <c r="D19" s="146" t="n">
        <f aca="false">IF('HC by Program-Term'!$Y19="","—",SUM('HC by Program-Term'!D19:F19))</f>
        <v>0</v>
      </c>
      <c r="E19" s="146" t="n">
        <f aca="false">IF('HC by Program-Term'!$Y19="","—",SUM('HC by Program-Term'!G19:I19))</f>
        <v>96</v>
      </c>
      <c r="F19" s="146" t="n">
        <f aca="false">IF('HC by Program-Term'!$Y19="","—",SUM('HC by Program-Term'!J19:L19))</f>
        <v>162</v>
      </c>
      <c r="G19" s="146" t="n">
        <f aca="false">IF('HC by Program-Term'!$Y19="","—",SUM('HC by Program-Term'!M19:O19))</f>
        <v>155</v>
      </c>
      <c r="H19" s="146" t="n">
        <f aca="false">IF('HC by Program-Term'!$Y19="","—",SUM('HC by Program-Term'!P19:R19))</f>
        <v>152</v>
      </c>
      <c r="I19" s="146" t="n">
        <f aca="false">IF('HC by Program-Term'!$Y19="","—",SUM('HC by Program-Term'!S19:U19))</f>
        <v>132</v>
      </c>
      <c r="J19" s="146" t="n">
        <f aca="false">IF('HC by Program-Term'!$Y19="","—",'HC by Program-Term'!V19)</f>
        <v>45</v>
      </c>
      <c r="K19" s="147" t="n">
        <f aca="false">IF('HC by Program-Term'!$Y19="","—",SUM(C19:J19))</f>
        <v>742</v>
      </c>
    </row>
    <row r="20" customFormat="false" ht="15" hidden="false" customHeight="true" outlineLevel="0" collapsed="false">
      <c r="A20" s="148" t="str">
        <f aca="false">'Program List'!A15</f>
        <v>M297</v>
      </c>
      <c r="B20" s="149" t="str">
        <f aca="false">'Program List'!B15</f>
        <v>Master of Econometrics</v>
      </c>
      <c r="C20" s="150" t="str">
        <f aca="false">IF('HC by Program-Term'!$Y20="","—",'HC by Program-Term'!C20)</f>
        <v>—</v>
      </c>
      <c r="D20" s="150" t="str">
        <f aca="false">IF('HC by Program-Term'!$Y20="","—",SUM('HC by Program-Term'!D20:F20))</f>
        <v>—</v>
      </c>
      <c r="E20" s="150" t="str">
        <f aca="false">IF('HC by Program-Term'!$Y20="","—",SUM('HC by Program-Term'!G20:I20))</f>
        <v>—</v>
      </c>
      <c r="F20" s="150" t="str">
        <f aca="false">IF('HC by Program-Term'!$Y20="","—",SUM('HC by Program-Term'!J20:L20))</f>
        <v>—</v>
      </c>
      <c r="G20" s="150" t="str">
        <f aca="false">IF('HC by Program-Term'!$Y20="","—",SUM('HC by Program-Term'!M20:O20))</f>
        <v>—</v>
      </c>
      <c r="H20" s="150" t="str">
        <f aca="false">IF('HC by Program-Term'!$Y20="","—",SUM('HC by Program-Term'!P20:R20))</f>
        <v>—</v>
      </c>
      <c r="I20" s="150" t="str">
        <f aca="false">IF('HC by Program-Term'!$Y20="","—",SUM('HC by Program-Term'!S20:U20))</f>
        <v>—</v>
      </c>
      <c r="J20" s="150" t="str">
        <f aca="false">IF('HC by Program-Term'!$Y20="","—",'HC by Program-Term'!V20)</f>
        <v>—</v>
      </c>
      <c r="K20" s="151" t="str">
        <f aca="false">IF('HC by Program-Term'!$Y20="","—",SUM(C20:J20))</f>
        <v>—</v>
      </c>
    </row>
    <row r="21" customFormat="false" ht="15" hidden="false" customHeight="true" outlineLevel="0" collapsed="false">
      <c r="A21" s="144" t="str">
        <f aca="false">'Program List'!A16</f>
        <v>M383</v>
      </c>
      <c r="B21" s="145" t="str">
        <f aca="false">'Program List'!B16</f>
        <v>Master of Entrepreneurship &amp; Innovation</v>
      </c>
      <c r="C21" s="146" t="str">
        <f aca="false">IF('HC by Program-Term'!$Y21="","—",'HC by Program-Term'!C21)</f>
        <v>—</v>
      </c>
      <c r="D21" s="146" t="str">
        <f aca="false">IF('HC by Program-Term'!$Y21="","—",SUM('HC by Program-Term'!D21:F21))</f>
        <v>—</v>
      </c>
      <c r="E21" s="146" t="str">
        <f aca="false">IF('HC by Program-Term'!$Y21="","—",SUM('HC by Program-Term'!G21:I21))</f>
        <v>—</v>
      </c>
      <c r="F21" s="146" t="str">
        <f aca="false">IF('HC by Program-Term'!$Y21="","—",SUM('HC by Program-Term'!J21:L21))</f>
        <v>—</v>
      </c>
      <c r="G21" s="146" t="str">
        <f aca="false">IF('HC by Program-Term'!$Y21="","—",SUM('HC by Program-Term'!M21:O21))</f>
        <v>—</v>
      </c>
      <c r="H21" s="146" t="str">
        <f aca="false">IF('HC by Program-Term'!$Y21="","—",SUM('HC by Program-Term'!P21:R21))</f>
        <v>—</v>
      </c>
      <c r="I21" s="146" t="str">
        <f aca="false">IF('HC by Program-Term'!$Y21="","—",SUM('HC by Program-Term'!S21:U21))</f>
        <v>—</v>
      </c>
      <c r="J21" s="146" t="str">
        <f aca="false">IF('HC by Program-Term'!$Y21="","—",'HC by Program-Term'!V21)</f>
        <v>—</v>
      </c>
      <c r="K21" s="147" t="str">
        <f aca="false">IF('HC by Program-Term'!$Y21="","—",SUM(C21:J21))</f>
        <v>—</v>
      </c>
    </row>
    <row r="22" customFormat="false" ht="15" hidden="false" customHeight="true" outlineLevel="0" collapsed="false">
      <c r="A22" s="148" t="str">
        <f aca="false">'Program List'!A17</f>
        <v>M518</v>
      </c>
      <c r="B22" s="149" t="str">
        <f aca="false">'Program List'!B17</f>
        <v>Master of Environmental Science: Hydrology and Water Security</v>
      </c>
      <c r="C22" s="150" t="n">
        <f aca="false">IF('HC by Program-Term'!$Y22="","—",'HC by Program-Term'!C22)</f>
        <v>0</v>
      </c>
      <c r="D22" s="150" t="n">
        <f aca="false">IF('HC by Program-Term'!$Y22="","—",SUM('HC by Program-Term'!D22:F22))</f>
        <v>214</v>
      </c>
      <c r="E22" s="150" t="n">
        <f aca="false">IF('HC by Program-Term'!$Y22="","—",SUM('HC by Program-Term'!G22:I22))</f>
        <v>321</v>
      </c>
      <c r="F22" s="150" t="n">
        <f aca="false">IF('HC by Program-Term'!$Y22="","—",SUM('HC by Program-Term'!J22:L22))</f>
        <v>218</v>
      </c>
      <c r="G22" s="150" t="n">
        <f aca="false">IF('HC by Program-Term'!$Y22="","—",SUM('HC by Program-Term'!M22:O22))</f>
        <v>229</v>
      </c>
      <c r="H22" s="150" t="n">
        <f aca="false">IF('HC by Program-Term'!$Y22="","—",SUM('HC by Program-Term'!P22:R22))</f>
        <v>260</v>
      </c>
      <c r="I22" s="150" t="n">
        <f aca="false">IF('HC by Program-Term'!$Y22="","—",SUM('HC by Program-Term'!S22:U22))</f>
        <v>276</v>
      </c>
      <c r="J22" s="150" t="n">
        <f aca="false">IF('HC by Program-Term'!$Y22="","—",'HC by Program-Term'!V22)</f>
        <v>94</v>
      </c>
      <c r="K22" s="151" t="n">
        <f aca="false">IF('HC by Program-Term'!$Y22="","—",SUM(C22:J22))</f>
        <v>1612</v>
      </c>
    </row>
    <row r="23" customFormat="false" ht="15" hidden="false" customHeight="true" outlineLevel="0" collapsed="false">
      <c r="A23" s="144" t="str">
        <f aca="false">'Program List'!A18</f>
        <v>M368</v>
      </c>
      <c r="B23" s="145" t="str">
        <f aca="false">'Program List'!B18</f>
        <v>Master of Legal Studies - Energy</v>
      </c>
      <c r="C23" s="146" t="n">
        <f aca="false">IF('HC by Program-Term'!$Y23="","—",'HC by Program-Term'!C23)</f>
        <v>0</v>
      </c>
      <c r="D23" s="146" t="n">
        <f aca="false">IF('HC by Program-Term'!$Y23="","—",SUM('HC by Program-Term'!D23:F23))</f>
        <v>10</v>
      </c>
      <c r="E23" s="146" t="n">
        <f aca="false">IF('HC by Program-Term'!$Y23="","—",SUM('HC by Program-Term'!G23:I23))</f>
        <v>76</v>
      </c>
      <c r="F23" s="146" t="n">
        <f aca="false">IF('HC by Program-Term'!$Y23="","—",SUM('HC by Program-Term'!J23:L23))</f>
        <v>85</v>
      </c>
      <c r="G23" s="146" t="n">
        <f aca="false">IF('HC by Program-Term'!$Y23="","—",SUM('HC by Program-Term'!M23:O23))</f>
        <v>75</v>
      </c>
      <c r="H23" s="146" t="n">
        <f aca="false">IF('HC by Program-Term'!$Y23="","—",SUM('HC by Program-Term'!P23:R23))</f>
        <v>68</v>
      </c>
      <c r="I23" s="146" t="n">
        <f aca="false">IF('HC by Program-Term'!$Y23="","—",SUM('HC by Program-Term'!S23:U23))</f>
        <v>66</v>
      </c>
      <c r="J23" s="146" t="n">
        <f aca="false">IF('HC by Program-Term'!$Y23="","—",'HC by Program-Term'!V23)</f>
        <v>36</v>
      </c>
      <c r="K23" s="147" t="n">
        <f aca="false">IF('HC by Program-Term'!$Y23="","—",SUM(C23:J23))</f>
        <v>416</v>
      </c>
    </row>
    <row r="24" customFormat="false" ht="15" hidden="false" customHeight="true" outlineLevel="0" collapsed="false">
      <c r="A24" s="148" t="str">
        <f aca="false">'Program List'!A19</f>
        <v>M636</v>
      </c>
      <c r="B24" s="149" t="str">
        <f aca="false">'Program List'!B19</f>
        <v>Master of Legal Studies - General</v>
      </c>
      <c r="C24" s="150" t="str">
        <f aca="false">IF('HC by Program-Term'!$Y24="","—",'HC by Program-Term'!C24)</f>
        <v>—</v>
      </c>
      <c r="D24" s="150" t="str">
        <f aca="false">IF('HC by Program-Term'!$Y24="","—",SUM('HC by Program-Term'!D24:F24))</f>
        <v>—</v>
      </c>
      <c r="E24" s="150" t="str">
        <f aca="false">IF('HC by Program-Term'!$Y24="","—",SUM('HC by Program-Term'!G24:I24))</f>
        <v>—</v>
      </c>
      <c r="F24" s="150" t="str">
        <f aca="false">IF('HC by Program-Term'!$Y24="","—",SUM('HC by Program-Term'!J24:L24))</f>
        <v>—</v>
      </c>
      <c r="G24" s="150" t="str">
        <f aca="false">IF('HC by Program-Term'!$Y24="","—",SUM('HC by Program-Term'!M24:O24))</f>
        <v>—</v>
      </c>
      <c r="H24" s="150" t="str">
        <f aca="false">IF('HC by Program-Term'!$Y24="","—",SUM('HC by Program-Term'!P24:R24))</f>
        <v>—</v>
      </c>
      <c r="I24" s="150" t="str">
        <f aca="false">IF('HC by Program-Term'!$Y24="","—",SUM('HC by Program-Term'!S24:U24))</f>
        <v>—</v>
      </c>
      <c r="J24" s="150" t="str">
        <f aca="false">IF('HC by Program-Term'!$Y24="","—",'HC by Program-Term'!V24)</f>
        <v>—</v>
      </c>
      <c r="K24" s="151" t="str">
        <f aca="false">IF('HC by Program-Term'!$Y24="","—",SUM(C24:J24))</f>
        <v>—</v>
      </c>
    </row>
    <row r="25" customFormat="false" ht="15" hidden="false" customHeight="true" outlineLevel="0" collapsed="false">
      <c r="A25" s="144" t="str">
        <f aca="false">'Program List'!A20</f>
        <v>M503</v>
      </c>
      <c r="B25" s="145" t="str">
        <f aca="false">'Program List'!B20</f>
        <v>Master of Legal Studies - Healthcare Law</v>
      </c>
      <c r="C25" s="146" t="n">
        <f aca="false">IF('HC by Program-Term'!$Y25="","—",'HC by Program-Term'!C25)</f>
        <v>31</v>
      </c>
      <c r="D25" s="146" t="n">
        <f aca="false">IF('HC by Program-Term'!$Y25="","—",SUM('HC by Program-Term'!D25:F25))</f>
        <v>264</v>
      </c>
      <c r="E25" s="146" t="n">
        <f aca="false">IF('HC by Program-Term'!$Y25="","—",SUM('HC by Program-Term'!G25:I25))</f>
        <v>394</v>
      </c>
      <c r="F25" s="146" t="n">
        <f aca="false">IF('HC by Program-Term'!$Y25="","—",SUM('HC by Program-Term'!J25:L25))</f>
        <v>436</v>
      </c>
      <c r="G25" s="146" t="n">
        <f aca="false">IF('HC by Program-Term'!$Y25="","—",SUM('HC by Program-Term'!M25:O25))</f>
        <v>329</v>
      </c>
      <c r="H25" s="146" t="n">
        <f aca="false">IF('HC by Program-Term'!$Y25="","—",SUM('HC by Program-Term'!P25:R25))</f>
        <v>256</v>
      </c>
      <c r="I25" s="146" t="n">
        <f aca="false">IF('HC by Program-Term'!$Y25="","—",SUM('HC by Program-Term'!S25:U25))</f>
        <v>218</v>
      </c>
      <c r="J25" s="146" t="n">
        <f aca="false">IF('HC by Program-Term'!$Y25="","—",'HC by Program-Term'!V25)</f>
        <v>81</v>
      </c>
      <c r="K25" s="147" t="n">
        <f aca="false">IF('HC by Program-Term'!$Y25="","—",SUM(C25:J25))</f>
        <v>2009</v>
      </c>
    </row>
    <row r="26" customFormat="false" ht="15" hidden="false" customHeight="true" outlineLevel="0" collapsed="false">
      <c r="A26" s="148" t="str">
        <f aca="false">'Program List'!A21</f>
        <v>M522</v>
      </c>
      <c r="B26" s="149" t="str">
        <f aca="false">'Program List'!B21</f>
        <v>Master of Legal Studies - Indigenous Peoples Law</v>
      </c>
      <c r="C26" s="150" t="n">
        <f aca="false">IF('HC by Program-Term'!$Y26="","—",'HC by Program-Term'!C26)</f>
        <v>22</v>
      </c>
      <c r="D26" s="150" t="n">
        <f aca="false">IF('HC by Program-Term'!$Y26="","—",SUM('HC by Program-Term'!D26:F26))</f>
        <v>360</v>
      </c>
      <c r="E26" s="150" t="n">
        <f aca="false">IF('HC by Program-Term'!$Y26="","—",SUM('HC by Program-Term'!G26:I26))</f>
        <v>568</v>
      </c>
      <c r="F26" s="150" t="n">
        <f aca="false">IF('HC by Program-Term'!$Y26="","—",SUM('HC by Program-Term'!J26:L26))</f>
        <v>450</v>
      </c>
      <c r="G26" s="150" t="n">
        <f aca="false">IF('HC by Program-Term'!$Y26="","—",SUM('HC by Program-Term'!M26:O26))</f>
        <v>441</v>
      </c>
      <c r="H26" s="150" t="n">
        <f aca="false">IF('HC by Program-Term'!$Y26="","—",SUM('HC by Program-Term'!P26:R26))</f>
        <v>355</v>
      </c>
      <c r="I26" s="150" t="n">
        <f aca="false">IF('HC by Program-Term'!$Y26="","—",SUM('HC by Program-Term'!S26:U26))</f>
        <v>306</v>
      </c>
      <c r="J26" s="150" t="n">
        <f aca="false">IF('HC by Program-Term'!$Y26="","—",'HC by Program-Term'!V26)</f>
        <v>90</v>
      </c>
      <c r="K26" s="151" t="n">
        <f aca="false">IF('HC by Program-Term'!$Y26="","—",SUM(C26:J26))</f>
        <v>2592</v>
      </c>
    </row>
    <row r="27" customFormat="false" ht="15" hidden="false" customHeight="true" outlineLevel="0" collapsed="false">
      <c r="A27" s="144" t="str">
        <f aca="false">'Program List'!A22</f>
        <v>M589</v>
      </c>
      <c r="B27" s="145" t="str">
        <f aca="false">'Program List'!B22</f>
        <v>Master of Legal Studies - International Business</v>
      </c>
      <c r="C27" s="146" t="n">
        <f aca="false">IF('HC by Program-Term'!$Y27="","—",'HC by Program-Term'!C27)</f>
        <v>0</v>
      </c>
      <c r="D27" s="146" t="n">
        <f aca="false">IF('HC by Program-Term'!$Y27="","—",SUM('HC by Program-Term'!D27:F27))</f>
        <v>63</v>
      </c>
      <c r="E27" s="146" t="n">
        <f aca="false">IF('HC by Program-Term'!$Y27="","—",SUM('HC by Program-Term'!G27:I27))</f>
        <v>74</v>
      </c>
      <c r="F27" s="146" t="n">
        <f aca="false">IF('HC by Program-Term'!$Y27="","—",SUM('HC by Program-Term'!J27:L27))</f>
        <v>40</v>
      </c>
      <c r="G27" s="146" t="n">
        <f aca="false">IF('HC by Program-Term'!$Y27="","—",SUM('HC by Program-Term'!M27:O27))</f>
        <v>41</v>
      </c>
      <c r="H27" s="146" t="n">
        <f aca="false">IF('HC by Program-Term'!$Y27="","—",SUM('HC by Program-Term'!P27:R27))</f>
        <v>18</v>
      </c>
      <c r="I27" s="146" t="n">
        <f aca="false">IF('HC by Program-Term'!$Y27="","—",SUM('HC by Program-Term'!S27:U27))</f>
        <v>20</v>
      </c>
      <c r="J27" s="146" t="n">
        <f aca="false">IF('HC by Program-Term'!$Y27="","—",'HC by Program-Term'!V27)</f>
        <v>12</v>
      </c>
      <c r="K27" s="147" t="n">
        <f aca="false">IF('HC by Program-Term'!$Y27="","—",SUM(C27:J27))</f>
        <v>268</v>
      </c>
    </row>
    <row r="28" customFormat="false" ht="15" hidden="false" customHeight="true" outlineLevel="0" collapsed="false">
      <c r="A28" s="148" t="str">
        <f aca="false">'Program List'!A23</f>
        <v>M029</v>
      </c>
      <c r="B28" s="149" t="str">
        <f aca="false">'Program List'!B23</f>
        <v>Master of Science in Applied Computing</v>
      </c>
      <c r="C28" s="150" t="str">
        <f aca="false">IF('HC by Program-Term'!$Y28="","—",'HC by Program-Term'!C28)</f>
        <v>—</v>
      </c>
      <c r="D28" s="150" t="str">
        <f aca="false">IF('HC by Program-Term'!$Y28="","—",SUM('HC by Program-Term'!D28:F28))</f>
        <v>—</v>
      </c>
      <c r="E28" s="150" t="str">
        <f aca="false">IF('HC by Program-Term'!$Y28="","—",SUM('HC by Program-Term'!G28:I28))</f>
        <v>—</v>
      </c>
      <c r="F28" s="150" t="str">
        <f aca="false">IF('HC by Program-Term'!$Y28="","—",SUM('HC by Program-Term'!J28:L28))</f>
        <v>—</v>
      </c>
      <c r="G28" s="150" t="str">
        <f aca="false">IF('HC by Program-Term'!$Y28="","—",SUM('HC by Program-Term'!M28:O28))</f>
        <v>—</v>
      </c>
      <c r="H28" s="150" t="str">
        <f aca="false">IF('HC by Program-Term'!$Y28="","—",SUM('HC by Program-Term'!P28:R28))</f>
        <v>—</v>
      </c>
      <c r="I28" s="150" t="str">
        <f aca="false">IF('HC by Program-Term'!$Y28="","—",SUM('HC by Program-Term'!S28:U28))</f>
        <v>—</v>
      </c>
      <c r="J28" s="150" t="str">
        <f aca="false">IF('HC by Program-Term'!$Y28="","—",'HC by Program-Term'!V28)</f>
        <v>—</v>
      </c>
      <c r="K28" s="151" t="str">
        <f aca="false">IF('HC by Program-Term'!$Y28="","—",SUM(C28:J28))</f>
        <v>—</v>
      </c>
    </row>
    <row r="29" customFormat="false" ht="15" hidden="false" customHeight="true" outlineLevel="0" collapsed="false">
      <c r="A29" s="144" t="str">
        <f aca="false">'Program List'!A24</f>
        <v>M035</v>
      </c>
      <c r="B29" s="145" t="str">
        <f aca="false">'Program List'!B24</f>
        <v>Master of Science in Applied Statistics</v>
      </c>
      <c r="C29" s="146" t="n">
        <f aca="false">IF('HC by Program-Term'!$Y29="","—",'HC by Program-Term'!C29)</f>
        <v>0</v>
      </c>
      <c r="D29" s="146" t="n">
        <f aca="false">IF('HC by Program-Term'!$Y29="","—",SUM('HC by Program-Term'!D29:F29))</f>
        <v>0</v>
      </c>
      <c r="E29" s="146" t="n">
        <f aca="false">IF('HC by Program-Term'!$Y29="","—",SUM('HC by Program-Term'!G29:I29))</f>
        <v>0</v>
      </c>
      <c r="F29" s="146" t="n">
        <f aca="false">IF('HC by Program-Term'!$Y29="","—",SUM('HC by Program-Term'!J29:L29))</f>
        <v>0</v>
      </c>
      <c r="G29" s="146" t="n">
        <f aca="false">IF('HC by Program-Term'!$Y29="","—",SUM('HC by Program-Term'!M29:O29))</f>
        <v>111</v>
      </c>
      <c r="H29" s="146" t="n">
        <f aca="false">IF('HC by Program-Term'!$Y29="","—",SUM('HC by Program-Term'!P29:R29))</f>
        <v>198</v>
      </c>
      <c r="I29" s="146" t="n">
        <f aca="false">IF('HC by Program-Term'!$Y29="","—",SUM('HC by Program-Term'!S29:U29))</f>
        <v>180</v>
      </c>
      <c r="J29" s="146" t="n">
        <f aca="false">IF('HC by Program-Term'!$Y29="","—",'HC by Program-Term'!V29)</f>
        <v>32</v>
      </c>
      <c r="K29" s="147" t="n">
        <f aca="false">IF('HC by Program-Term'!$Y29="","—",SUM(C29:J29))</f>
        <v>521</v>
      </c>
    </row>
    <row r="30" customFormat="false" ht="15" hidden="false" customHeight="true" outlineLevel="0" collapsed="false">
      <c r="A30" s="148" t="str">
        <f aca="false">'Program List'!A25</f>
        <v>M145</v>
      </c>
      <c r="B30" s="149" t="str">
        <f aca="false">'Program List'!B25</f>
        <v>Master of Science in Business Analytics</v>
      </c>
      <c r="C30" s="150" t="n">
        <f aca="false">IF('HC by Program-Term'!$Y30="","—",'HC by Program-Term'!C30)</f>
        <v>0</v>
      </c>
      <c r="D30" s="150" t="n">
        <f aca="false">IF('HC by Program-Term'!$Y30="","—",SUM('HC by Program-Term'!D30:F30))</f>
        <v>0</v>
      </c>
      <c r="E30" s="150" t="n">
        <f aca="false">IF('HC by Program-Term'!$Y30="","—",SUM('HC by Program-Term'!G30:I30))</f>
        <v>0</v>
      </c>
      <c r="F30" s="150" t="n">
        <f aca="false">IF('HC by Program-Term'!$Y30="","—",SUM('HC by Program-Term'!J30:L30))</f>
        <v>75</v>
      </c>
      <c r="G30" s="150" t="n">
        <f aca="false">IF('HC by Program-Term'!$Y30="","—",SUM('HC by Program-Term'!M30:O30))</f>
        <v>131</v>
      </c>
      <c r="H30" s="150" t="n">
        <f aca="false">IF('HC by Program-Term'!$Y30="","—",SUM('HC by Program-Term'!P30:R30))</f>
        <v>99</v>
      </c>
      <c r="I30" s="150" t="n">
        <f aca="false">IF('HC by Program-Term'!$Y30="","—",SUM('HC by Program-Term'!S30:U30))</f>
        <v>150</v>
      </c>
      <c r="J30" s="150" t="n">
        <f aca="false">IF('HC by Program-Term'!$Y30="","—",'HC by Program-Term'!V30)</f>
        <v>51</v>
      </c>
      <c r="K30" s="151" t="n">
        <f aca="false">IF('HC by Program-Term'!$Y30="","—",SUM(C30:J30))</f>
        <v>506</v>
      </c>
    </row>
    <row r="31" customFormat="false" ht="15" hidden="false" customHeight="true" outlineLevel="0" collapsed="false">
      <c r="A31" s="144" t="str">
        <f aca="false">'Program List'!A26</f>
        <v>M191</v>
      </c>
      <c r="B31" s="145" t="str">
        <f aca="false">'Program List'!B26</f>
        <v>Master of Science in Civil Engineering</v>
      </c>
      <c r="C31" s="146" t="n">
        <f aca="false">IF('HC by Program-Term'!$Y31="","—",'HC by Program-Term'!C31)</f>
        <v>0</v>
      </c>
      <c r="D31" s="146" t="n">
        <f aca="false">IF('HC by Program-Term'!$Y31="","—",SUM('HC by Program-Term'!D31:F31))</f>
        <v>107</v>
      </c>
      <c r="E31" s="146" t="n">
        <f aca="false">IF('HC by Program-Term'!$Y31="","—",SUM('HC by Program-Term'!G31:I31))</f>
        <v>159</v>
      </c>
      <c r="F31" s="146" t="n">
        <f aca="false">IF('HC by Program-Term'!$Y31="","—",SUM('HC by Program-Term'!J31:L31))</f>
        <v>155</v>
      </c>
      <c r="G31" s="146" t="n">
        <f aca="false">IF('HC by Program-Term'!$Y31="","—",SUM('HC by Program-Term'!M31:O31))</f>
        <v>158</v>
      </c>
      <c r="H31" s="146" t="n">
        <f aca="false">IF('HC by Program-Term'!$Y31="","—",SUM('HC by Program-Term'!P31:R31))</f>
        <v>160</v>
      </c>
      <c r="I31" s="146" t="n">
        <f aca="false">IF('HC by Program-Term'!$Y31="","—",SUM('HC by Program-Term'!S31:U31))</f>
        <v>183</v>
      </c>
      <c r="J31" s="146" t="n">
        <f aca="false">IF('HC by Program-Term'!$Y31="","—",'HC by Program-Term'!V31)</f>
        <v>67</v>
      </c>
      <c r="K31" s="147" t="n">
        <f aca="false">IF('HC by Program-Term'!$Y31="","—",SUM(C31:J31))</f>
        <v>989</v>
      </c>
    </row>
    <row r="32" customFormat="false" ht="15" hidden="false" customHeight="true" outlineLevel="0" collapsed="false">
      <c r="A32" s="148" t="str">
        <f aca="false">'Program List'!A27</f>
        <v>M260</v>
      </c>
      <c r="B32" s="149" t="str">
        <f aca="false">'Program List'!B27</f>
        <v>Master of Science in Criminal Justice</v>
      </c>
      <c r="C32" s="150" t="n">
        <f aca="false">IF('HC by Program-Term'!$Y32="","—",'HC by Program-Term'!C32)</f>
        <v>4</v>
      </c>
      <c r="D32" s="150" t="n">
        <f aca="false">IF('HC by Program-Term'!$Y32="","—",SUM('HC by Program-Term'!D32:F32))</f>
        <v>45</v>
      </c>
      <c r="E32" s="150" t="n">
        <f aca="false">IF('HC by Program-Term'!$Y32="","—",SUM('HC by Program-Term'!G32:I32))</f>
        <v>148</v>
      </c>
      <c r="F32" s="150" t="n">
        <f aca="false">IF('HC by Program-Term'!$Y32="","—",SUM('HC by Program-Term'!J32:L32))</f>
        <v>244</v>
      </c>
      <c r="G32" s="150" t="n">
        <f aca="false">IF('HC by Program-Term'!$Y32="","—",SUM('HC by Program-Term'!M32:O32))</f>
        <v>298</v>
      </c>
      <c r="H32" s="150" t="n">
        <f aca="false">IF('HC by Program-Term'!$Y32="","—",SUM('HC by Program-Term'!P32:R32))</f>
        <v>267</v>
      </c>
      <c r="I32" s="150" t="n">
        <f aca="false">IF('HC by Program-Term'!$Y32="","—",SUM('HC by Program-Term'!S32:U32))</f>
        <v>187</v>
      </c>
      <c r="J32" s="150" t="n">
        <f aca="false">IF('HC by Program-Term'!$Y32="","—",'HC by Program-Term'!V32)</f>
        <v>63</v>
      </c>
      <c r="K32" s="151" t="n">
        <f aca="false">IF('HC by Program-Term'!$Y32="","—",SUM(C32:J32))</f>
        <v>1256</v>
      </c>
    </row>
    <row r="33" customFormat="false" ht="15" hidden="false" customHeight="true" outlineLevel="0" collapsed="false">
      <c r="A33" s="144" t="str">
        <f aca="false">'Program List'!A28</f>
        <v>M264</v>
      </c>
      <c r="B33" s="145" t="str">
        <f aca="false">'Program List'!B28</f>
        <v>Master of Science in Cybersecurity Leadership</v>
      </c>
      <c r="C33" s="146" t="str">
        <f aca="false">IF('HC by Program-Term'!$Y33="","—",'HC by Program-Term'!C33)</f>
        <v>—</v>
      </c>
      <c r="D33" s="146" t="str">
        <f aca="false">IF('HC by Program-Term'!$Y33="","—",SUM('HC by Program-Term'!D33:F33))</f>
        <v>—</v>
      </c>
      <c r="E33" s="146" t="str">
        <f aca="false">IF('HC by Program-Term'!$Y33="","—",SUM('HC by Program-Term'!G33:I33))</f>
        <v>—</v>
      </c>
      <c r="F33" s="146" t="str">
        <f aca="false">IF('HC by Program-Term'!$Y33="","—",SUM('HC by Program-Term'!J33:L33))</f>
        <v>—</v>
      </c>
      <c r="G33" s="146" t="str">
        <f aca="false">IF('HC by Program-Term'!$Y33="","—",SUM('HC by Program-Term'!M33:O33))</f>
        <v>—</v>
      </c>
      <c r="H33" s="146" t="str">
        <f aca="false">IF('HC by Program-Term'!$Y33="","—",SUM('HC by Program-Term'!P33:R33))</f>
        <v>—</v>
      </c>
      <c r="I33" s="146" t="str">
        <f aca="false">IF('HC by Program-Term'!$Y33="","—",SUM('HC by Program-Term'!S33:U33))</f>
        <v>—</v>
      </c>
      <c r="J33" s="146" t="str">
        <f aca="false">IF('HC by Program-Term'!$Y33="","—",'HC by Program-Term'!V33)</f>
        <v>—</v>
      </c>
      <c r="K33" s="147" t="str">
        <f aca="false">IF('HC by Program-Term'!$Y33="","—",SUM(C33:J33))</f>
        <v>—</v>
      </c>
    </row>
    <row r="34" customFormat="false" ht="15" hidden="false" customHeight="true" outlineLevel="0" collapsed="false">
      <c r="A34" s="148" t="str">
        <f aca="false">'Program List'!A29</f>
        <v>M374</v>
      </c>
      <c r="B34" s="149" t="str">
        <f aca="false">'Program List'!B29</f>
        <v>Master of Science in Engineering Leadership and Management</v>
      </c>
      <c r="C34" s="150" t="n">
        <f aca="false">IF('HC by Program-Term'!$Y34="","—",'HC by Program-Term'!C34)</f>
        <v>0</v>
      </c>
      <c r="D34" s="150" t="n">
        <f aca="false">IF('HC by Program-Term'!$Y34="","—",SUM('HC by Program-Term'!D34:F34))</f>
        <v>0</v>
      </c>
      <c r="E34" s="150" t="n">
        <f aca="false">IF('HC by Program-Term'!$Y34="","—",SUM('HC by Program-Term'!G34:I34))</f>
        <v>0</v>
      </c>
      <c r="F34" s="150" t="n">
        <f aca="false">IF('HC by Program-Term'!$Y34="","—",SUM('HC by Program-Term'!J34:L34))</f>
        <v>0</v>
      </c>
      <c r="G34" s="150" t="n">
        <f aca="false">IF('HC by Program-Term'!$Y34="","—",SUM('HC by Program-Term'!M34:O34))</f>
        <v>44</v>
      </c>
      <c r="H34" s="150" t="n">
        <f aca="false">IF('HC by Program-Term'!$Y34="","—",SUM('HC by Program-Term'!P34:R34))</f>
        <v>187</v>
      </c>
      <c r="I34" s="150" t="n">
        <f aca="false">IF('HC by Program-Term'!$Y34="","—",SUM('HC by Program-Term'!S34:U34))</f>
        <v>213</v>
      </c>
      <c r="J34" s="150" t="n">
        <f aca="false">IF('HC by Program-Term'!$Y34="","—",'HC by Program-Term'!V34)</f>
        <v>91</v>
      </c>
      <c r="K34" s="151" t="n">
        <f aca="false">IF('HC by Program-Term'!$Y34="","—",SUM(C34:J34))</f>
        <v>535</v>
      </c>
    </row>
    <row r="35" customFormat="false" ht="15" hidden="false" customHeight="true" outlineLevel="0" collapsed="false">
      <c r="A35" s="144" t="str">
        <f aca="false">'Program List'!A30</f>
        <v>M435</v>
      </c>
      <c r="B35" s="145" t="str">
        <f aca="false">'Program List'!B30</f>
        <v>Master of Science in Finance</v>
      </c>
      <c r="C35" s="146" t="n">
        <f aca="false">IF('HC by Program-Term'!$Y35="","—",'HC by Program-Term'!C35)</f>
        <v>3</v>
      </c>
      <c r="D35" s="146" t="n">
        <f aca="false">IF('HC by Program-Term'!$Y35="","—",SUM('HC by Program-Term'!D35:F35))</f>
        <v>198</v>
      </c>
      <c r="E35" s="146" t="n">
        <f aca="false">IF('HC by Program-Term'!$Y35="","—",SUM('HC by Program-Term'!G35:I35))</f>
        <v>280</v>
      </c>
      <c r="F35" s="146" t="n">
        <f aca="false">IF('HC by Program-Term'!$Y35="","—",SUM('HC by Program-Term'!J35:L35))</f>
        <v>237</v>
      </c>
      <c r="G35" s="146" t="n">
        <f aca="false">IF('HC by Program-Term'!$Y35="","—",SUM('HC by Program-Term'!M35:O35))</f>
        <v>180</v>
      </c>
      <c r="H35" s="146" t="n">
        <f aca="false">IF('HC by Program-Term'!$Y35="","—",SUM('HC by Program-Term'!P35:R35))</f>
        <v>171</v>
      </c>
      <c r="I35" s="146" t="n">
        <f aca="false">IF('HC by Program-Term'!$Y35="","—",SUM('HC by Program-Term'!S35:U35))</f>
        <v>200</v>
      </c>
      <c r="J35" s="146" t="n">
        <f aca="false">IF('HC by Program-Term'!$Y35="","—",'HC by Program-Term'!V35)</f>
        <v>77</v>
      </c>
      <c r="K35" s="147" t="n">
        <f aca="false">IF('HC by Program-Term'!$Y35="","—",SUM(C35:J35))</f>
        <v>1346</v>
      </c>
    </row>
    <row r="36" customFormat="false" ht="15" hidden="false" customHeight="true" outlineLevel="0" collapsed="false">
      <c r="A36" s="148" t="str">
        <f aca="false">'Program List'!A31</f>
        <v>M464</v>
      </c>
      <c r="B36" s="149" t="str">
        <f aca="false">'Program List'!B31</f>
        <v>Master of Science in Geospatial Technology</v>
      </c>
      <c r="C36" s="150" t="n">
        <f aca="false">IF('HC by Program-Term'!$Y36="","—",'HC by Program-Term'!C36)</f>
        <v>0</v>
      </c>
      <c r="D36" s="150" t="n">
        <f aca="false">IF('HC by Program-Term'!$Y36="","—",SUM('HC by Program-Term'!D36:F36))</f>
        <v>84</v>
      </c>
      <c r="E36" s="150" t="n">
        <f aca="false">IF('HC by Program-Term'!$Y36="","—",SUM('HC by Program-Term'!G36:I36))</f>
        <v>136</v>
      </c>
      <c r="F36" s="150" t="n">
        <f aca="false">IF('HC by Program-Term'!$Y36="","—",SUM('HC by Program-Term'!J36:L36))</f>
        <v>100</v>
      </c>
      <c r="G36" s="150" t="n">
        <f aca="false">IF('HC by Program-Term'!$Y36="","—",SUM('HC by Program-Term'!M36:O36))</f>
        <v>77</v>
      </c>
      <c r="H36" s="150" t="n">
        <f aca="false">IF('HC by Program-Term'!$Y36="","—",SUM('HC by Program-Term'!P36:R36))</f>
        <v>68</v>
      </c>
      <c r="I36" s="150" t="n">
        <f aca="false">IF('HC by Program-Term'!$Y36="","—",SUM('HC by Program-Term'!S36:U36))</f>
        <v>49</v>
      </c>
      <c r="J36" s="150" t="n">
        <f aca="false">IF('HC by Program-Term'!$Y36="","—",'HC by Program-Term'!V36)</f>
        <v>15</v>
      </c>
      <c r="K36" s="151" t="n">
        <f aca="false">IF('HC by Program-Term'!$Y36="","—",SUM(C36:J36))</f>
        <v>529</v>
      </c>
    </row>
    <row r="37" customFormat="false" ht="15" hidden="false" customHeight="true" outlineLevel="0" collapsed="false">
      <c r="A37" s="144" t="str">
        <f aca="false">'Program List'!A32</f>
        <v>M527</v>
      </c>
      <c r="B37" s="145" t="str">
        <f aca="false">'Program List'!B32</f>
        <v>Master of Science in Industrial and Systems Engineering</v>
      </c>
      <c r="C37" s="146" t="n">
        <f aca="false">IF('HC by Program-Term'!$Y37="","—",'HC by Program-Term'!C37)</f>
        <v>0</v>
      </c>
      <c r="D37" s="146" t="n">
        <f aca="false">IF('HC by Program-Term'!$Y37="","—",SUM('HC by Program-Term'!D37:F37))</f>
        <v>0</v>
      </c>
      <c r="E37" s="146" t="n">
        <f aca="false">IF('HC by Program-Term'!$Y37="","—",SUM('HC by Program-Term'!G37:I37))</f>
        <v>39</v>
      </c>
      <c r="F37" s="146" t="n">
        <f aca="false">IF('HC by Program-Term'!$Y37="","—",SUM('HC by Program-Term'!J37:L37))</f>
        <v>68</v>
      </c>
      <c r="G37" s="146" t="n">
        <f aca="false">IF('HC by Program-Term'!$Y37="","—",SUM('HC by Program-Term'!M37:O37))</f>
        <v>132</v>
      </c>
      <c r="H37" s="146" t="n">
        <f aca="false">IF('HC by Program-Term'!$Y37="","—",SUM('HC by Program-Term'!P37:R37))</f>
        <v>209</v>
      </c>
      <c r="I37" s="146" t="n">
        <f aca="false">IF('HC by Program-Term'!$Y37="","—",SUM('HC by Program-Term'!S37:U37))</f>
        <v>234</v>
      </c>
      <c r="J37" s="146" t="n">
        <f aca="false">IF('HC by Program-Term'!$Y37="","—",'HC by Program-Term'!V37)</f>
        <v>93</v>
      </c>
      <c r="K37" s="147" t="n">
        <f aca="false">IF('HC by Program-Term'!$Y37="","—",SUM(C37:J37))</f>
        <v>775</v>
      </c>
    </row>
    <row r="38" customFormat="false" ht="15" hidden="false" customHeight="true" outlineLevel="0" collapsed="false">
      <c r="A38" s="148" t="str">
        <f aca="false">'Program List'!A33</f>
        <v>M746</v>
      </c>
      <c r="B38" s="149" t="str">
        <f aca="false">'Program List'!B33</f>
        <v>Master of Science in Natural Gas Engineering and Management</v>
      </c>
      <c r="C38" s="150" t="n">
        <f aca="false">IF('HC by Program-Term'!$Y38="","—",'HC by Program-Term'!C38)</f>
        <v>3</v>
      </c>
      <c r="D38" s="150" t="n">
        <f aca="false">IF('HC by Program-Term'!$Y38="","—",SUM('HC by Program-Term'!D38:F38))</f>
        <v>29</v>
      </c>
      <c r="E38" s="150" t="n">
        <f aca="false">IF('HC by Program-Term'!$Y38="","—",SUM('HC by Program-Term'!G38:I38))</f>
        <v>61</v>
      </c>
      <c r="F38" s="150" t="n">
        <f aca="false">IF('HC by Program-Term'!$Y38="","—",SUM('HC by Program-Term'!J38:L38))</f>
        <v>75</v>
      </c>
      <c r="G38" s="150" t="n">
        <f aca="false">IF('HC by Program-Term'!$Y38="","—",SUM('HC by Program-Term'!M38:O38))</f>
        <v>122</v>
      </c>
      <c r="H38" s="150" t="n">
        <f aca="false">IF('HC by Program-Term'!$Y38="","—",SUM('HC by Program-Term'!P38:R38))</f>
        <v>139</v>
      </c>
      <c r="I38" s="150" t="n">
        <f aca="false">IF('HC by Program-Term'!$Y38="","—",SUM('HC by Program-Term'!S38:U38))</f>
        <v>151</v>
      </c>
      <c r="J38" s="150" t="n">
        <f aca="false">IF('HC by Program-Term'!$Y38="","—",'HC by Program-Term'!V38)</f>
        <v>59</v>
      </c>
      <c r="K38" s="151" t="n">
        <f aca="false">IF('HC by Program-Term'!$Y38="","—",SUM(C38:J38))</f>
        <v>639</v>
      </c>
    </row>
    <row r="39" customFormat="false" ht="15" hidden="false" customHeight="true" outlineLevel="0" collapsed="false">
      <c r="A39" s="144" t="str">
        <f aca="false">'Program List'!A34</f>
        <v>M861</v>
      </c>
      <c r="B39" s="145" t="str">
        <f aca="false">'Program List'!B34</f>
        <v>Master of Science in Supply Chain Management</v>
      </c>
      <c r="C39" s="146" t="n">
        <f aca="false">IF('HC by Program-Term'!$Y39="","—",'HC by Program-Term'!C39)</f>
        <v>0</v>
      </c>
      <c r="D39" s="146" t="n">
        <f aca="false">IF('HC by Program-Term'!$Y39="","—",SUM('HC by Program-Term'!D39:F39))</f>
        <v>0</v>
      </c>
      <c r="E39" s="146" t="n">
        <f aca="false">IF('HC by Program-Term'!$Y39="","—",SUM('HC by Program-Term'!G39:I39))</f>
        <v>0</v>
      </c>
      <c r="F39" s="146" t="n">
        <f aca="false">IF('HC by Program-Term'!$Y39="","—",SUM('HC by Program-Term'!J39:L39))</f>
        <v>64</v>
      </c>
      <c r="G39" s="146" t="n">
        <f aca="false">IF('HC by Program-Term'!$Y39="","—",SUM('HC by Program-Term'!M39:O39))</f>
        <v>186</v>
      </c>
      <c r="H39" s="146" t="n">
        <f aca="false">IF('HC by Program-Term'!$Y39="","—",SUM('HC by Program-Term'!P39:R39))</f>
        <v>170</v>
      </c>
      <c r="I39" s="146" t="n">
        <f aca="false">IF('HC by Program-Term'!$Y39="","—",SUM('HC by Program-Term'!S39:U39))</f>
        <v>206</v>
      </c>
      <c r="J39" s="146" t="n">
        <f aca="false">IF('HC by Program-Term'!$Y39="","—",'HC by Program-Term'!V39)</f>
        <v>80</v>
      </c>
      <c r="K39" s="147" t="n">
        <f aca="false">IF('HC by Program-Term'!$Y39="","—",SUM(C39:J39))</f>
        <v>706</v>
      </c>
    </row>
    <row r="40" customFormat="false" ht="15" hidden="false" customHeight="true" outlineLevel="0" collapsed="false">
      <c r="A40" s="148" t="str">
        <f aca="false">'Program List'!A35</f>
        <v>M869</v>
      </c>
      <c r="B40" s="149" t="str">
        <f aca="false">'Program List'!B35</f>
        <v>Master of Science in Sustainability - Energy and Materials Mgmt</v>
      </c>
      <c r="C40" s="150" t="n">
        <f aca="false">IF('HC by Program-Term'!$Y40="","—",'HC by Program-Term'!C40)</f>
        <v>0</v>
      </c>
      <c r="D40" s="150" t="n">
        <f aca="false">IF('HC by Program-Term'!$Y40="","—",SUM('HC by Program-Term'!D40:F40))</f>
        <v>0</v>
      </c>
      <c r="E40" s="150" t="n">
        <f aca="false">IF('HC by Program-Term'!$Y40="","—",SUM('HC by Program-Term'!G40:I40))</f>
        <v>0</v>
      </c>
      <c r="F40" s="150" t="n">
        <f aca="false">IF('HC by Program-Term'!$Y40="","—",SUM('HC by Program-Term'!J40:L40))</f>
        <v>0</v>
      </c>
      <c r="G40" s="150" t="n">
        <f aca="false">IF('HC by Program-Term'!$Y40="","—",SUM('HC by Program-Term'!M40:O40))</f>
        <v>54</v>
      </c>
      <c r="H40" s="150" t="n">
        <f aca="false">IF('HC by Program-Term'!$Y40="","—",SUM('HC by Program-Term'!P40:R40))</f>
        <v>155</v>
      </c>
      <c r="I40" s="150" t="n">
        <f aca="false">IF('HC by Program-Term'!$Y40="","—",SUM('HC by Program-Term'!S40:U40))</f>
        <v>164</v>
      </c>
      <c r="J40" s="150" t="n">
        <f aca="false">IF('HC by Program-Term'!$Y40="","—",'HC by Program-Term'!V40)</f>
        <v>40</v>
      </c>
      <c r="K40" s="151" t="n">
        <f aca="false">IF('HC by Program-Term'!$Y40="","—",SUM(C40:J40))</f>
        <v>413</v>
      </c>
    </row>
    <row r="41" customFormat="false" ht="15" hidden="false" customHeight="true" outlineLevel="0" collapsed="false">
      <c r="A41" s="144" t="str">
        <f aca="false">'Program List'!A36</f>
        <v>M867</v>
      </c>
      <c r="B41" s="145" t="str">
        <f aca="false">'Program List'!B36</f>
        <v>Master of Science in Sustainable Architecture</v>
      </c>
      <c r="C41" s="146" t="n">
        <f aca="false">IF('HC by Program-Term'!$Y41="","—",'HC by Program-Term'!C41)</f>
        <v>0</v>
      </c>
      <c r="D41" s="146" t="n">
        <f aca="false">IF('HC by Program-Term'!$Y41="","—",SUM('HC by Program-Term'!D41:F41))</f>
        <v>0</v>
      </c>
      <c r="E41" s="146" t="n">
        <f aca="false">IF('HC by Program-Term'!$Y41="","—",SUM('HC by Program-Term'!G41:I41))</f>
        <v>0</v>
      </c>
      <c r="F41" s="146" t="n">
        <f aca="false">IF('HC by Program-Term'!$Y41="","—",SUM('HC by Program-Term'!J41:L41))</f>
        <v>0</v>
      </c>
      <c r="G41" s="146" t="n">
        <f aca="false">IF('HC by Program-Term'!$Y41="","—",SUM('HC by Program-Term'!M41:O41))</f>
        <v>33</v>
      </c>
      <c r="H41" s="146" t="n">
        <f aca="false">IF('HC by Program-Term'!$Y41="","—",SUM('HC by Program-Term'!P41:R41))</f>
        <v>93</v>
      </c>
      <c r="I41" s="146" t="n">
        <f aca="false">IF('HC by Program-Term'!$Y41="","—",SUM('HC by Program-Term'!S41:U41))</f>
        <v>70</v>
      </c>
      <c r="J41" s="146" t="n">
        <f aca="false">IF('HC by Program-Term'!$Y41="","—",'HC by Program-Term'!V41)</f>
        <v>19</v>
      </c>
      <c r="K41" s="147" t="n">
        <f aca="false">IF('HC by Program-Term'!$Y41="","—",SUM(C41:J41))</f>
        <v>215</v>
      </c>
    </row>
    <row r="42" customFormat="false" ht="15" hidden="false" customHeight="true" outlineLevel="0" collapsed="false">
      <c r="A42" s="148" t="str">
        <f aca="false">'Program List'!A37</f>
        <v>M844</v>
      </c>
      <c r="B42" s="149" t="str">
        <f aca="false">'Program List'!B37</f>
        <v>Master of Social Work</v>
      </c>
      <c r="C42" s="150" t="n">
        <f aca="false">IF('HC by Program-Term'!$Y42="","—",'HC by Program-Term'!C42)</f>
        <v>0</v>
      </c>
      <c r="D42" s="150" t="n">
        <f aca="false">IF('HC by Program-Term'!$Y42="","—",SUM('HC by Program-Term'!D42:F42))</f>
        <v>378</v>
      </c>
      <c r="E42" s="150" t="n">
        <f aca="false">IF('HC by Program-Term'!$Y42="","—",SUM('HC by Program-Term'!G42:I42))</f>
        <v>902</v>
      </c>
      <c r="F42" s="150" t="n">
        <f aca="false">IF('HC by Program-Term'!$Y42="","—",SUM('HC by Program-Term'!J42:L42))</f>
        <v>1144</v>
      </c>
      <c r="G42" s="150" t="n">
        <f aca="false">IF('HC by Program-Term'!$Y42="","—",SUM('HC by Program-Term'!M42:O42))</f>
        <v>1210</v>
      </c>
      <c r="H42" s="150" t="n">
        <f aca="false">IF('HC by Program-Term'!$Y42="","—",SUM('HC by Program-Term'!P42:R42))</f>
        <v>1190</v>
      </c>
      <c r="I42" s="150" t="n">
        <f aca="false">IF('HC by Program-Term'!$Y42="","—",SUM('HC by Program-Term'!S42:U42))</f>
        <v>1316</v>
      </c>
      <c r="J42" s="150" t="n">
        <f aca="false">IF('HC by Program-Term'!$Y42="","—",'HC by Program-Term'!V42)</f>
        <v>468</v>
      </c>
      <c r="K42" s="151" t="n">
        <f aca="false">IF('HC by Program-Term'!$Y42="","—",SUM(C42:J42))</f>
        <v>6608</v>
      </c>
    </row>
    <row r="43" customFormat="false" ht="15" hidden="false" customHeight="true" outlineLevel="0" collapsed="false">
      <c r="A43" s="144" t="str">
        <f aca="false">'Program List'!A38</f>
        <v>1237Q</v>
      </c>
      <c r="B43" s="145" t="str">
        <f aca="false">'Program List'!B38</f>
        <v>Masters in Public Health</v>
      </c>
      <c r="C43" s="146" t="str">
        <f aca="false">IF('HC by Program-Term'!$Y43="","—",'HC by Program-Term'!C43)</f>
        <v>—</v>
      </c>
      <c r="D43" s="146" t="str">
        <f aca="false">IF('HC by Program-Term'!$Y43="","—",SUM('HC by Program-Term'!D43:F43))</f>
        <v>—</v>
      </c>
      <c r="E43" s="146" t="str">
        <f aca="false">IF('HC by Program-Term'!$Y43="","—",SUM('HC by Program-Term'!G43:I43))</f>
        <v>—</v>
      </c>
      <c r="F43" s="146" t="str">
        <f aca="false">IF('HC by Program-Term'!$Y43="","—",SUM('HC by Program-Term'!J43:L43))</f>
        <v>—</v>
      </c>
      <c r="G43" s="146" t="str">
        <f aca="false">IF('HC by Program-Term'!$Y43="","—",SUM('HC by Program-Term'!M43:O43))</f>
        <v>—</v>
      </c>
      <c r="H43" s="146" t="str">
        <f aca="false">IF('HC by Program-Term'!$Y43="","—",SUM('HC by Program-Term'!P43:R43))</f>
        <v>—</v>
      </c>
      <c r="I43" s="146" t="str">
        <f aca="false">IF('HC by Program-Term'!$Y43="","—",SUM('HC by Program-Term'!S43:U43))</f>
        <v>—</v>
      </c>
      <c r="J43" s="146" t="str">
        <f aca="false">IF('HC by Program-Term'!$Y43="","—",'HC by Program-Term'!V43)</f>
        <v>—</v>
      </c>
      <c r="K43" s="147" t="str">
        <f aca="false">IF('HC by Program-Term'!$Y43="","—",SUM(C43:J43))</f>
        <v>—</v>
      </c>
    </row>
    <row r="44" customFormat="false" ht="15" hidden="false" customHeight="true" outlineLevel="0" collapsed="false">
      <c r="A44" s="148" t="str">
        <f aca="false">'Program List'!A39</f>
        <v>M355</v>
      </c>
      <c r="B44" s="149" t="str">
        <f aca="false">'Program List'!B39</f>
        <v>Online LL.M. Energy and Natural Resources</v>
      </c>
      <c r="C44" s="150" t="n">
        <f aca="false">IF('HC by Program-Term'!$Y44="","—",'HC by Program-Term'!C44)</f>
        <v>0</v>
      </c>
      <c r="D44" s="150" t="n">
        <f aca="false">IF('HC by Program-Term'!$Y44="","—",SUM('HC by Program-Term'!D44:F44))</f>
        <v>0</v>
      </c>
      <c r="E44" s="150" t="n">
        <f aca="false">IF('HC by Program-Term'!$Y44="","—",SUM('HC by Program-Term'!G44:I44))</f>
        <v>5</v>
      </c>
      <c r="F44" s="150" t="n">
        <f aca="false">IF('HC by Program-Term'!$Y44="","—",SUM('HC by Program-Term'!J44:L44))</f>
        <v>2</v>
      </c>
      <c r="G44" s="150" t="n">
        <f aca="false">IF('HC by Program-Term'!$Y44="","—",SUM('HC by Program-Term'!M44:O44))</f>
        <v>10</v>
      </c>
      <c r="H44" s="150" t="n">
        <f aca="false">IF('HC by Program-Term'!$Y44="","—",SUM('HC by Program-Term'!P44:R44))</f>
        <v>13</v>
      </c>
      <c r="I44" s="150" t="n">
        <f aca="false">IF('HC by Program-Term'!$Y44="","—",SUM('HC by Program-Term'!S44:U44))</f>
        <v>8</v>
      </c>
      <c r="J44" s="150" t="n">
        <f aca="false">IF('HC by Program-Term'!$Y44="","—",'HC by Program-Term'!V44)</f>
        <v>2</v>
      </c>
      <c r="K44" s="151" t="n">
        <f aca="false">IF('HC by Program-Term'!$Y44="","—",SUM(C44:J44))</f>
        <v>40</v>
      </c>
    </row>
    <row r="45" customFormat="false" ht="15" hidden="false" customHeight="true" outlineLevel="0" collapsed="false">
      <c r="A45" s="144" t="str">
        <f aca="false">'Program List'!A40</f>
        <v>M504</v>
      </c>
      <c r="B45" s="145" t="str">
        <f aca="false">'Program List'!B40</f>
        <v>Online LL.M. Healthcare Law</v>
      </c>
      <c r="C45" s="146" t="n">
        <f aca="false">IF('HC by Program-Term'!$Y45="","—",'HC by Program-Term'!C45)</f>
        <v>0</v>
      </c>
      <c r="D45" s="146" t="n">
        <f aca="false">IF('HC by Program-Term'!$Y45="","—",SUM('HC by Program-Term'!D45:F45))</f>
        <v>1</v>
      </c>
      <c r="E45" s="146" t="n">
        <f aca="false">IF('HC by Program-Term'!$Y45="","—",SUM('HC by Program-Term'!G45:I45))</f>
        <v>5</v>
      </c>
      <c r="F45" s="146" t="n">
        <f aca="false">IF('HC by Program-Term'!$Y45="","—",SUM('HC by Program-Term'!J45:L45))</f>
        <v>5</v>
      </c>
      <c r="G45" s="146" t="n">
        <f aca="false">IF('HC by Program-Term'!$Y45="","—",SUM('HC by Program-Term'!M45:O45))</f>
        <v>9</v>
      </c>
      <c r="H45" s="146" t="n">
        <f aca="false">IF('HC by Program-Term'!$Y45="","—",SUM('HC by Program-Term'!P45:R45))</f>
        <v>5</v>
      </c>
      <c r="I45" s="146" t="n">
        <f aca="false">IF('HC by Program-Term'!$Y45="","—",SUM('HC by Program-Term'!S45:U45))</f>
        <v>9</v>
      </c>
      <c r="J45" s="146" t="n">
        <f aca="false">IF('HC by Program-Term'!$Y45="","—",'HC by Program-Term'!V45)</f>
        <v>3</v>
      </c>
      <c r="K45" s="147" t="n">
        <f aca="false">IF('HC by Program-Term'!$Y45="","—",SUM(C45:J45))</f>
        <v>37</v>
      </c>
    </row>
    <row r="46" customFormat="false" ht="15" hidden="false" customHeight="true" outlineLevel="0" collapsed="false">
      <c r="A46" s="148" t="str">
        <f aca="false">'Program List'!A41</f>
        <v>M526</v>
      </c>
      <c r="B46" s="149" t="str">
        <f aca="false">'Program List'!B41</f>
        <v>Online LL.M. Indigenous Peoples Law</v>
      </c>
      <c r="C46" s="150" t="n">
        <f aca="false">IF('HC by Program-Term'!$Y46="","—",'HC by Program-Term'!C46)</f>
        <v>0</v>
      </c>
      <c r="D46" s="150" t="n">
        <f aca="false">IF('HC by Program-Term'!$Y46="","—",SUM('HC by Program-Term'!D46:F46))</f>
        <v>8</v>
      </c>
      <c r="E46" s="150" t="n">
        <f aca="false">IF('HC by Program-Term'!$Y46="","—",SUM('HC by Program-Term'!G46:I46))</f>
        <v>11</v>
      </c>
      <c r="F46" s="150" t="n">
        <f aca="false">IF('HC by Program-Term'!$Y46="","—",SUM('HC by Program-Term'!J46:L46))</f>
        <v>15</v>
      </c>
      <c r="G46" s="150" t="n">
        <f aca="false">IF('HC by Program-Term'!$Y46="","—",SUM('HC by Program-Term'!M46:O46))</f>
        <v>14</v>
      </c>
      <c r="H46" s="150" t="n">
        <f aca="false">IF('HC by Program-Term'!$Y46="","—",SUM('HC by Program-Term'!P46:R46))</f>
        <v>27</v>
      </c>
      <c r="I46" s="150" t="n">
        <f aca="false">IF('HC by Program-Term'!$Y46="","—",SUM('HC by Program-Term'!S46:U46))</f>
        <v>12</v>
      </c>
      <c r="J46" s="150" t="n">
        <f aca="false">IF('HC by Program-Term'!$Y46="","—",'HC by Program-Term'!V46)</f>
        <v>1</v>
      </c>
      <c r="K46" s="151" t="n">
        <f aca="false">IF('HC by Program-Term'!$Y46="","—",SUM(C46:J46))</f>
        <v>88</v>
      </c>
    </row>
    <row r="47" customFormat="false" ht="15" hidden="false" customHeight="true" outlineLevel="0" collapsed="false">
      <c r="A47" s="144" t="str">
        <f aca="false">'Program List'!A42</f>
        <v>M592</v>
      </c>
      <c r="B47" s="145" t="str">
        <f aca="false">'Program List'!B42</f>
        <v>Online LL.M. International Business</v>
      </c>
      <c r="C47" s="146" t="n">
        <f aca="false">IF('HC by Program-Term'!$Y47="","—",'HC by Program-Term'!C47)</f>
        <v>0</v>
      </c>
      <c r="D47" s="146" t="n">
        <f aca="false">IF('HC by Program-Term'!$Y47="","—",SUM('HC by Program-Term'!D47:F47))</f>
        <v>0</v>
      </c>
      <c r="E47" s="146" t="n">
        <f aca="false">IF('HC by Program-Term'!$Y47="","—",SUM('HC by Program-Term'!G47:I47))</f>
        <v>0</v>
      </c>
      <c r="F47" s="146" t="n">
        <f aca="false">IF('HC by Program-Term'!$Y47="","—",SUM('HC by Program-Term'!J47:L47))</f>
        <v>2</v>
      </c>
      <c r="G47" s="146" t="n">
        <f aca="false">IF('HC by Program-Term'!$Y47="","—",SUM('HC by Program-Term'!M47:O47))</f>
        <v>3</v>
      </c>
      <c r="H47" s="146" t="n">
        <f aca="false">IF('HC by Program-Term'!$Y47="","—",SUM('HC by Program-Term'!P47:R47))</f>
        <v>0</v>
      </c>
      <c r="I47" s="146" t="n">
        <f aca="false">IF('HC by Program-Term'!$Y47="","—",SUM('HC by Program-Term'!S47:U47))</f>
        <v>9</v>
      </c>
      <c r="J47" s="146" t="n">
        <f aca="false">IF('HC by Program-Term'!$Y47="","—",'HC by Program-Term'!V47)</f>
        <v>2</v>
      </c>
      <c r="K47" s="147" t="n">
        <f aca="false">IF('HC by Program-Term'!$Y47="","—",SUM(C47:J47))</f>
        <v>16</v>
      </c>
    </row>
    <row r="48" customFormat="false" ht="15" hidden="false" customHeight="true" outlineLevel="0" collapsed="false">
      <c r="A48" s="87"/>
      <c r="B48" s="152" t="s">
        <v>700</v>
      </c>
      <c r="C48" s="153" t="n">
        <f aca="false">SUM(C7:C47)</f>
        <v>111</v>
      </c>
      <c r="D48" s="153" t="n">
        <f aca="false">SUM(D7:D47)</f>
        <v>2552</v>
      </c>
      <c r="E48" s="153" t="n">
        <f aca="false">SUM(E7:E47)</f>
        <v>5115</v>
      </c>
      <c r="F48" s="153" t="n">
        <f aca="false">SUM(F7:F47)</f>
        <v>6192</v>
      </c>
      <c r="G48" s="153" t="n">
        <f aca="false">SUM(G7:G47)</f>
        <v>7353</v>
      </c>
      <c r="H48" s="153" t="n">
        <f aca="false">SUM(H7:H47)</f>
        <v>7597</v>
      </c>
      <c r="I48" s="153" t="n">
        <f aca="false">SUM(I7:I47)</f>
        <v>7348</v>
      </c>
      <c r="J48" s="153" t="n">
        <f aca="false">SUM(J7:J47)</f>
        <v>2482</v>
      </c>
      <c r="K48" s="153" t="n">
        <f aca="false">SUM(K7:K47)</f>
        <v>38750</v>
      </c>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22" min="3" style="0" width="10"/>
    <col collapsed="false" customWidth="true" hidden="false" outlineLevel="0" max="23" min="23" style="0" width="13"/>
    <col collapsed="false" customWidth="true" hidden="false" outlineLevel="0" max="24" min="24" style="0" width="3"/>
    <col collapsed="false" customWidth="true" hidden="false" outlineLevel="0" max="25" min="25" style="0" width="8"/>
  </cols>
  <sheetData>
    <row r="1" customFormat="false" ht="17.25" hidden="false" customHeight="true" outlineLevel="0" collapsed="false">
      <c r="A1" s="139" t="s">
        <v>701</v>
      </c>
    </row>
    <row r="2" customFormat="false" ht="42" hidden="false" customHeight="true" outlineLevel="0" collapsed="false">
      <c r="A2" s="140" t="s">
        <v>702</v>
      </c>
      <c r="B2" s="140"/>
      <c r="C2" s="140"/>
      <c r="D2" s="140"/>
      <c r="E2" s="140"/>
      <c r="F2" s="140"/>
      <c r="G2" s="140"/>
      <c r="H2" s="140"/>
      <c r="I2" s="140"/>
      <c r="J2" s="140"/>
      <c r="K2" s="140"/>
      <c r="L2" s="140"/>
      <c r="M2" s="140"/>
      <c r="N2" s="140"/>
      <c r="O2" s="140"/>
      <c r="P2" s="140"/>
      <c r="Q2" s="140"/>
      <c r="R2" s="140"/>
      <c r="S2" s="140"/>
      <c r="T2" s="140"/>
      <c r="U2" s="140"/>
      <c r="V2" s="140"/>
    </row>
    <row r="5" customFormat="false" ht="30" hidden="false" customHeight="true" outlineLevel="0" collapsed="false">
      <c r="A5" s="141" t="s">
        <v>699</v>
      </c>
      <c r="B5" s="142" t="s">
        <v>134</v>
      </c>
      <c r="C5" s="141" t="s">
        <v>703</v>
      </c>
      <c r="D5" s="141" t="s">
        <v>704</v>
      </c>
      <c r="E5" s="141" t="s">
        <v>705</v>
      </c>
      <c r="F5" s="141" t="s">
        <v>706</v>
      </c>
      <c r="G5" s="141" t="s">
        <v>707</v>
      </c>
      <c r="H5" s="141" t="s">
        <v>708</v>
      </c>
      <c r="I5" s="141" t="s">
        <v>709</v>
      </c>
      <c r="J5" s="141" t="s">
        <v>710</v>
      </c>
      <c r="K5" s="141" t="s">
        <v>711</v>
      </c>
      <c r="L5" s="141" t="s">
        <v>712</v>
      </c>
      <c r="M5" s="141" t="s">
        <v>713</v>
      </c>
      <c r="N5" s="141" t="s">
        <v>714</v>
      </c>
      <c r="O5" s="141" t="s">
        <v>715</v>
      </c>
      <c r="P5" s="141" t="s">
        <v>716</v>
      </c>
      <c r="Q5" s="141" t="s">
        <v>717</v>
      </c>
      <c r="R5" s="141" t="s">
        <v>718</v>
      </c>
      <c r="S5" s="141" t="s">
        <v>719</v>
      </c>
      <c r="T5" s="141" t="s">
        <v>720</v>
      </c>
      <c r="U5" s="141" t="s">
        <v>721</v>
      </c>
      <c r="V5" s="141" t="s">
        <v>722</v>
      </c>
      <c r="W5" s="141" t="s">
        <v>723</v>
      </c>
      <c r="Y5" s="154" t="s">
        <v>724</v>
      </c>
    </row>
    <row r="6" customFormat="false" ht="15" hidden="false" customHeight="true" outlineLevel="0" collapsed="false">
      <c r="A6" s="155"/>
      <c r="B6" s="155"/>
      <c r="C6" s="156" t="n">
        <v>201930</v>
      </c>
      <c r="D6" s="156" t="n">
        <v>202010</v>
      </c>
      <c r="E6" s="156" t="n">
        <v>202020</v>
      </c>
      <c r="F6" s="156" t="n">
        <v>202030</v>
      </c>
      <c r="G6" s="156" t="n">
        <v>202110</v>
      </c>
      <c r="H6" s="156" t="n">
        <v>202120</v>
      </c>
      <c r="I6" s="156" t="n">
        <v>202130</v>
      </c>
      <c r="J6" s="156" t="n">
        <v>202210</v>
      </c>
      <c r="K6" s="156" t="n">
        <v>202220</v>
      </c>
      <c r="L6" s="156" t="n">
        <v>202230</v>
      </c>
      <c r="M6" s="156" t="n">
        <v>202310</v>
      </c>
      <c r="N6" s="156" t="n">
        <v>202320</v>
      </c>
      <c r="O6" s="156" t="n">
        <v>202330</v>
      </c>
      <c r="P6" s="156" t="n">
        <v>202410</v>
      </c>
      <c r="Q6" s="156" t="n">
        <v>202420</v>
      </c>
      <c r="R6" s="156" t="n">
        <v>202430</v>
      </c>
      <c r="S6" s="156" t="n">
        <v>202510</v>
      </c>
      <c r="T6" s="156" t="n">
        <v>202520</v>
      </c>
      <c r="U6" s="156" t="n">
        <v>202530</v>
      </c>
      <c r="V6" s="156" t="n">
        <v>202610</v>
      </c>
      <c r="W6" s="157"/>
    </row>
    <row r="7" customFormat="false" ht="15" hidden="false" customHeight="true" outlineLevel="0" collapsed="false">
      <c r="A7" s="144" t="str">
        <f aca="false">'Program List'!A2</f>
        <v>1550C</v>
      </c>
      <c r="B7" s="145" t="str">
        <f aca="false">'Program List'!B2</f>
        <v>Certificate in Population Health</v>
      </c>
      <c r="C7" s="146" t="str">
        <f aca="false">IF($Y7="","—",INDEX('Program LTR Retention'!B:B,$Y7))</f>
        <v>—</v>
      </c>
      <c r="D7" s="146" t="str">
        <f aca="false">IF($Y7="","—",INDEX('Program LTR Retention'!C:C,$Y7))</f>
        <v>—</v>
      </c>
      <c r="E7" s="146" t="str">
        <f aca="false">IF($Y7="","—",INDEX('Program LTR Retention'!D:D,$Y7))</f>
        <v>—</v>
      </c>
      <c r="F7" s="146" t="str">
        <f aca="false">IF($Y7="","—",INDEX('Program LTR Retention'!E:E,$Y7))</f>
        <v>—</v>
      </c>
      <c r="G7" s="146" t="str">
        <f aca="false">IF($Y7="","—",INDEX('Program LTR Retention'!F:F,$Y7))</f>
        <v>—</v>
      </c>
      <c r="H7" s="146" t="str">
        <f aca="false">IF($Y7="","—",INDEX('Program LTR Retention'!G:G,$Y7))</f>
        <v>—</v>
      </c>
      <c r="I7" s="146" t="str">
        <f aca="false">IF($Y7="","—",INDEX('Program LTR Retention'!H:H,$Y7))</f>
        <v>—</v>
      </c>
      <c r="J7" s="146" t="str">
        <f aca="false">IF($Y7="","—",INDEX('Program LTR Retention'!I:I,$Y7))</f>
        <v>—</v>
      </c>
      <c r="K7" s="146" t="str">
        <f aca="false">IF($Y7="","—",INDEX('Program LTR Retention'!J:J,$Y7))</f>
        <v>—</v>
      </c>
      <c r="L7" s="146" t="str">
        <f aca="false">IF($Y7="","—",INDEX('Program LTR Retention'!K:K,$Y7))</f>
        <v>—</v>
      </c>
      <c r="M7" s="146" t="str">
        <f aca="false">IF($Y7="","—",INDEX('Program LTR Retention'!L:L,$Y7))</f>
        <v>—</v>
      </c>
      <c r="N7" s="146" t="str">
        <f aca="false">IF($Y7="","—",INDEX('Program LTR Retention'!M:M,$Y7))</f>
        <v>—</v>
      </c>
      <c r="O7" s="146" t="str">
        <f aca="false">IF($Y7="","—",INDEX('Program LTR Retention'!N:N,$Y7))</f>
        <v>—</v>
      </c>
      <c r="P7" s="146" t="str">
        <f aca="false">IF($Y7="","—",INDEX('Program LTR Retention'!O:O,$Y7))</f>
        <v>—</v>
      </c>
      <c r="Q7" s="146" t="str">
        <f aca="false">IF($Y7="","—",INDEX('Program LTR Retention'!P:P,$Y7))</f>
        <v>—</v>
      </c>
      <c r="R7" s="146" t="str">
        <f aca="false">IF($Y7="","—",INDEX('Program LTR Retention'!Q:Q,$Y7))</f>
        <v>—</v>
      </c>
      <c r="S7" s="146" t="str">
        <f aca="false">IF($Y7="","—",INDEX('Program LTR Retention'!R:R,$Y7))</f>
        <v>—</v>
      </c>
      <c r="T7" s="146" t="str">
        <f aca="false">IF($Y7="","—",INDEX('Program LTR Retention'!S:S,$Y7))</f>
        <v>—</v>
      </c>
      <c r="U7" s="146" t="str">
        <f aca="false">IF($Y7="","—",INDEX('Program LTR Retention'!T:T,$Y7))</f>
        <v>—</v>
      </c>
      <c r="V7" s="146" t="str">
        <f aca="false">IF($Y7="","—",INDEX('Program LTR Retention'!U:U,$Y7))</f>
        <v>—</v>
      </c>
      <c r="W7" s="147" t="str">
        <f aca="false">IF($Y7="","—",SUM(C7:V7))</f>
        <v>—</v>
      </c>
      <c r="Y7" s="158"/>
    </row>
    <row r="8" customFormat="false" ht="15" hidden="false" customHeight="true" outlineLevel="0" collapsed="false">
      <c r="A8" s="148" t="str">
        <f aca="false">'Program List'!A3</f>
        <v>D318</v>
      </c>
      <c r="B8" s="149" t="str">
        <f aca="false">'Program List'!B3</f>
        <v>Ed.D. in Education Administration</v>
      </c>
      <c r="C8" s="150" t="str">
        <f aca="false">IF($Y8="","—",INDEX('Program LTR Retention'!B:B,$Y8))</f>
        <v>—</v>
      </c>
      <c r="D8" s="150" t="str">
        <f aca="false">IF($Y8="","—",INDEX('Program LTR Retention'!C:C,$Y8))</f>
        <v>—</v>
      </c>
      <c r="E8" s="150" t="str">
        <f aca="false">IF($Y8="","—",INDEX('Program LTR Retention'!D:D,$Y8))</f>
        <v>—</v>
      </c>
      <c r="F8" s="150" t="str">
        <f aca="false">IF($Y8="","—",INDEX('Program LTR Retention'!E:E,$Y8))</f>
        <v>—</v>
      </c>
      <c r="G8" s="150" t="str">
        <f aca="false">IF($Y8="","—",INDEX('Program LTR Retention'!F:F,$Y8))</f>
        <v>—</v>
      </c>
      <c r="H8" s="150" t="str">
        <f aca="false">IF($Y8="","—",INDEX('Program LTR Retention'!G:G,$Y8))</f>
        <v>—</v>
      </c>
      <c r="I8" s="150" t="str">
        <f aca="false">IF($Y8="","—",INDEX('Program LTR Retention'!H:H,$Y8))</f>
        <v>—</v>
      </c>
      <c r="J8" s="150" t="str">
        <f aca="false">IF($Y8="","—",INDEX('Program LTR Retention'!I:I,$Y8))</f>
        <v>—</v>
      </c>
      <c r="K8" s="150" t="str">
        <f aca="false">IF($Y8="","—",INDEX('Program LTR Retention'!J:J,$Y8))</f>
        <v>—</v>
      </c>
      <c r="L8" s="150" t="str">
        <f aca="false">IF($Y8="","—",INDEX('Program LTR Retention'!K:K,$Y8))</f>
        <v>—</v>
      </c>
      <c r="M8" s="150" t="str">
        <f aca="false">IF($Y8="","—",INDEX('Program LTR Retention'!L:L,$Y8))</f>
        <v>—</v>
      </c>
      <c r="N8" s="150" t="str">
        <f aca="false">IF($Y8="","—",INDEX('Program LTR Retention'!M:M,$Y8))</f>
        <v>—</v>
      </c>
      <c r="O8" s="150" t="str">
        <f aca="false">IF($Y8="","—",INDEX('Program LTR Retention'!N:N,$Y8))</f>
        <v>—</v>
      </c>
      <c r="P8" s="150" t="str">
        <f aca="false">IF($Y8="","—",INDEX('Program LTR Retention'!O:O,$Y8))</f>
        <v>—</v>
      </c>
      <c r="Q8" s="150" t="str">
        <f aca="false">IF($Y8="","—",INDEX('Program LTR Retention'!P:P,$Y8))</f>
        <v>—</v>
      </c>
      <c r="R8" s="150" t="str">
        <f aca="false">IF($Y8="","—",INDEX('Program LTR Retention'!Q:Q,$Y8))</f>
        <v>—</v>
      </c>
      <c r="S8" s="150" t="str">
        <f aca="false">IF($Y8="","—",INDEX('Program LTR Retention'!R:R,$Y8))</f>
        <v>—</v>
      </c>
      <c r="T8" s="150" t="str">
        <f aca="false">IF($Y8="","—",INDEX('Program LTR Retention'!S:S,$Y8))</f>
        <v>—</v>
      </c>
      <c r="U8" s="150" t="str">
        <f aca="false">IF($Y8="","—",INDEX('Program LTR Retention'!T:T,$Y8))</f>
        <v>—</v>
      </c>
      <c r="V8" s="150" t="str">
        <f aca="false">IF($Y8="","—",INDEX('Program LTR Retention'!U:U,$Y8))</f>
        <v>—</v>
      </c>
      <c r="W8" s="151" t="str">
        <f aca="false">IF($Y8="","—",SUM(C8:V8))</f>
        <v>—</v>
      </c>
      <c r="Y8" s="158"/>
    </row>
    <row r="9" customFormat="false" ht="15" hidden="false" customHeight="true" outlineLevel="0" collapsed="false">
      <c r="A9" s="144" t="str">
        <f aca="false">'Program List'!A4</f>
        <v>M366</v>
      </c>
      <c r="B9" s="145" t="str">
        <f aca="false">'Program List'!B4</f>
        <v>Executive MBA in Energy</v>
      </c>
      <c r="C9" s="146" t="n">
        <f aca="false">IF($Y9="","—",INDEX('Program LTR Retention'!B:B,$Y9))</f>
        <v>0</v>
      </c>
      <c r="D9" s="146" t="n">
        <f aca="false">IF($Y9="","—",INDEX('Program LTR Retention'!C:C,$Y9))</f>
        <v>17</v>
      </c>
      <c r="E9" s="146" t="n">
        <f aca="false">IF($Y9="","—",INDEX('Program LTR Retention'!D:D,$Y9))</f>
        <v>27</v>
      </c>
      <c r="F9" s="146" t="n">
        <f aca="false">IF($Y9="","—",INDEX('Program LTR Retention'!E:E,$Y9))</f>
        <v>38</v>
      </c>
      <c r="G9" s="146" t="n">
        <f aca="false">IF($Y9="","—",INDEX('Program LTR Retention'!F:F,$Y9))</f>
        <v>47</v>
      </c>
      <c r="H9" s="146" t="n">
        <f aca="false">IF($Y9="","—",INDEX('Program LTR Retention'!G:G,$Y9))</f>
        <v>29</v>
      </c>
      <c r="I9" s="146" t="n">
        <f aca="false">IF($Y9="","—",INDEX('Program LTR Retention'!H:H,$Y9))</f>
        <v>39</v>
      </c>
      <c r="J9" s="146" t="n">
        <f aca="false">IF($Y9="","—",INDEX('Program LTR Retention'!I:I,$Y9))</f>
        <v>55</v>
      </c>
      <c r="K9" s="146" t="n">
        <f aca="false">IF($Y9="","—",INDEX('Program LTR Retention'!J:J,$Y9))</f>
        <v>46</v>
      </c>
      <c r="L9" s="146" t="n">
        <f aca="false">IF($Y9="","—",INDEX('Program LTR Retention'!K:K,$Y9))</f>
        <v>49</v>
      </c>
      <c r="M9" s="146" t="n">
        <f aca="false">IF($Y9="","—",INDEX('Program LTR Retention'!L:L,$Y9))</f>
        <v>63</v>
      </c>
      <c r="N9" s="146" t="n">
        <f aca="false">IF($Y9="","—",INDEX('Program LTR Retention'!M:M,$Y9))</f>
        <v>44</v>
      </c>
      <c r="O9" s="146" t="n">
        <f aca="false">IF($Y9="","—",INDEX('Program LTR Retention'!N:N,$Y9))</f>
        <v>40</v>
      </c>
      <c r="P9" s="146" t="n">
        <f aca="false">IF($Y9="","—",INDEX('Program LTR Retention'!O:O,$Y9))</f>
        <v>52</v>
      </c>
      <c r="Q9" s="146" t="n">
        <f aca="false">IF($Y9="","—",INDEX('Program LTR Retention'!P:P,$Y9))</f>
        <v>39</v>
      </c>
      <c r="R9" s="146" t="n">
        <f aca="false">IF($Y9="","—",INDEX('Program LTR Retention'!Q:Q,$Y9))</f>
        <v>32</v>
      </c>
      <c r="S9" s="146" t="n">
        <f aca="false">IF($Y9="","—",INDEX('Program LTR Retention'!R:R,$Y9))</f>
        <v>39</v>
      </c>
      <c r="T9" s="146" t="n">
        <f aca="false">IF($Y9="","—",INDEX('Program LTR Retention'!S:S,$Y9))</f>
        <v>29</v>
      </c>
      <c r="U9" s="146" t="n">
        <f aca="false">IF($Y9="","—",INDEX('Program LTR Retention'!T:T,$Y9))</f>
        <v>20</v>
      </c>
      <c r="V9" s="146" t="n">
        <f aca="false">IF($Y9="","—",INDEX('Program LTR Retention'!U:U,$Y9))</f>
        <v>21</v>
      </c>
      <c r="W9" s="147" t="n">
        <f aca="false">IF($Y9="","—",SUM(C9:V9))</f>
        <v>726</v>
      </c>
      <c r="Y9" s="158" t="n">
        <v>26</v>
      </c>
    </row>
    <row r="10" customFormat="false" ht="15" hidden="false" customHeight="true" outlineLevel="0" collapsed="false">
      <c r="A10" s="148" t="str">
        <f aca="false">'Program List'!A5</f>
        <v>1231EX</v>
      </c>
      <c r="B10" s="149" t="str">
        <f aca="false">'Program List'!B5</f>
        <v>Executive Masters in Health Administration</v>
      </c>
      <c r="C10" s="150" t="str">
        <f aca="false">IF($Y10="","—",INDEX('Program LTR Retention'!B:B,$Y10))</f>
        <v>—</v>
      </c>
      <c r="D10" s="150" t="str">
        <f aca="false">IF($Y10="","—",INDEX('Program LTR Retention'!C:C,$Y10))</f>
        <v>—</v>
      </c>
      <c r="E10" s="150" t="str">
        <f aca="false">IF($Y10="","—",INDEX('Program LTR Retention'!D:D,$Y10))</f>
        <v>—</v>
      </c>
      <c r="F10" s="150" t="str">
        <f aca="false">IF($Y10="","—",INDEX('Program LTR Retention'!E:E,$Y10))</f>
        <v>—</v>
      </c>
      <c r="G10" s="150" t="str">
        <f aca="false">IF($Y10="","—",INDEX('Program LTR Retention'!F:F,$Y10))</f>
        <v>—</v>
      </c>
      <c r="H10" s="150" t="str">
        <f aca="false">IF($Y10="","—",INDEX('Program LTR Retention'!G:G,$Y10))</f>
        <v>—</v>
      </c>
      <c r="I10" s="150" t="str">
        <f aca="false">IF($Y10="","—",INDEX('Program LTR Retention'!H:H,$Y10))</f>
        <v>—</v>
      </c>
      <c r="J10" s="150" t="str">
        <f aca="false">IF($Y10="","—",INDEX('Program LTR Retention'!I:I,$Y10))</f>
        <v>—</v>
      </c>
      <c r="K10" s="150" t="str">
        <f aca="false">IF($Y10="","—",INDEX('Program LTR Retention'!J:J,$Y10))</f>
        <v>—</v>
      </c>
      <c r="L10" s="150" t="str">
        <f aca="false">IF($Y10="","—",INDEX('Program LTR Retention'!K:K,$Y10))</f>
        <v>—</v>
      </c>
      <c r="M10" s="150" t="str">
        <f aca="false">IF($Y10="","—",INDEX('Program LTR Retention'!L:L,$Y10))</f>
        <v>—</v>
      </c>
      <c r="N10" s="150" t="str">
        <f aca="false">IF($Y10="","—",INDEX('Program LTR Retention'!M:M,$Y10))</f>
        <v>—</v>
      </c>
      <c r="O10" s="150" t="str">
        <f aca="false">IF($Y10="","—",INDEX('Program LTR Retention'!N:N,$Y10))</f>
        <v>—</v>
      </c>
      <c r="P10" s="150" t="str">
        <f aca="false">IF($Y10="","—",INDEX('Program LTR Retention'!O:O,$Y10))</f>
        <v>—</v>
      </c>
      <c r="Q10" s="150" t="str">
        <f aca="false">IF($Y10="","—",INDEX('Program LTR Retention'!P:P,$Y10))</f>
        <v>—</v>
      </c>
      <c r="R10" s="150" t="str">
        <f aca="false">IF($Y10="","—",INDEX('Program LTR Retention'!Q:Q,$Y10))</f>
        <v>—</v>
      </c>
      <c r="S10" s="150" t="str">
        <f aca="false">IF($Y10="","—",INDEX('Program LTR Retention'!R:R,$Y10))</f>
        <v>—</v>
      </c>
      <c r="T10" s="150" t="str">
        <f aca="false">IF($Y10="","—",INDEX('Program LTR Retention'!S:S,$Y10))</f>
        <v>—</v>
      </c>
      <c r="U10" s="150" t="str">
        <f aca="false">IF($Y10="","—",INDEX('Program LTR Retention'!T:T,$Y10))</f>
        <v>—</v>
      </c>
      <c r="V10" s="150" t="str">
        <f aca="false">IF($Y10="","—",INDEX('Program LTR Retention'!U:U,$Y10))</f>
        <v>—</v>
      </c>
      <c r="W10" s="151" t="str">
        <f aca="false">IF($Y10="","—",SUM(C10:V10))</f>
        <v>—</v>
      </c>
      <c r="Y10" s="158"/>
    </row>
    <row r="11" customFormat="false" ht="15" hidden="false" customHeight="true" outlineLevel="0" collapsed="false">
      <c r="A11" s="144" t="str">
        <f aca="false">'Program List'!A6</f>
        <v>M013</v>
      </c>
      <c r="B11" s="145" t="str">
        <f aca="false">'Program List'!B6</f>
        <v>Master of Accountancy</v>
      </c>
      <c r="C11" s="146" t="n">
        <f aca="false">IF($Y11="","—",INDEX('Program LTR Retention'!B:B,$Y11))</f>
        <v>8</v>
      </c>
      <c r="D11" s="146" t="n">
        <f aca="false">IF($Y11="","—",INDEX('Program LTR Retention'!C:C,$Y11))</f>
        <v>38</v>
      </c>
      <c r="E11" s="146" t="n">
        <f aca="false">IF($Y11="","—",INDEX('Program LTR Retention'!D:D,$Y11))</f>
        <v>74</v>
      </c>
      <c r="F11" s="146" t="n">
        <f aca="false">IF($Y11="","—",INDEX('Program LTR Retention'!E:E,$Y11))</f>
        <v>66</v>
      </c>
      <c r="G11" s="146" t="n">
        <f aca="false">IF($Y11="","—",INDEX('Program LTR Retention'!F:F,$Y11))</f>
        <v>90</v>
      </c>
      <c r="H11" s="146" t="n">
        <f aca="false">IF($Y11="","—",INDEX('Program LTR Retention'!G:G,$Y11))</f>
        <v>113</v>
      </c>
      <c r="I11" s="146" t="n">
        <f aca="false">IF($Y11="","—",INDEX('Program LTR Retention'!H:H,$Y11))</f>
        <v>76</v>
      </c>
      <c r="J11" s="146" t="n">
        <f aca="false">IF($Y11="","—",INDEX('Program LTR Retention'!I:I,$Y11))</f>
        <v>112</v>
      </c>
      <c r="K11" s="146" t="n">
        <f aca="false">IF($Y11="","—",INDEX('Program LTR Retention'!J:J,$Y11))</f>
        <v>107</v>
      </c>
      <c r="L11" s="146" t="n">
        <f aca="false">IF($Y11="","—",INDEX('Program LTR Retention'!K:K,$Y11))</f>
        <v>79</v>
      </c>
      <c r="M11" s="146" t="n">
        <f aca="false">IF($Y11="","—",INDEX('Program LTR Retention'!L:L,$Y11))</f>
        <v>106</v>
      </c>
      <c r="N11" s="146" t="n">
        <f aca="false">IF($Y11="","—",INDEX('Program LTR Retention'!M:M,$Y11))</f>
        <v>104</v>
      </c>
      <c r="O11" s="146" t="n">
        <f aca="false">IF($Y11="","—",INDEX('Program LTR Retention'!N:N,$Y11))</f>
        <v>76</v>
      </c>
      <c r="P11" s="146" t="n">
        <f aca="false">IF($Y11="","—",INDEX('Program LTR Retention'!O:O,$Y11))</f>
        <v>108</v>
      </c>
      <c r="Q11" s="146" t="n">
        <f aca="false">IF($Y11="","—",INDEX('Program LTR Retention'!P:P,$Y11))</f>
        <v>96</v>
      </c>
      <c r="R11" s="146" t="n">
        <f aca="false">IF($Y11="","—",INDEX('Program LTR Retention'!Q:Q,$Y11))</f>
        <v>70</v>
      </c>
      <c r="S11" s="146" t="n">
        <f aca="false">IF($Y11="","—",INDEX('Program LTR Retention'!R:R,$Y11))</f>
        <v>115</v>
      </c>
      <c r="T11" s="146" t="n">
        <f aca="false">IF($Y11="","—",INDEX('Program LTR Retention'!S:S,$Y11))</f>
        <v>106</v>
      </c>
      <c r="U11" s="146" t="n">
        <f aca="false">IF($Y11="","—",INDEX('Program LTR Retention'!T:T,$Y11))</f>
        <v>80</v>
      </c>
      <c r="V11" s="146" t="n">
        <f aca="false">IF($Y11="","—",INDEX('Program LTR Retention'!U:U,$Y11))</f>
        <v>96</v>
      </c>
      <c r="W11" s="147" t="n">
        <f aca="false">IF($Y11="","—",SUM(C11:V11))</f>
        <v>1720</v>
      </c>
      <c r="Y11" s="158" t="n">
        <v>53</v>
      </c>
    </row>
    <row r="12" customFormat="false" ht="15" hidden="false" customHeight="true" outlineLevel="0" collapsed="false">
      <c r="A12" s="148" t="str">
        <f aca="false">'Program List'!A7</f>
        <v>M075</v>
      </c>
      <c r="B12" s="149" t="str">
        <f aca="false">'Program List'!B7</f>
        <v>Master of Arts in Art and Technology</v>
      </c>
      <c r="C12" s="150" t="n">
        <f aca="false">IF($Y12="","—",INDEX('Program LTR Retention'!B:B,$Y12))</f>
        <v>0</v>
      </c>
      <c r="D12" s="150" t="n">
        <f aca="false">IF($Y12="","—",INDEX('Program LTR Retention'!C:C,$Y12))</f>
        <v>0</v>
      </c>
      <c r="E12" s="150" t="n">
        <f aca="false">IF($Y12="","—",INDEX('Program LTR Retention'!D:D,$Y12))</f>
        <v>0</v>
      </c>
      <c r="F12" s="150" t="n">
        <f aca="false">IF($Y12="","—",INDEX('Program LTR Retention'!E:E,$Y12))</f>
        <v>0</v>
      </c>
      <c r="G12" s="150" t="n">
        <f aca="false">IF($Y12="","—",INDEX('Program LTR Retention'!F:F,$Y12))</f>
        <v>23</v>
      </c>
      <c r="H12" s="150" t="n">
        <f aca="false">IF($Y12="","—",INDEX('Program LTR Retention'!G:G,$Y12))</f>
        <v>47</v>
      </c>
      <c r="I12" s="150" t="n">
        <f aca="false">IF($Y12="","—",INDEX('Program LTR Retention'!H:H,$Y12))</f>
        <v>32</v>
      </c>
      <c r="J12" s="150" t="n">
        <f aca="false">IF($Y12="","—",INDEX('Program LTR Retention'!I:I,$Y12))</f>
        <v>65</v>
      </c>
      <c r="K12" s="150" t="n">
        <f aca="false">IF($Y12="","—",INDEX('Program LTR Retention'!J:J,$Y12))</f>
        <v>73</v>
      </c>
      <c r="L12" s="150" t="n">
        <f aca="false">IF($Y12="","—",INDEX('Program LTR Retention'!K:K,$Y12))</f>
        <v>51</v>
      </c>
      <c r="M12" s="150" t="n">
        <f aca="false">IF($Y12="","—",INDEX('Program LTR Retention'!L:L,$Y12))</f>
        <v>68</v>
      </c>
      <c r="N12" s="150" t="n">
        <f aca="false">IF($Y12="","—",INDEX('Program LTR Retention'!M:M,$Y12))</f>
        <v>80</v>
      </c>
      <c r="O12" s="150" t="n">
        <f aca="false">IF($Y12="","—",INDEX('Program LTR Retention'!N:N,$Y12))</f>
        <v>47</v>
      </c>
      <c r="P12" s="150" t="n">
        <f aca="false">IF($Y12="","—",INDEX('Program LTR Retention'!O:O,$Y12))</f>
        <v>62</v>
      </c>
      <c r="Q12" s="150" t="n">
        <f aca="false">IF($Y12="","—",INDEX('Program LTR Retention'!P:P,$Y12))</f>
        <v>72</v>
      </c>
      <c r="R12" s="150" t="n">
        <f aca="false">IF($Y12="","—",INDEX('Program LTR Retention'!Q:Q,$Y12))</f>
        <v>45</v>
      </c>
      <c r="S12" s="150" t="n">
        <f aca="false">IF($Y12="","—",INDEX('Program LTR Retention'!R:R,$Y12))</f>
        <v>50</v>
      </c>
      <c r="T12" s="150" t="n">
        <f aca="false">IF($Y12="","—",INDEX('Program LTR Retention'!S:S,$Y12))</f>
        <v>62</v>
      </c>
      <c r="U12" s="150" t="n">
        <f aca="false">IF($Y12="","—",INDEX('Program LTR Retention'!T:T,$Y12))</f>
        <v>44</v>
      </c>
      <c r="V12" s="150" t="n">
        <f aca="false">IF($Y12="","—",INDEX('Program LTR Retention'!U:U,$Y12))</f>
        <v>43</v>
      </c>
      <c r="W12" s="151" t="n">
        <f aca="false">IF($Y12="","—",SUM(C12:V12))</f>
        <v>864</v>
      </c>
      <c r="Y12" s="158" t="n">
        <v>68</v>
      </c>
    </row>
    <row r="13" customFormat="false" ht="15" hidden="false" customHeight="true" outlineLevel="0" collapsed="false">
      <c r="A13" s="144" t="str">
        <f aca="false">'Program List'!A8</f>
        <v>M073</v>
      </c>
      <c r="B13" s="145" t="str">
        <f aca="false">'Program List'!B8</f>
        <v>Master of Arts in Arts Management</v>
      </c>
      <c r="C13" s="146" t="n">
        <f aca="false">IF($Y13="","—",INDEX('Program LTR Retention'!B:B,$Y13))</f>
        <v>0</v>
      </c>
      <c r="D13" s="146" t="n">
        <f aca="false">IF($Y13="","—",INDEX('Program LTR Retention'!C:C,$Y13))</f>
        <v>0</v>
      </c>
      <c r="E13" s="146" t="n">
        <f aca="false">IF($Y13="","—",INDEX('Program LTR Retention'!D:D,$Y13))</f>
        <v>0</v>
      </c>
      <c r="F13" s="146" t="n">
        <f aca="false">IF($Y13="","—",INDEX('Program LTR Retention'!E:E,$Y13))</f>
        <v>0</v>
      </c>
      <c r="G13" s="146" t="n">
        <f aca="false">IF($Y13="","—",INDEX('Program LTR Retention'!F:F,$Y13))</f>
        <v>0</v>
      </c>
      <c r="H13" s="146" t="n">
        <f aca="false">IF($Y13="","—",INDEX('Program LTR Retention'!G:G,$Y13))</f>
        <v>0</v>
      </c>
      <c r="I13" s="146" t="n">
        <f aca="false">IF($Y13="","—",INDEX('Program LTR Retention'!H:H,$Y13))</f>
        <v>0</v>
      </c>
      <c r="J13" s="146" t="n">
        <f aca="false">IF($Y13="","—",INDEX('Program LTR Retention'!I:I,$Y13))</f>
        <v>0</v>
      </c>
      <c r="K13" s="146" t="n">
        <f aca="false">IF($Y13="","—",INDEX('Program LTR Retention'!J:J,$Y13))</f>
        <v>6</v>
      </c>
      <c r="L13" s="146" t="n">
        <f aca="false">IF($Y13="","—",INDEX('Program LTR Retention'!K:K,$Y13))</f>
        <v>7</v>
      </c>
      <c r="M13" s="146" t="n">
        <f aca="false">IF($Y13="","—",INDEX('Program LTR Retention'!L:L,$Y13))</f>
        <v>38</v>
      </c>
      <c r="N13" s="146" t="n">
        <f aca="false">IF($Y13="","—",INDEX('Program LTR Retention'!M:M,$Y13))</f>
        <v>75</v>
      </c>
      <c r="O13" s="146" t="n">
        <f aca="false">IF($Y13="","—",INDEX('Program LTR Retention'!N:N,$Y13))</f>
        <v>60</v>
      </c>
      <c r="P13" s="146" t="n">
        <f aca="false">IF($Y13="","—",INDEX('Program LTR Retention'!O:O,$Y13))</f>
        <v>87</v>
      </c>
      <c r="Q13" s="146" t="n">
        <f aca="false">IF($Y13="","—",INDEX('Program LTR Retention'!P:P,$Y13))</f>
        <v>93</v>
      </c>
      <c r="R13" s="146" t="n">
        <f aca="false">IF($Y13="","—",INDEX('Program LTR Retention'!Q:Q,$Y13))</f>
        <v>53</v>
      </c>
      <c r="S13" s="146" t="n">
        <f aca="false">IF($Y13="","—",INDEX('Program LTR Retention'!R:R,$Y13))</f>
        <v>91</v>
      </c>
      <c r="T13" s="146" t="n">
        <f aca="false">IF($Y13="","—",INDEX('Program LTR Retention'!S:S,$Y13))</f>
        <v>87</v>
      </c>
      <c r="U13" s="146" t="n">
        <f aca="false">IF($Y13="","—",INDEX('Program LTR Retention'!T:T,$Y13))</f>
        <v>53</v>
      </c>
      <c r="V13" s="146" t="n">
        <f aca="false">IF($Y13="","—",INDEX('Program LTR Retention'!U:U,$Y13))</f>
        <v>71</v>
      </c>
      <c r="W13" s="147" t="n">
        <f aca="false">IF($Y13="","—",SUM(C13:V13))</f>
        <v>721</v>
      </c>
      <c r="Y13" s="158" t="n">
        <v>81</v>
      </c>
    </row>
    <row r="14" customFormat="false" ht="15" hidden="false" customHeight="true" outlineLevel="0" collapsed="false">
      <c r="A14" s="148" t="str">
        <f aca="false">'Program List'!A9</f>
        <v>M494</v>
      </c>
      <c r="B14" s="149" t="str">
        <f aca="false">'Program List'!B9</f>
        <v>Master of Arts in Global Affairs</v>
      </c>
      <c r="C14" s="150" t="n">
        <f aca="false">IF($Y14="","—",INDEX('Program LTR Retention'!B:B,$Y14))</f>
        <v>4</v>
      </c>
      <c r="D14" s="150" t="n">
        <f aca="false">IF($Y14="","—",INDEX('Program LTR Retention'!C:C,$Y14))</f>
        <v>29</v>
      </c>
      <c r="E14" s="150" t="n">
        <f aca="false">IF($Y14="","—",INDEX('Program LTR Retention'!D:D,$Y14))</f>
        <v>47</v>
      </c>
      <c r="F14" s="150" t="n">
        <f aca="false">IF($Y14="","—",INDEX('Program LTR Retention'!E:E,$Y14))</f>
        <v>26</v>
      </c>
      <c r="G14" s="150" t="n">
        <f aca="false">IF($Y14="","—",INDEX('Program LTR Retention'!F:F,$Y14))</f>
        <v>66</v>
      </c>
      <c r="H14" s="150" t="n">
        <f aca="false">IF($Y14="","—",INDEX('Program LTR Retention'!G:G,$Y14))</f>
        <v>70</v>
      </c>
      <c r="I14" s="150" t="n">
        <f aca="false">IF($Y14="","—",INDEX('Program LTR Retention'!H:H,$Y14))</f>
        <v>44</v>
      </c>
      <c r="J14" s="150" t="n">
        <f aca="false">IF($Y14="","—",INDEX('Program LTR Retention'!I:I,$Y14))</f>
        <v>90</v>
      </c>
      <c r="K14" s="150" t="n">
        <f aca="false">IF($Y14="","—",INDEX('Program LTR Retention'!J:J,$Y14))</f>
        <v>96</v>
      </c>
      <c r="L14" s="150" t="n">
        <f aca="false">IF($Y14="","—",INDEX('Program LTR Retention'!K:K,$Y14))</f>
        <v>68</v>
      </c>
      <c r="M14" s="150" t="n">
        <f aca="false">IF($Y14="","—",INDEX('Program LTR Retention'!L:L,$Y14))</f>
        <v>97</v>
      </c>
      <c r="N14" s="150" t="n">
        <f aca="false">IF($Y14="","—",INDEX('Program LTR Retention'!M:M,$Y14))</f>
        <v>125</v>
      </c>
      <c r="O14" s="150" t="n">
        <f aca="false">IF($Y14="","—",INDEX('Program LTR Retention'!N:N,$Y14))</f>
        <v>76</v>
      </c>
      <c r="P14" s="150" t="n">
        <f aca="false">IF($Y14="","—",INDEX('Program LTR Retention'!O:O,$Y14))</f>
        <v>136</v>
      </c>
      <c r="Q14" s="150" t="n">
        <f aca="false">IF($Y14="","—",INDEX('Program LTR Retention'!P:P,$Y14))</f>
        <v>131</v>
      </c>
      <c r="R14" s="150" t="n">
        <f aca="false">IF($Y14="","—",INDEX('Program LTR Retention'!Q:Q,$Y14))</f>
        <v>82</v>
      </c>
      <c r="S14" s="150" t="n">
        <f aca="false">IF($Y14="","—",INDEX('Program LTR Retention'!R:R,$Y14))</f>
        <v>140</v>
      </c>
      <c r="T14" s="150" t="n">
        <f aca="false">IF($Y14="","—",INDEX('Program LTR Retention'!S:S,$Y14))</f>
        <v>113</v>
      </c>
      <c r="U14" s="150" t="n">
        <f aca="false">IF($Y14="","—",INDEX('Program LTR Retention'!T:T,$Y14))</f>
        <v>78</v>
      </c>
      <c r="V14" s="150" t="n">
        <f aca="false">IF($Y14="","—",INDEX('Program LTR Retention'!U:U,$Y14))</f>
        <v>100</v>
      </c>
      <c r="W14" s="151" t="n">
        <f aca="false">IF($Y14="","—",SUM(C14:V14))</f>
        <v>1618</v>
      </c>
      <c r="Y14" s="158" t="n">
        <v>105</v>
      </c>
    </row>
    <row r="15" customFormat="false" ht="15" hidden="false" customHeight="true" outlineLevel="0" collapsed="false">
      <c r="A15" s="144" t="str">
        <f aca="false">'Program List'!A10</f>
        <v>M700</v>
      </c>
      <c r="B15" s="145" t="str">
        <f aca="false">'Program List'!B10</f>
        <v>Master of Arts in Museum Studies</v>
      </c>
      <c r="C15" s="146" t="n">
        <f aca="false">IF($Y15="","—",INDEX('Program LTR Retention'!B:B,$Y15))</f>
        <v>7</v>
      </c>
      <c r="D15" s="146" t="n">
        <f aca="false">IF($Y15="","—",INDEX('Program LTR Retention'!C:C,$Y15))</f>
        <v>26</v>
      </c>
      <c r="E15" s="146" t="n">
        <f aca="false">IF($Y15="","—",INDEX('Program LTR Retention'!D:D,$Y15))</f>
        <v>43</v>
      </c>
      <c r="F15" s="146" t="n">
        <f aca="false">IF($Y15="","—",INDEX('Program LTR Retention'!E:E,$Y15))</f>
        <v>31</v>
      </c>
      <c r="G15" s="146" t="n">
        <f aca="false">IF($Y15="","—",INDEX('Program LTR Retention'!F:F,$Y15))</f>
        <v>62</v>
      </c>
      <c r="H15" s="146" t="n">
        <f aca="false">IF($Y15="","—",INDEX('Program LTR Retention'!G:G,$Y15))</f>
        <v>89</v>
      </c>
      <c r="I15" s="146" t="n">
        <f aca="false">IF($Y15="","—",INDEX('Program LTR Retention'!H:H,$Y15))</f>
        <v>90</v>
      </c>
      <c r="J15" s="146" t="n">
        <f aca="false">IF($Y15="","—",INDEX('Program LTR Retention'!I:I,$Y15))</f>
        <v>155</v>
      </c>
      <c r="K15" s="146" t="n">
        <f aca="false">IF($Y15="","—",INDEX('Program LTR Retention'!J:J,$Y15))</f>
        <v>190</v>
      </c>
      <c r="L15" s="146" t="n">
        <f aca="false">IF($Y15="","—",INDEX('Program LTR Retention'!K:K,$Y15))</f>
        <v>179</v>
      </c>
      <c r="M15" s="146" t="n">
        <f aca="false">IF($Y15="","—",INDEX('Program LTR Retention'!L:L,$Y15))</f>
        <v>281</v>
      </c>
      <c r="N15" s="146" t="n">
        <f aca="false">IF($Y15="","—",INDEX('Program LTR Retention'!M:M,$Y15))</f>
        <v>300</v>
      </c>
      <c r="O15" s="146" t="n">
        <f aca="false">IF($Y15="","—",INDEX('Program LTR Retention'!N:N,$Y15))</f>
        <v>234</v>
      </c>
      <c r="P15" s="146" t="n">
        <f aca="false">IF($Y15="","—",INDEX('Program LTR Retention'!O:O,$Y15))</f>
        <v>306</v>
      </c>
      <c r="Q15" s="146" t="n">
        <f aca="false">IF($Y15="","—",INDEX('Program LTR Retention'!P:P,$Y15))</f>
        <v>296</v>
      </c>
      <c r="R15" s="146" t="n">
        <f aca="false">IF($Y15="","—",INDEX('Program LTR Retention'!Q:Q,$Y15))</f>
        <v>252</v>
      </c>
      <c r="S15" s="146" t="n">
        <f aca="false">IF($Y15="","—",INDEX('Program LTR Retention'!R:R,$Y15))</f>
        <v>259</v>
      </c>
      <c r="T15" s="146" t="n">
        <f aca="false">IF($Y15="","—",INDEX('Program LTR Retention'!S:S,$Y15))</f>
        <v>250</v>
      </c>
      <c r="U15" s="146" t="n">
        <f aca="false">IF($Y15="","—",INDEX('Program LTR Retention'!T:T,$Y15))</f>
        <v>194</v>
      </c>
      <c r="V15" s="146" t="n">
        <f aca="false">IF($Y15="","—",INDEX('Program LTR Retention'!U:U,$Y15))</f>
        <v>221</v>
      </c>
      <c r="W15" s="147" t="n">
        <f aca="false">IF($Y15="","—",SUM(C15:V15))</f>
        <v>3465</v>
      </c>
      <c r="Y15" s="158" t="n">
        <v>129</v>
      </c>
    </row>
    <row r="16" customFormat="false" ht="15" hidden="false" customHeight="true" outlineLevel="0" collapsed="false">
      <c r="A16" s="148" t="str">
        <f aca="false">'Program List'!A11</f>
        <v>M762</v>
      </c>
      <c r="B16" s="149" t="str">
        <f aca="false">'Program List'!B11</f>
        <v>Master of Arts in Organizational Leadership</v>
      </c>
      <c r="C16" s="150" t="n">
        <f aca="false">IF($Y16="","—",INDEX('Program LTR Retention'!B:B,$Y16))</f>
        <v>29</v>
      </c>
      <c r="D16" s="150" t="n">
        <f aca="false">IF($Y16="","—",INDEX('Program LTR Retention'!C:C,$Y16))</f>
        <v>68</v>
      </c>
      <c r="E16" s="150" t="n">
        <f aca="false">IF($Y16="","—",INDEX('Program LTR Retention'!D:D,$Y16))</f>
        <v>98</v>
      </c>
      <c r="F16" s="150" t="n">
        <f aca="false">IF($Y16="","—",INDEX('Program LTR Retention'!E:E,$Y16))</f>
        <v>73</v>
      </c>
      <c r="G16" s="150" t="n">
        <f aca="false">IF($Y16="","—",INDEX('Program LTR Retention'!F:F,$Y16))</f>
        <v>133</v>
      </c>
      <c r="H16" s="150" t="n">
        <f aca="false">IF($Y16="","—",INDEX('Program LTR Retention'!G:G,$Y16))</f>
        <v>169</v>
      </c>
      <c r="I16" s="150" t="n">
        <f aca="false">IF($Y16="","—",INDEX('Program LTR Retention'!H:H,$Y16))</f>
        <v>122</v>
      </c>
      <c r="J16" s="150" t="n">
        <f aca="false">IF($Y16="","—",INDEX('Program LTR Retention'!I:I,$Y16))</f>
        <v>175</v>
      </c>
      <c r="K16" s="150" t="n">
        <f aca="false">IF($Y16="","—",INDEX('Program LTR Retention'!J:J,$Y16))</f>
        <v>179</v>
      </c>
      <c r="L16" s="150" t="n">
        <f aca="false">IF($Y16="","—",INDEX('Program LTR Retention'!K:K,$Y16))</f>
        <v>128</v>
      </c>
      <c r="M16" s="150" t="n">
        <f aca="false">IF($Y16="","—",INDEX('Program LTR Retention'!L:L,$Y16))</f>
        <v>207</v>
      </c>
      <c r="N16" s="150" t="n">
        <f aca="false">IF($Y16="","—",INDEX('Program LTR Retention'!M:M,$Y16))</f>
        <v>213</v>
      </c>
      <c r="O16" s="150" t="n">
        <f aca="false">IF($Y16="","—",INDEX('Program LTR Retention'!N:N,$Y16))</f>
        <v>152</v>
      </c>
      <c r="P16" s="150" t="n">
        <f aca="false">IF($Y16="","—",INDEX('Program LTR Retention'!O:O,$Y16))</f>
        <v>230</v>
      </c>
      <c r="Q16" s="150" t="n">
        <f aca="false">IF($Y16="","—",INDEX('Program LTR Retention'!P:P,$Y16))</f>
        <v>196</v>
      </c>
      <c r="R16" s="150" t="n">
        <f aca="false">IF($Y16="","—",INDEX('Program LTR Retention'!Q:Q,$Y16))</f>
        <v>132</v>
      </c>
      <c r="S16" s="150" t="n">
        <f aca="false">IF($Y16="","—",INDEX('Program LTR Retention'!R:R,$Y16))</f>
        <v>177</v>
      </c>
      <c r="T16" s="150" t="n">
        <f aca="false">IF($Y16="","—",INDEX('Program LTR Retention'!S:S,$Y16))</f>
        <v>159</v>
      </c>
      <c r="U16" s="150" t="n">
        <f aca="false">IF($Y16="","—",INDEX('Program LTR Retention'!T:T,$Y16))</f>
        <v>116</v>
      </c>
      <c r="V16" s="150" t="n">
        <f aca="false">IF($Y16="","—",INDEX('Program LTR Retention'!U:U,$Y16))</f>
        <v>155</v>
      </c>
      <c r="W16" s="151" t="n">
        <f aca="false">IF($Y16="","—",SUM(C16:V16))</f>
        <v>2911</v>
      </c>
      <c r="Y16" s="158" t="n">
        <v>153</v>
      </c>
    </row>
    <row r="17" customFormat="false" ht="15" hidden="false" customHeight="true" outlineLevel="0" collapsed="false">
      <c r="A17" s="144" t="str">
        <f aca="false">'Program List'!A12</f>
        <v>M859</v>
      </c>
      <c r="B17" s="145" t="str">
        <f aca="false">'Program List'!B12</f>
        <v>Master of Arts in Strategic Communication and Digital Strategy</v>
      </c>
      <c r="C17" s="146" t="n">
        <f aca="false">IF($Y17="","—",INDEX('Program LTR Retention'!B:B,$Y17))</f>
        <v>0</v>
      </c>
      <c r="D17" s="146" t="n">
        <f aca="false">IF($Y17="","—",INDEX('Program LTR Retention'!C:C,$Y17))</f>
        <v>0</v>
      </c>
      <c r="E17" s="146" t="n">
        <f aca="false">IF($Y17="","—",INDEX('Program LTR Retention'!D:D,$Y17))</f>
        <v>30</v>
      </c>
      <c r="F17" s="146" t="n">
        <f aca="false">IF($Y17="","—",INDEX('Program LTR Retention'!E:E,$Y17))</f>
        <v>60</v>
      </c>
      <c r="G17" s="146" t="n">
        <f aca="false">IF($Y17="","—",INDEX('Program LTR Retention'!F:F,$Y17))</f>
        <v>89</v>
      </c>
      <c r="H17" s="146" t="n">
        <f aca="false">IF($Y17="","—",INDEX('Program LTR Retention'!G:G,$Y17))</f>
        <v>118</v>
      </c>
      <c r="I17" s="146" t="n">
        <f aca="false">IF($Y17="","—",INDEX('Program LTR Retention'!H:H,$Y17))</f>
        <v>109</v>
      </c>
      <c r="J17" s="146" t="n">
        <f aca="false">IF($Y17="","—",INDEX('Program LTR Retention'!I:I,$Y17))</f>
        <v>115</v>
      </c>
      <c r="K17" s="146" t="n">
        <f aca="false">IF($Y17="","—",INDEX('Program LTR Retention'!J:J,$Y17))</f>
        <v>111</v>
      </c>
      <c r="L17" s="146" t="n">
        <f aca="false">IF($Y17="","—",INDEX('Program LTR Retention'!K:K,$Y17))</f>
        <v>91</v>
      </c>
      <c r="M17" s="146" t="n">
        <f aca="false">IF($Y17="","—",INDEX('Program LTR Retention'!L:L,$Y17))</f>
        <v>99</v>
      </c>
      <c r="N17" s="146" t="n">
        <f aca="false">IF($Y17="","—",INDEX('Program LTR Retention'!M:M,$Y17))</f>
        <v>116</v>
      </c>
      <c r="O17" s="146" t="n">
        <f aca="false">IF($Y17="","—",INDEX('Program LTR Retention'!N:N,$Y17))</f>
        <v>89</v>
      </c>
      <c r="P17" s="146" t="n">
        <f aca="false">IF($Y17="","—",INDEX('Program LTR Retention'!O:O,$Y17))</f>
        <v>102</v>
      </c>
      <c r="Q17" s="146" t="n">
        <f aca="false">IF($Y17="","—",INDEX('Program LTR Retention'!P:P,$Y17))</f>
        <v>107</v>
      </c>
      <c r="R17" s="146" t="n">
        <f aca="false">IF($Y17="","—",INDEX('Program LTR Retention'!Q:Q,$Y17))</f>
        <v>101</v>
      </c>
      <c r="S17" s="146" t="n">
        <f aca="false">IF($Y17="","—",INDEX('Program LTR Retention'!R:R,$Y17))</f>
        <v>98</v>
      </c>
      <c r="T17" s="146" t="n">
        <f aca="false">IF($Y17="","—",INDEX('Program LTR Retention'!S:S,$Y17))</f>
        <v>92</v>
      </c>
      <c r="U17" s="146" t="n">
        <f aca="false">IF($Y17="","—",INDEX('Program LTR Retention'!T:T,$Y17))</f>
        <v>80</v>
      </c>
      <c r="V17" s="146" t="n">
        <f aca="false">IF($Y17="","—",INDEX('Program LTR Retention'!U:U,$Y17))</f>
        <v>80</v>
      </c>
      <c r="W17" s="147" t="n">
        <f aca="false">IF($Y17="","—",SUM(C17:V17))</f>
        <v>1687</v>
      </c>
      <c r="Y17" s="158" t="n">
        <v>175</v>
      </c>
    </row>
    <row r="18" customFormat="false" ht="15" hidden="false" customHeight="true" outlineLevel="0" collapsed="false">
      <c r="A18" s="148" t="str">
        <f aca="false">'Program List'!A13</f>
        <v>M202</v>
      </c>
      <c r="B18" s="149" t="str">
        <f aca="false">'Program List'!B13</f>
        <v>Master of Clinical Mental Health Counseling</v>
      </c>
      <c r="C18" s="150" t="n">
        <f aca="false">IF($Y18="","—",INDEX('Program LTR Retention'!B:B,$Y18))</f>
        <v>0</v>
      </c>
      <c r="D18" s="150" t="n">
        <f aca="false">IF($Y18="","—",INDEX('Program LTR Retention'!C:C,$Y18))</f>
        <v>0</v>
      </c>
      <c r="E18" s="150" t="n">
        <f aca="false">IF($Y18="","—",INDEX('Program LTR Retention'!D:D,$Y18))</f>
        <v>0</v>
      </c>
      <c r="F18" s="150" t="n">
        <f aca="false">IF($Y18="","—",INDEX('Program LTR Retention'!E:E,$Y18))</f>
        <v>0</v>
      </c>
      <c r="G18" s="150" t="n">
        <f aca="false">IF($Y18="","—",INDEX('Program LTR Retention'!F:F,$Y18))</f>
        <v>30</v>
      </c>
      <c r="H18" s="150" t="n">
        <f aca="false">IF($Y18="","—",INDEX('Program LTR Retention'!G:G,$Y18))</f>
        <v>71</v>
      </c>
      <c r="I18" s="150" t="n">
        <f aca="false">IF($Y18="","—",INDEX('Program LTR Retention'!H:H,$Y18))</f>
        <v>82</v>
      </c>
      <c r="J18" s="150" t="n">
        <f aca="false">IF($Y18="","—",INDEX('Program LTR Retention'!I:I,$Y18))</f>
        <v>121</v>
      </c>
      <c r="K18" s="150" t="n">
        <f aca="false">IF($Y18="","—",INDEX('Program LTR Retention'!J:J,$Y18))</f>
        <v>131</v>
      </c>
      <c r="L18" s="150" t="n">
        <f aca="false">IF($Y18="","—",INDEX('Program LTR Retention'!K:K,$Y18))</f>
        <v>136</v>
      </c>
      <c r="M18" s="150" t="n">
        <f aca="false">IF($Y18="","—",INDEX('Program LTR Retention'!L:L,$Y18))</f>
        <v>169</v>
      </c>
      <c r="N18" s="150" t="n">
        <f aca="false">IF($Y18="","—",INDEX('Program LTR Retention'!M:M,$Y18))</f>
        <v>176</v>
      </c>
      <c r="O18" s="150" t="n">
        <f aca="false">IF($Y18="","—",INDEX('Program LTR Retention'!N:N,$Y18))</f>
        <v>176</v>
      </c>
      <c r="P18" s="150" t="n">
        <f aca="false">IF($Y18="","—",INDEX('Program LTR Retention'!O:O,$Y18))</f>
        <v>161</v>
      </c>
      <c r="Q18" s="150" t="n">
        <f aca="false">IF($Y18="","—",INDEX('Program LTR Retention'!P:P,$Y18))</f>
        <v>165</v>
      </c>
      <c r="R18" s="150" t="n">
        <f aca="false">IF($Y18="","—",INDEX('Program LTR Retention'!Q:Q,$Y18))</f>
        <v>131</v>
      </c>
      <c r="S18" s="150" t="n">
        <f aca="false">IF($Y18="","—",INDEX('Program LTR Retention'!R:R,$Y18))</f>
        <v>151</v>
      </c>
      <c r="T18" s="150" t="n">
        <f aca="false">IF($Y18="","—",INDEX('Program LTR Retention'!S:S,$Y18))</f>
        <v>170</v>
      </c>
      <c r="U18" s="150" t="n">
        <f aca="false">IF($Y18="","—",INDEX('Program LTR Retention'!T:T,$Y18))</f>
        <v>136</v>
      </c>
      <c r="V18" s="150" t="n">
        <f aca="false">IF($Y18="","—",INDEX('Program LTR Retention'!U:U,$Y18))</f>
        <v>174</v>
      </c>
      <c r="W18" s="151" t="n">
        <f aca="false">IF($Y18="","—",SUM(C18:V18))</f>
        <v>2180</v>
      </c>
      <c r="Y18" s="158" t="n">
        <v>194</v>
      </c>
    </row>
    <row r="19" customFormat="false" ht="15" hidden="false" customHeight="true" outlineLevel="0" collapsed="false">
      <c r="A19" s="144" t="str">
        <f aca="false">'Program List'!A14</f>
        <v>M246</v>
      </c>
      <c r="B19" s="145" t="str">
        <f aca="false">'Program List'!B14</f>
        <v>Master of Construction Business</v>
      </c>
      <c r="C19" s="146" t="n">
        <f aca="false">IF($Y19="","—",INDEX('Program LTR Retention'!B:B,$Y19))</f>
        <v>0</v>
      </c>
      <c r="D19" s="146" t="n">
        <f aca="false">IF($Y19="","—",INDEX('Program LTR Retention'!C:C,$Y19))</f>
        <v>0</v>
      </c>
      <c r="E19" s="146" t="n">
        <f aca="false">IF($Y19="","—",INDEX('Program LTR Retention'!D:D,$Y19))</f>
        <v>0</v>
      </c>
      <c r="F19" s="146" t="n">
        <f aca="false">IF($Y19="","—",INDEX('Program LTR Retention'!E:E,$Y19))</f>
        <v>0</v>
      </c>
      <c r="G19" s="146" t="n">
        <f aca="false">IF($Y19="","—",INDEX('Program LTR Retention'!F:F,$Y19))</f>
        <v>22</v>
      </c>
      <c r="H19" s="146" t="n">
        <f aca="false">IF($Y19="","—",INDEX('Program LTR Retention'!G:G,$Y19))</f>
        <v>39</v>
      </c>
      <c r="I19" s="146" t="n">
        <f aca="false">IF($Y19="","—",INDEX('Program LTR Retention'!H:H,$Y19))</f>
        <v>35</v>
      </c>
      <c r="J19" s="146" t="n">
        <f aca="false">IF($Y19="","—",INDEX('Program LTR Retention'!I:I,$Y19))</f>
        <v>54</v>
      </c>
      <c r="K19" s="146" t="n">
        <f aca="false">IF($Y19="","—",INDEX('Program LTR Retention'!J:J,$Y19))</f>
        <v>63</v>
      </c>
      <c r="L19" s="146" t="n">
        <f aca="false">IF($Y19="","—",INDEX('Program LTR Retention'!K:K,$Y19))</f>
        <v>45</v>
      </c>
      <c r="M19" s="146" t="n">
        <f aca="false">IF($Y19="","—",INDEX('Program LTR Retention'!L:L,$Y19))</f>
        <v>66</v>
      </c>
      <c r="N19" s="146" t="n">
        <f aca="false">IF($Y19="","—",INDEX('Program LTR Retention'!M:M,$Y19))</f>
        <v>53</v>
      </c>
      <c r="O19" s="146" t="n">
        <f aca="false">IF($Y19="","—",INDEX('Program LTR Retention'!N:N,$Y19))</f>
        <v>36</v>
      </c>
      <c r="P19" s="146" t="n">
        <f aca="false">IF($Y19="","—",INDEX('Program LTR Retention'!O:O,$Y19))</f>
        <v>58</v>
      </c>
      <c r="Q19" s="146" t="n">
        <f aca="false">IF($Y19="","—",INDEX('Program LTR Retention'!P:P,$Y19))</f>
        <v>54</v>
      </c>
      <c r="R19" s="146" t="n">
        <f aca="false">IF($Y19="","—",INDEX('Program LTR Retention'!Q:Q,$Y19))</f>
        <v>40</v>
      </c>
      <c r="S19" s="146" t="n">
        <f aca="false">IF($Y19="","—",INDEX('Program LTR Retention'!R:R,$Y19))</f>
        <v>55</v>
      </c>
      <c r="T19" s="146" t="n">
        <f aca="false">IF($Y19="","—",INDEX('Program LTR Retention'!S:S,$Y19))</f>
        <v>50</v>
      </c>
      <c r="U19" s="146" t="n">
        <f aca="false">IF($Y19="","—",INDEX('Program LTR Retention'!T:T,$Y19))</f>
        <v>27</v>
      </c>
      <c r="V19" s="146" t="n">
        <f aca="false">IF($Y19="","—",INDEX('Program LTR Retention'!U:U,$Y19))</f>
        <v>45</v>
      </c>
      <c r="W19" s="147" t="n">
        <f aca="false">IF($Y19="","—",SUM(C19:V19))</f>
        <v>742</v>
      </c>
      <c r="Y19" s="158" t="n">
        <v>209</v>
      </c>
    </row>
    <row r="20" customFormat="false" ht="15" hidden="false" customHeight="true" outlineLevel="0" collapsed="false">
      <c r="A20" s="148" t="str">
        <f aca="false">'Program List'!A15</f>
        <v>M297</v>
      </c>
      <c r="B20" s="149" t="str">
        <f aca="false">'Program List'!B15</f>
        <v>Master of Econometrics</v>
      </c>
      <c r="C20" s="150" t="str">
        <f aca="false">IF($Y20="","—",INDEX('Program LTR Retention'!B:B,$Y20))</f>
        <v>—</v>
      </c>
      <c r="D20" s="150" t="str">
        <f aca="false">IF($Y20="","—",INDEX('Program LTR Retention'!C:C,$Y20))</f>
        <v>—</v>
      </c>
      <c r="E20" s="150" t="str">
        <f aca="false">IF($Y20="","—",INDEX('Program LTR Retention'!D:D,$Y20))</f>
        <v>—</v>
      </c>
      <c r="F20" s="150" t="str">
        <f aca="false">IF($Y20="","—",INDEX('Program LTR Retention'!E:E,$Y20))</f>
        <v>—</v>
      </c>
      <c r="G20" s="150" t="str">
        <f aca="false">IF($Y20="","—",INDEX('Program LTR Retention'!F:F,$Y20))</f>
        <v>—</v>
      </c>
      <c r="H20" s="150" t="str">
        <f aca="false">IF($Y20="","—",INDEX('Program LTR Retention'!G:G,$Y20))</f>
        <v>—</v>
      </c>
      <c r="I20" s="150" t="str">
        <f aca="false">IF($Y20="","—",INDEX('Program LTR Retention'!H:H,$Y20))</f>
        <v>—</v>
      </c>
      <c r="J20" s="150" t="str">
        <f aca="false">IF($Y20="","—",INDEX('Program LTR Retention'!I:I,$Y20))</f>
        <v>—</v>
      </c>
      <c r="K20" s="150" t="str">
        <f aca="false">IF($Y20="","—",INDEX('Program LTR Retention'!J:J,$Y20))</f>
        <v>—</v>
      </c>
      <c r="L20" s="150" t="str">
        <f aca="false">IF($Y20="","—",INDEX('Program LTR Retention'!K:K,$Y20))</f>
        <v>—</v>
      </c>
      <c r="M20" s="150" t="str">
        <f aca="false">IF($Y20="","—",INDEX('Program LTR Retention'!L:L,$Y20))</f>
        <v>—</v>
      </c>
      <c r="N20" s="150" t="str">
        <f aca="false">IF($Y20="","—",INDEX('Program LTR Retention'!M:M,$Y20))</f>
        <v>—</v>
      </c>
      <c r="O20" s="150" t="str">
        <f aca="false">IF($Y20="","—",INDEX('Program LTR Retention'!N:N,$Y20))</f>
        <v>—</v>
      </c>
      <c r="P20" s="150" t="str">
        <f aca="false">IF($Y20="","—",INDEX('Program LTR Retention'!O:O,$Y20))</f>
        <v>—</v>
      </c>
      <c r="Q20" s="150" t="str">
        <f aca="false">IF($Y20="","—",INDEX('Program LTR Retention'!P:P,$Y20))</f>
        <v>—</v>
      </c>
      <c r="R20" s="150" t="str">
        <f aca="false">IF($Y20="","—",INDEX('Program LTR Retention'!Q:Q,$Y20))</f>
        <v>—</v>
      </c>
      <c r="S20" s="150" t="str">
        <f aca="false">IF($Y20="","—",INDEX('Program LTR Retention'!R:R,$Y20))</f>
        <v>—</v>
      </c>
      <c r="T20" s="150" t="str">
        <f aca="false">IF($Y20="","—",INDEX('Program LTR Retention'!S:S,$Y20))</f>
        <v>—</v>
      </c>
      <c r="U20" s="150" t="str">
        <f aca="false">IF($Y20="","—",INDEX('Program LTR Retention'!T:T,$Y20))</f>
        <v>—</v>
      </c>
      <c r="V20" s="150" t="str">
        <f aca="false">IF($Y20="","—",INDEX('Program LTR Retention'!U:U,$Y20))</f>
        <v>—</v>
      </c>
      <c r="W20" s="151" t="str">
        <f aca="false">IF($Y20="","—",SUM(C20:V20))</f>
        <v>—</v>
      </c>
      <c r="Y20" s="158"/>
    </row>
    <row r="21" customFormat="false" ht="15" hidden="false" customHeight="true" outlineLevel="0" collapsed="false">
      <c r="A21" s="144" t="str">
        <f aca="false">'Program List'!A16</f>
        <v>M383</v>
      </c>
      <c r="B21" s="145" t="str">
        <f aca="false">'Program List'!B16</f>
        <v>Master of Entrepreneurship &amp; Innovation</v>
      </c>
      <c r="C21" s="146" t="str">
        <f aca="false">IF($Y21="","—",INDEX('Program LTR Retention'!B:B,$Y21))</f>
        <v>—</v>
      </c>
      <c r="D21" s="146" t="str">
        <f aca="false">IF($Y21="","—",INDEX('Program LTR Retention'!C:C,$Y21))</f>
        <v>—</v>
      </c>
      <c r="E21" s="146" t="str">
        <f aca="false">IF($Y21="","—",INDEX('Program LTR Retention'!D:D,$Y21))</f>
        <v>—</v>
      </c>
      <c r="F21" s="146" t="str">
        <f aca="false">IF($Y21="","—",INDEX('Program LTR Retention'!E:E,$Y21))</f>
        <v>—</v>
      </c>
      <c r="G21" s="146" t="str">
        <f aca="false">IF($Y21="","—",INDEX('Program LTR Retention'!F:F,$Y21))</f>
        <v>—</v>
      </c>
      <c r="H21" s="146" t="str">
        <f aca="false">IF($Y21="","—",INDEX('Program LTR Retention'!G:G,$Y21))</f>
        <v>—</v>
      </c>
      <c r="I21" s="146" t="str">
        <f aca="false">IF($Y21="","—",INDEX('Program LTR Retention'!H:H,$Y21))</f>
        <v>—</v>
      </c>
      <c r="J21" s="146" t="str">
        <f aca="false">IF($Y21="","—",INDEX('Program LTR Retention'!I:I,$Y21))</f>
        <v>—</v>
      </c>
      <c r="K21" s="146" t="str">
        <f aca="false">IF($Y21="","—",INDEX('Program LTR Retention'!J:J,$Y21))</f>
        <v>—</v>
      </c>
      <c r="L21" s="146" t="str">
        <f aca="false">IF($Y21="","—",INDEX('Program LTR Retention'!K:K,$Y21))</f>
        <v>—</v>
      </c>
      <c r="M21" s="146" t="str">
        <f aca="false">IF($Y21="","—",INDEX('Program LTR Retention'!L:L,$Y21))</f>
        <v>—</v>
      </c>
      <c r="N21" s="146" t="str">
        <f aca="false">IF($Y21="","—",INDEX('Program LTR Retention'!M:M,$Y21))</f>
        <v>—</v>
      </c>
      <c r="O21" s="146" t="str">
        <f aca="false">IF($Y21="","—",INDEX('Program LTR Retention'!N:N,$Y21))</f>
        <v>—</v>
      </c>
      <c r="P21" s="146" t="str">
        <f aca="false">IF($Y21="","—",INDEX('Program LTR Retention'!O:O,$Y21))</f>
        <v>—</v>
      </c>
      <c r="Q21" s="146" t="str">
        <f aca="false">IF($Y21="","—",INDEX('Program LTR Retention'!P:P,$Y21))</f>
        <v>—</v>
      </c>
      <c r="R21" s="146" t="str">
        <f aca="false">IF($Y21="","—",INDEX('Program LTR Retention'!Q:Q,$Y21))</f>
        <v>—</v>
      </c>
      <c r="S21" s="146" t="str">
        <f aca="false">IF($Y21="","—",INDEX('Program LTR Retention'!R:R,$Y21))</f>
        <v>—</v>
      </c>
      <c r="T21" s="146" t="str">
        <f aca="false">IF($Y21="","—",INDEX('Program LTR Retention'!S:S,$Y21))</f>
        <v>—</v>
      </c>
      <c r="U21" s="146" t="str">
        <f aca="false">IF($Y21="","—",INDEX('Program LTR Retention'!T:T,$Y21))</f>
        <v>—</v>
      </c>
      <c r="V21" s="146" t="str">
        <f aca="false">IF($Y21="","—",INDEX('Program LTR Retention'!U:U,$Y21))</f>
        <v>—</v>
      </c>
      <c r="W21" s="147" t="str">
        <f aca="false">IF($Y21="","—",SUM(C21:V21))</f>
        <v>—</v>
      </c>
      <c r="Y21" s="158"/>
    </row>
    <row r="22" customFormat="false" ht="15" hidden="false" customHeight="true" outlineLevel="0" collapsed="false">
      <c r="A22" s="148" t="str">
        <f aca="false">'Program List'!A17</f>
        <v>M518</v>
      </c>
      <c r="B22" s="149" t="str">
        <f aca="false">'Program List'!B17</f>
        <v>Master of Environmental Science: Hydrology and Water Security</v>
      </c>
      <c r="C22" s="150" t="n">
        <f aca="false">IF($Y22="","—",INDEX('Program LTR Retention'!B:B,$Y22))</f>
        <v>0</v>
      </c>
      <c r="D22" s="150" t="n">
        <f aca="false">IF($Y22="","—",INDEX('Program LTR Retention'!C:C,$Y22))</f>
        <v>53</v>
      </c>
      <c r="E22" s="150" t="n">
        <f aca="false">IF($Y22="","—",INDEX('Program LTR Retention'!D:D,$Y22))</f>
        <v>84</v>
      </c>
      <c r="F22" s="150" t="n">
        <f aca="false">IF($Y22="","—",INDEX('Program LTR Retention'!E:E,$Y22))</f>
        <v>77</v>
      </c>
      <c r="G22" s="150" t="n">
        <f aca="false">IF($Y22="","—",INDEX('Program LTR Retention'!F:F,$Y22))</f>
        <v>115</v>
      </c>
      <c r="H22" s="150" t="n">
        <f aca="false">IF($Y22="","—",INDEX('Program LTR Retention'!G:G,$Y22))</f>
        <v>122</v>
      </c>
      <c r="I22" s="150" t="n">
        <f aca="false">IF($Y22="","—",INDEX('Program LTR Retention'!H:H,$Y22))</f>
        <v>84</v>
      </c>
      <c r="J22" s="150" t="n">
        <f aca="false">IF($Y22="","—",INDEX('Program LTR Retention'!I:I,$Y22))</f>
        <v>76</v>
      </c>
      <c r="K22" s="150" t="n">
        <f aca="false">IF($Y22="","—",INDEX('Program LTR Retention'!J:J,$Y22))</f>
        <v>91</v>
      </c>
      <c r="L22" s="150" t="n">
        <f aca="false">IF($Y22="","—",INDEX('Program LTR Retention'!K:K,$Y22))</f>
        <v>51</v>
      </c>
      <c r="M22" s="150" t="n">
        <f aca="false">IF($Y22="","—",INDEX('Program LTR Retention'!L:L,$Y22))</f>
        <v>75</v>
      </c>
      <c r="N22" s="150" t="n">
        <f aca="false">IF($Y22="","—",INDEX('Program LTR Retention'!M:M,$Y22))</f>
        <v>96</v>
      </c>
      <c r="O22" s="150" t="n">
        <f aca="false">IF($Y22="","—",INDEX('Program LTR Retention'!N:N,$Y22))</f>
        <v>58</v>
      </c>
      <c r="P22" s="150" t="n">
        <f aca="false">IF($Y22="","—",INDEX('Program LTR Retention'!O:O,$Y22))</f>
        <v>89</v>
      </c>
      <c r="Q22" s="150" t="n">
        <f aca="false">IF($Y22="","—",INDEX('Program LTR Retention'!P:P,$Y22))</f>
        <v>104</v>
      </c>
      <c r="R22" s="150" t="n">
        <f aca="false">IF($Y22="","—",INDEX('Program LTR Retention'!Q:Q,$Y22))</f>
        <v>67</v>
      </c>
      <c r="S22" s="150" t="n">
        <f aca="false">IF($Y22="","—",INDEX('Program LTR Retention'!R:R,$Y22))</f>
        <v>97</v>
      </c>
      <c r="T22" s="150" t="n">
        <f aca="false">IF($Y22="","—",INDEX('Program LTR Retention'!S:S,$Y22))</f>
        <v>108</v>
      </c>
      <c r="U22" s="150" t="n">
        <f aca="false">IF($Y22="","—",INDEX('Program LTR Retention'!T:T,$Y22))</f>
        <v>71</v>
      </c>
      <c r="V22" s="150" t="n">
        <f aca="false">IF($Y22="","—",INDEX('Program LTR Retention'!U:U,$Y22))</f>
        <v>94</v>
      </c>
      <c r="W22" s="151" t="n">
        <f aca="false">IF($Y22="","—",SUM(C22:V22))</f>
        <v>1612</v>
      </c>
      <c r="Y22" s="158" t="n">
        <v>235</v>
      </c>
    </row>
    <row r="23" customFormat="false" ht="15" hidden="false" customHeight="true" outlineLevel="0" collapsed="false">
      <c r="A23" s="144" t="str">
        <f aca="false">'Program List'!A18</f>
        <v>M368</v>
      </c>
      <c r="B23" s="145" t="str">
        <f aca="false">'Program List'!B18</f>
        <v>Master of Legal Studies - Energy</v>
      </c>
      <c r="C23" s="146" t="n">
        <f aca="false">IF($Y23="","—",INDEX('Program LTR Retention'!B:B,$Y23))</f>
        <v>0</v>
      </c>
      <c r="D23" s="146" t="n">
        <f aca="false">IF($Y23="","—",INDEX('Program LTR Retention'!C:C,$Y23))</f>
        <v>0</v>
      </c>
      <c r="E23" s="146" t="n">
        <f aca="false">IF($Y23="","—",INDEX('Program LTR Retention'!D:D,$Y23))</f>
        <v>0</v>
      </c>
      <c r="F23" s="146" t="n">
        <f aca="false">IF($Y23="","—",INDEX('Program LTR Retention'!E:E,$Y23))</f>
        <v>10</v>
      </c>
      <c r="G23" s="146" t="n">
        <f aca="false">IF($Y23="","—",INDEX('Program LTR Retention'!F:F,$Y23))</f>
        <v>22</v>
      </c>
      <c r="H23" s="146" t="n">
        <f aca="false">IF($Y23="","—",INDEX('Program LTR Retention'!G:G,$Y23))</f>
        <v>31</v>
      </c>
      <c r="I23" s="146" t="n">
        <f aca="false">IF($Y23="","—",INDEX('Program LTR Retention'!H:H,$Y23))</f>
        <v>23</v>
      </c>
      <c r="J23" s="146" t="n">
        <f aca="false">IF($Y23="","—",INDEX('Program LTR Retention'!I:I,$Y23))</f>
        <v>34</v>
      </c>
      <c r="K23" s="146" t="n">
        <f aca="false">IF($Y23="","—",INDEX('Program LTR Retention'!J:J,$Y23))</f>
        <v>31</v>
      </c>
      <c r="L23" s="146" t="n">
        <f aca="false">IF($Y23="","—",INDEX('Program LTR Retention'!K:K,$Y23))</f>
        <v>20</v>
      </c>
      <c r="M23" s="146" t="n">
        <f aca="false">IF($Y23="","—",INDEX('Program LTR Retention'!L:L,$Y23))</f>
        <v>34</v>
      </c>
      <c r="N23" s="146" t="n">
        <f aca="false">IF($Y23="","—",INDEX('Program LTR Retention'!M:M,$Y23))</f>
        <v>24</v>
      </c>
      <c r="O23" s="146" t="n">
        <f aca="false">IF($Y23="","—",INDEX('Program LTR Retention'!N:N,$Y23))</f>
        <v>17</v>
      </c>
      <c r="P23" s="146" t="n">
        <f aca="false">IF($Y23="","—",INDEX('Program LTR Retention'!O:O,$Y23))</f>
        <v>27</v>
      </c>
      <c r="Q23" s="146" t="n">
        <f aca="false">IF($Y23="","—",INDEX('Program LTR Retention'!P:P,$Y23))</f>
        <v>24</v>
      </c>
      <c r="R23" s="146" t="n">
        <f aca="false">IF($Y23="","—",INDEX('Program LTR Retention'!Q:Q,$Y23))</f>
        <v>17</v>
      </c>
      <c r="S23" s="146" t="n">
        <f aca="false">IF($Y23="","—",INDEX('Program LTR Retention'!R:R,$Y23))</f>
        <v>27</v>
      </c>
      <c r="T23" s="146" t="n">
        <f aca="false">IF($Y23="","—",INDEX('Program LTR Retention'!S:S,$Y23))</f>
        <v>23</v>
      </c>
      <c r="U23" s="146" t="n">
        <f aca="false">IF($Y23="","—",INDEX('Program LTR Retention'!T:T,$Y23))</f>
        <v>16</v>
      </c>
      <c r="V23" s="146" t="n">
        <f aca="false">IF($Y23="","—",INDEX('Program LTR Retention'!U:U,$Y23))</f>
        <v>36</v>
      </c>
      <c r="W23" s="147" t="n">
        <f aca="false">IF($Y23="","—",SUM(C23:V23))</f>
        <v>416</v>
      </c>
      <c r="Y23" s="158" t="n">
        <v>251</v>
      </c>
    </row>
    <row r="24" customFormat="false" ht="15" hidden="false" customHeight="true" outlineLevel="0" collapsed="false">
      <c r="A24" s="148" t="str">
        <f aca="false">'Program List'!A19</f>
        <v>M636</v>
      </c>
      <c r="B24" s="149" t="str">
        <f aca="false">'Program List'!B19</f>
        <v>Master of Legal Studies - General</v>
      </c>
      <c r="C24" s="150" t="str">
        <f aca="false">IF($Y24="","—",INDEX('Program LTR Retention'!B:B,$Y24))</f>
        <v>—</v>
      </c>
      <c r="D24" s="150" t="str">
        <f aca="false">IF($Y24="","—",INDEX('Program LTR Retention'!C:C,$Y24))</f>
        <v>—</v>
      </c>
      <c r="E24" s="150" t="str">
        <f aca="false">IF($Y24="","—",INDEX('Program LTR Retention'!D:D,$Y24))</f>
        <v>—</v>
      </c>
      <c r="F24" s="150" t="str">
        <f aca="false">IF($Y24="","—",INDEX('Program LTR Retention'!E:E,$Y24))</f>
        <v>—</v>
      </c>
      <c r="G24" s="150" t="str">
        <f aca="false">IF($Y24="","—",INDEX('Program LTR Retention'!F:F,$Y24))</f>
        <v>—</v>
      </c>
      <c r="H24" s="150" t="str">
        <f aca="false">IF($Y24="","—",INDEX('Program LTR Retention'!G:G,$Y24))</f>
        <v>—</v>
      </c>
      <c r="I24" s="150" t="str">
        <f aca="false">IF($Y24="","—",INDEX('Program LTR Retention'!H:H,$Y24))</f>
        <v>—</v>
      </c>
      <c r="J24" s="150" t="str">
        <f aca="false">IF($Y24="","—",INDEX('Program LTR Retention'!I:I,$Y24))</f>
        <v>—</v>
      </c>
      <c r="K24" s="150" t="str">
        <f aca="false">IF($Y24="","—",INDEX('Program LTR Retention'!J:J,$Y24))</f>
        <v>—</v>
      </c>
      <c r="L24" s="150" t="str">
        <f aca="false">IF($Y24="","—",INDEX('Program LTR Retention'!K:K,$Y24))</f>
        <v>—</v>
      </c>
      <c r="M24" s="150" t="str">
        <f aca="false">IF($Y24="","—",INDEX('Program LTR Retention'!L:L,$Y24))</f>
        <v>—</v>
      </c>
      <c r="N24" s="150" t="str">
        <f aca="false">IF($Y24="","—",INDEX('Program LTR Retention'!M:M,$Y24))</f>
        <v>—</v>
      </c>
      <c r="O24" s="150" t="str">
        <f aca="false">IF($Y24="","—",INDEX('Program LTR Retention'!N:N,$Y24))</f>
        <v>—</v>
      </c>
      <c r="P24" s="150" t="str">
        <f aca="false">IF($Y24="","—",INDEX('Program LTR Retention'!O:O,$Y24))</f>
        <v>—</v>
      </c>
      <c r="Q24" s="150" t="str">
        <f aca="false">IF($Y24="","—",INDEX('Program LTR Retention'!P:P,$Y24))</f>
        <v>—</v>
      </c>
      <c r="R24" s="150" t="str">
        <f aca="false">IF($Y24="","—",INDEX('Program LTR Retention'!Q:Q,$Y24))</f>
        <v>—</v>
      </c>
      <c r="S24" s="150" t="str">
        <f aca="false">IF($Y24="","—",INDEX('Program LTR Retention'!R:R,$Y24))</f>
        <v>—</v>
      </c>
      <c r="T24" s="150" t="str">
        <f aca="false">IF($Y24="","—",INDEX('Program LTR Retention'!S:S,$Y24))</f>
        <v>—</v>
      </c>
      <c r="U24" s="150" t="str">
        <f aca="false">IF($Y24="","—",INDEX('Program LTR Retention'!T:T,$Y24))</f>
        <v>—</v>
      </c>
      <c r="V24" s="150" t="str">
        <f aca="false">IF($Y24="","—",INDEX('Program LTR Retention'!U:U,$Y24))</f>
        <v>—</v>
      </c>
      <c r="W24" s="151" t="str">
        <f aca="false">IF($Y24="","—",SUM(C24:V24))</f>
        <v>—</v>
      </c>
      <c r="Y24" s="158"/>
    </row>
    <row r="25" customFormat="false" ht="15" hidden="false" customHeight="true" outlineLevel="0" collapsed="false">
      <c r="A25" s="144" t="str">
        <f aca="false">'Program List'!A20</f>
        <v>M503</v>
      </c>
      <c r="B25" s="145" t="str">
        <f aca="false">'Program List'!B20</f>
        <v>Master of Legal Studies - Healthcare Law</v>
      </c>
      <c r="C25" s="146" t="n">
        <f aca="false">IF($Y25="","—",INDEX('Program LTR Retention'!B:B,$Y25))</f>
        <v>31</v>
      </c>
      <c r="D25" s="146" t="n">
        <f aca="false">IF($Y25="","—",INDEX('Program LTR Retention'!C:C,$Y25))</f>
        <v>65</v>
      </c>
      <c r="E25" s="146" t="n">
        <f aca="false">IF($Y25="","—",INDEX('Program LTR Retention'!D:D,$Y25))</f>
        <v>97</v>
      </c>
      <c r="F25" s="146" t="n">
        <f aca="false">IF($Y25="","—",INDEX('Program LTR Retention'!E:E,$Y25))</f>
        <v>102</v>
      </c>
      <c r="G25" s="146" t="n">
        <f aca="false">IF($Y25="","—",INDEX('Program LTR Retention'!F:F,$Y25))</f>
        <v>123</v>
      </c>
      <c r="H25" s="146" t="n">
        <f aca="false">IF($Y25="","—",INDEX('Program LTR Retention'!G:G,$Y25))</f>
        <v>144</v>
      </c>
      <c r="I25" s="146" t="n">
        <f aca="false">IF($Y25="","—",INDEX('Program LTR Retention'!H:H,$Y25))</f>
        <v>127</v>
      </c>
      <c r="J25" s="146" t="n">
        <f aca="false">IF($Y25="","—",INDEX('Program LTR Retention'!I:I,$Y25))</f>
        <v>160</v>
      </c>
      <c r="K25" s="146" t="n">
        <f aca="false">IF($Y25="","—",INDEX('Program LTR Retention'!J:J,$Y25))</f>
        <v>156</v>
      </c>
      <c r="L25" s="146" t="n">
        <f aca="false">IF($Y25="","—",INDEX('Program LTR Retention'!K:K,$Y25))</f>
        <v>120</v>
      </c>
      <c r="M25" s="146" t="n">
        <f aca="false">IF($Y25="","—",INDEX('Program LTR Retention'!L:L,$Y25))</f>
        <v>130</v>
      </c>
      <c r="N25" s="146" t="n">
        <f aca="false">IF($Y25="","—",INDEX('Program LTR Retention'!M:M,$Y25))</f>
        <v>115</v>
      </c>
      <c r="O25" s="146" t="n">
        <f aca="false">IF($Y25="","—",INDEX('Program LTR Retention'!N:N,$Y25))</f>
        <v>84</v>
      </c>
      <c r="P25" s="146" t="n">
        <f aca="false">IF($Y25="","—",INDEX('Program LTR Retention'!O:O,$Y25))</f>
        <v>97</v>
      </c>
      <c r="Q25" s="146" t="n">
        <f aca="false">IF($Y25="","—",INDEX('Program LTR Retention'!P:P,$Y25))</f>
        <v>96</v>
      </c>
      <c r="R25" s="146" t="n">
        <f aca="false">IF($Y25="","—",INDEX('Program LTR Retention'!Q:Q,$Y25))</f>
        <v>63</v>
      </c>
      <c r="S25" s="146" t="n">
        <f aca="false">IF($Y25="","—",INDEX('Program LTR Retention'!R:R,$Y25))</f>
        <v>81</v>
      </c>
      <c r="T25" s="146" t="n">
        <f aca="false">IF($Y25="","—",INDEX('Program LTR Retention'!S:S,$Y25))</f>
        <v>70</v>
      </c>
      <c r="U25" s="146" t="n">
        <f aca="false">IF($Y25="","—",INDEX('Program LTR Retention'!T:T,$Y25))</f>
        <v>67</v>
      </c>
      <c r="V25" s="146" t="n">
        <f aca="false">IF($Y25="","—",INDEX('Program LTR Retention'!U:U,$Y25))</f>
        <v>81</v>
      </c>
      <c r="W25" s="147" t="n">
        <f aca="false">IF($Y25="","—",SUM(C25:V25))</f>
        <v>2009</v>
      </c>
      <c r="Y25" s="158" t="n">
        <v>278</v>
      </c>
    </row>
    <row r="26" customFormat="false" ht="15" hidden="false" customHeight="true" outlineLevel="0" collapsed="false">
      <c r="A26" s="148" t="str">
        <f aca="false">'Program List'!A21</f>
        <v>M522</v>
      </c>
      <c r="B26" s="149" t="str">
        <f aca="false">'Program List'!B21</f>
        <v>Master of Legal Studies - Indigenous Peoples Law</v>
      </c>
      <c r="C26" s="150" t="n">
        <f aca="false">IF($Y26="","—",INDEX('Program LTR Retention'!B:B,$Y26))</f>
        <v>22</v>
      </c>
      <c r="D26" s="150" t="n">
        <f aca="false">IF($Y26="","—",INDEX('Program LTR Retention'!C:C,$Y26))</f>
        <v>78</v>
      </c>
      <c r="E26" s="150" t="n">
        <f aca="false">IF($Y26="","—",INDEX('Program LTR Retention'!D:D,$Y26))</f>
        <v>137</v>
      </c>
      <c r="F26" s="150" t="n">
        <f aca="false">IF($Y26="","—",INDEX('Program LTR Retention'!E:E,$Y26))</f>
        <v>145</v>
      </c>
      <c r="G26" s="150" t="n">
        <f aca="false">IF($Y26="","—",INDEX('Program LTR Retention'!F:F,$Y26))</f>
        <v>211</v>
      </c>
      <c r="H26" s="150" t="n">
        <f aca="false">IF($Y26="","—",INDEX('Program LTR Retention'!G:G,$Y26))</f>
        <v>211</v>
      </c>
      <c r="I26" s="150" t="n">
        <f aca="false">IF($Y26="","—",INDEX('Program LTR Retention'!H:H,$Y26))</f>
        <v>146</v>
      </c>
      <c r="J26" s="150" t="n">
        <f aca="false">IF($Y26="","—",INDEX('Program LTR Retention'!I:I,$Y26))</f>
        <v>177</v>
      </c>
      <c r="K26" s="150" t="n">
        <f aca="false">IF($Y26="","—",INDEX('Program LTR Retention'!J:J,$Y26))</f>
        <v>160</v>
      </c>
      <c r="L26" s="150" t="n">
        <f aca="false">IF($Y26="","—",INDEX('Program LTR Retention'!K:K,$Y26))</f>
        <v>113</v>
      </c>
      <c r="M26" s="150" t="n">
        <f aca="false">IF($Y26="","—",INDEX('Program LTR Retention'!L:L,$Y26))</f>
        <v>159</v>
      </c>
      <c r="N26" s="150" t="n">
        <f aca="false">IF($Y26="","—",INDEX('Program LTR Retention'!M:M,$Y26))</f>
        <v>166</v>
      </c>
      <c r="O26" s="150" t="n">
        <f aca="false">IF($Y26="","—",INDEX('Program LTR Retention'!N:N,$Y26))</f>
        <v>116</v>
      </c>
      <c r="P26" s="150" t="n">
        <f aca="false">IF($Y26="","—",INDEX('Program LTR Retention'!O:O,$Y26))</f>
        <v>141</v>
      </c>
      <c r="Q26" s="150" t="n">
        <f aca="false">IF($Y26="","—",INDEX('Program LTR Retention'!P:P,$Y26))</f>
        <v>122</v>
      </c>
      <c r="R26" s="150" t="n">
        <f aca="false">IF($Y26="","—",INDEX('Program LTR Retention'!Q:Q,$Y26))</f>
        <v>92</v>
      </c>
      <c r="S26" s="150" t="n">
        <f aca="false">IF($Y26="","—",INDEX('Program LTR Retention'!R:R,$Y26))</f>
        <v>127</v>
      </c>
      <c r="T26" s="150" t="n">
        <f aca="false">IF($Y26="","—",INDEX('Program LTR Retention'!S:S,$Y26))</f>
        <v>107</v>
      </c>
      <c r="U26" s="150" t="n">
        <f aca="false">IF($Y26="","—",INDEX('Program LTR Retention'!T:T,$Y26))</f>
        <v>72</v>
      </c>
      <c r="V26" s="150" t="n">
        <f aca="false">IF($Y26="","—",INDEX('Program LTR Retention'!U:U,$Y26))</f>
        <v>90</v>
      </c>
      <c r="W26" s="151" t="n">
        <f aca="false">IF($Y26="","—",SUM(C26:V26))</f>
        <v>2592</v>
      </c>
      <c r="Y26" s="158" t="n">
        <v>302</v>
      </c>
    </row>
    <row r="27" customFormat="false" ht="15" hidden="false" customHeight="true" outlineLevel="0" collapsed="false">
      <c r="A27" s="144" t="str">
        <f aca="false">'Program List'!A22</f>
        <v>M589</v>
      </c>
      <c r="B27" s="145" t="str">
        <f aca="false">'Program List'!B22</f>
        <v>Master of Legal Studies - International Business</v>
      </c>
      <c r="C27" s="146" t="n">
        <f aca="false">IF($Y27="","—",INDEX('Program LTR Retention'!B:B,$Y27))</f>
        <v>0</v>
      </c>
      <c r="D27" s="146" t="n">
        <f aca="false">IF($Y27="","—",INDEX('Program LTR Retention'!C:C,$Y27))</f>
        <v>14</v>
      </c>
      <c r="E27" s="146" t="n">
        <f aca="false">IF($Y27="","—",INDEX('Program LTR Retention'!D:D,$Y27))</f>
        <v>26</v>
      </c>
      <c r="F27" s="146" t="n">
        <f aca="false">IF($Y27="","—",INDEX('Program LTR Retention'!E:E,$Y27))</f>
        <v>23</v>
      </c>
      <c r="G27" s="146" t="n">
        <f aca="false">IF($Y27="","—",INDEX('Program LTR Retention'!F:F,$Y27))</f>
        <v>33</v>
      </c>
      <c r="H27" s="146" t="n">
        <f aca="false">IF($Y27="","—",INDEX('Program LTR Retention'!G:G,$Y27))</f>
        <v>25</v>
      </c>
      <c r="I27" s="146" t="n">
        <f aca="false">IF($Y27="","—",INDEX('Program LTR Retention'!H:H,$Y27))</f>
        <v>16</v>
      </c>
      <c r="J27" s="146" t="n">
        <f aca="false">IF($Y27="","—",INDEX('Program LTR Retention'!I:I,$Y27))</f>
        <v>19</v>
      </c>
      <c r="K27" s="146" t="n">
        <f aca="false">IF($Y27="","—",INDEX('Program LTR Retention'!J:J,$Y27))</f>
        <v>13</v>
      </c>
      <c r="L27" s="146" t="n">
        <f aca="false">IF($Y27="","—",INDEX('Program LTR Retention'!K:K,$Y27))</f>
        <v>8</v>
      </c>
      <c r="M27" s="146" t="n">
        <f aca="false">IF($Y27="","—",INDEX('Program LTR Retention'!L:L,$Y27))</f>
        <v>17</v>
      </c>
      <c r="N27" s="146" t="n">
        <f aca="false">IF($Y27="","—",INDEX('Program LTR Retention'!M:M,$Y27))</f>
        <v>15</v>
      </c>
      <c r="O27" s="146" t="n">
        <f aca="false">IF($Y27="","—",INDEX('Program LTR Retention'!N:N,$Y27))</f>
        <v>9</v>
      </c>
      <c r="P27" s="146" t="n">
        <f aca="false">IF($Y27="","—",INDEX('Program LTR Retention'!O:O,$Y27))</f>
        <v>10</v>
      </c>
      <c r="Q27" s="146" t="n">
        <f aca="false">IF($Y27="","—",INDEX('Program LTR Retention'!P:P,$Y27))</f>
        <v>6</v>
      </c>
      <c r="R27" s="146" t="n">
        <f aca="false">IF($Y27="","—",INDEX('Program LTR Retention'!Q:Q,$Y27))</f>
        <v>2</v>
      </c>
      <c r="S27" s="146" t="n">
        <f aca="false">IF($Y27="","—",INDEX('Program LTR Retention'!R:R,$Y27))</f>
        <v>7</v>
      </c>
      <c r="T27" s="146" t="n">
        <f aca="false">IF($Y27="","—",INDEX('Program LTR Retention'!S:S,$Y27))</f>
        <v>7</v>
      </c>
      <c r="U27" s="146" t="n">
        <f aca="false">IF($Y27="","—",INDEX('Program LTR Retention'!T:T,$Y27))</f>
        <v>6</v>
      </c>
      <c r="V27" s="146" t="n">
        <f aca="false">IF($Y27="","—",INDEX('Program LTR Retention'!U:U,$Y27))</f>
        <v>12</v>
      </c>
      <c r="W27" s="147" t="n">
        <f aca="false">IF($Y27="","—",SUM(C27:V27))</f>
        <v>268</v>
      </c>
      <c r="Y27" s="158" t="n">
        <v>317</v>
      </c>
    </row>
    <row r="28" customFormat="false" ht="15" hidden="false" customHeight="true" outlineLevel="0" collapsed="false">
      <c r="A28" s="148" t="str">
        <f aca="false">'Program List'!A23</f>
        <v>M029</v>
      </c>
      <c r="B28" s="149" t="str">
        <f aca="false">'Program List'!B23</f>
        <v>Master of Science in Applied Computing</v>
      </c>
      <c r="C28" s="150" t="str">
        <f aca="false">IF($Y28="","—",INDEX('Program LTR Retention'!B:B,$Y28))</f>
        <v>—</v>
      </c>
      <c r="D28" s="150" t="str">
        <f aca="false">IF($Y28="","—",INDEX('Program LTR Retention'!C:C,$Y28))</f>
        <v>—</v>
      </c>
      <c r="E28" s="150" t="str">
        <f aca="false">IF($Y28="","—",INDEX('Program LTR Retention'!D:D,$Y28))</f>
        <v>—</v>
      </c>
      <c r="F28" s="150" t="str">
        <f aca="false">IF($Y28="","—",INDEX('Program LTR Retention'!E:E,$Y28))</f>
        <v>—</v>
      </c>
      <c r="G28" s="150" t="str">
        <f aca="false">IF($Y28="","—",INDEX('Program LTR Retention'!F:F,$Y28))</f>
        <v>—</v>
      </c>
      <c r="H28" s="150" t="str">
        <f aca="false">IF($Y28="","—",INDEX('Program LTR Retention'!G:G,$Y28))</f>
        <v>—</v>
      </c>
      <c r="I28" s="150" t="str">
        <f aca="false">IF($Y28="","—",INDEX('Program LTR Retention'!H:H,$Y28))</f>
        <v>—</v>
      </c>
      <c r="J28" s="150" t="str">
        <f aca="false">IF($Y28="","—",INDEX('Program LTR Retention'!I:I,$Y28))</f>
        <v>—</v>
      </c>
      <c r="K28" s="150" t="str">
        <f aca="false">IF($Y28="","—",INDEX('Program LTR Retention'!J:J,$Y28))</f>
        <v>—</v>
      </c>
      <c r="L28" s="150" t="str">
        <f aca="false">IF($Y28="","—",INDEX('Program LTR Retention'!K:K,$Y28))</f>
        <v>—</v>
      </c>
      <c r="M28" s="150" t="str">
        <f aca="false">IF($Y28="","—",INDEX('Program LTR Retention'!L:L,$Y28))</f>
        <v>—</v>
      </c>
      <c r="N28" s="150" t="str">
        <f aca="false">IF($Y28="","—",INDEX('Program LTR Retention'!M:M,$Y28))</f>
        <v>—</v>
      </c>
      <c r="O28" s="150" t="str">
        <f aca="false">IF($Y28="","—",INDEX('Program LTR Retention'!N:N,$Y28))</f>
        <v>—</v>
      </c>
      <c r="P28" s="150" t="str">
        <f aca="false">IF($Y28="","—",INDEX('Program LTR Retention'!O:O,$Y28))</f>
        <v>—</v>
      </c>
      <c r="Q28" s="150" t="str">
        <f aca="false">IF($Y28="","—",INDEX('Program LTR Retention'!P:P,$Y28))</f>
        <v>—</v>
      </c>
      <c r="R28" s="150" t="str">
        <f aca="false">IF($Y28="","—",INDEX('Program LTR Retention'!Q:Q,$Y28))</f>
        <v>—</v>
      </c>
      <c r="S28" s="150" t="str">
        <f aca="false">IF($Y28="","—",INDEX('Program LTR Retention'!R:R,$Y28))</f>
        <v>—</v>
      </c>
      <c r="T28" s="150" t="str">
        <f aca="false">IF($Y28="","—",INDEX('Program LTR Retention'!S:S,$Y28))</f>
        <v>—</v>
      </c>
      <c r="U28" s="150" t="str">
        <f aca="false">IF($Y28="","—",INDEX('Program LTR Retention'!T:T,$Y28))</f>
        <v>—</v>
      </c>
      <c r="V28" s="150" t="str">
        <f aca="false">IF($Y28="","—",INDEX('Program LTR Retention'!U:U,$Y28))</f>
        <v>—</v>
      </c>
      <c r="W28" s="151" t="str">
        <f aca="false">IF($Y28="","—",SUM(C28:V28))</f>
        <v>—</v>
      </c>
      <c r="Y28" s="158"/>
    </row>
    <row r="29" customFormat="false" ht="15" hidden="false" customHeight="true" outlineLevel="0" collapsed="false">
      <c r="A29" s="144" t="str">
        <f aca="false">'Program List'!A24</f>
        <v>M035</v>
      </c>
      <c r="B29" s="145" t="str">
        <f aca="false">'Program List'!B24</f>
        <v>Master of Science in Applied Statistics</v>
      </c>
      <c r="C29" s="146" t="n">
        <f aca="false">IF($Y29="","—",INDEX('Program LTR Retention'!B:B,$Y29))</f>
        <v>0</v>
      </c>
      <c r="D29" s="146" t="n">
        <f aca="false">IF($Y29="","—",INDEX('Program LTR Retention'!C:C,$Y29))</f>
        <v>0</v>
      </c>
      <c r="E29" s="146" t="n">
        <f aca="false">IF($Y29="","—",INDEX('Program LTR Retention'!D:D,$Y29))</f>
        <v>0</v>
      </c>
      <c r="F29" s="146" t="n">
        <f aca="false">IF($Y29="","—",INDEX('Program LTR Retention'!E:E,$Y29))</f>
        <v>0</v>
      </c>
      <c r="G29" s="146" t="n">
        <f aca="false">IF($Y29="","—",INDEX('Program LTR Retention'!F:F,$Y29))</f>
        <v>0</v>
      </c>
      <c r="H29" s="146" t="n">
        <f aca="false">IF($Y29="","—",INDEX('Program LTR Retention'!G:G,$Y29))</f>
        <v>0</v>
      </c>
      <c r="I29" s="146" t="n">
        <f aca="false">IF($Y29="","—",INDEX('Program LTR Retention'!H:H,$Y29))</f>
        <v>0</v>
      </c>
      <c r="J29" s="146" t="n">
        <f aca="false">IF($Y29="","—",INDEX('Program LTR Retention'!I:I,$Y29))</f>
        <v>0</v>
      </c>
      <c r="K29" s="146" t="n">
        <f aca="false">IF($Y29="","—",INDEX('Program LTR Retention'!J:J,$Y29))</f>
        <v>0</v>
      </c>
      <c r="L29" s="146" t="n">
        <f aca="false">IF($Y29="","—",INDEX('Program LTR Retention'!K:K,$Y29))</f>
        <v>0</v>
      </c>
      <c r="M29" s="146" t="n">
        <f aca="false">IF($Y29="","—",INDEX('Program LTR Retention'!L:L,$Y29))</f>
        <v>22</v>
      </c>
      <c r="N29" s="146" t="n">
        <f aca="false">IF($Y29="","—",INDEX('Program LTR Retention'!M:M,$Y29))</f>
        <v>38</v>
      </c>
      <c r="O29" s="146" t="n">
        <f aca="false">IF($Y29="","—",INDEX('Program LTR Retention'!N:N,$Y29))</f>
        <v>51</v>
      </c>
      <c r="P29" s="146" t="n">
        <f aca="false">IF($Y29="","—",INDEX('Program LTR Retention'!O:O,$Y29))</f>
        <v>66</v>
      </c>
      <c r="Q29" s="146" t="n">
        <f aca="false">IF($Y29="","—",INDEX('Program LTR Retention'!P:P,$Y29))</f>
        <v>74</v>
      </c>
      <c r="R29" s="146" t="n">
        <f aca="false">IF($Y29="","—",INDEX('Program LTR Retention'!Q:Q,$Y29))</f>
        <v>58</v>
      </c>
      <c r="S29" s="146" t="n">
        <f aca="false">IF($Y29="","—",INDEX('Program LTR Retention'!R:R,$Y29))</f>
        <v>78</v>
      </c>
      <c r="T29" s="146" t="n">
        <f aca="false">IF($Y29="","—",INDEX('Program LTR Retention'!S:S,$Y29))</f>
        <v>63</v>
      </c>
      <c r="U29" s="146" t="n">
        <f aca="false">IF($Y29="","—",INDEX('Program LTR Retention'!T:T,$Y29))</f>
        <v>39</v>
      </c>
      <c r="V29" s="146" t="n">
        <f aca="false">IF($Y29="","—",INDEX('Program LTR Retention'!U:U,$Y29))</f>
        <v>32</v>
      </c>
      <c r="W29" s="147" t="n">
        <f aca="false">IF($Y29="","—",SUM(C29:V29))</f>
        <v>521</v>
      </c>
      <c r="Y29" s="158" t="n">
        <v>333</v>
      </c>
    </row>
    <row r="30" customFormat="false" ht="15" hidden="false" customHeight="true" outlineLevel="0" collapsed="false">
      <c r="A30" s="148" t="str">
        <f aca="false">'Program List'!A25</f>
        <v>M145</v>
      </c>
      <c r="B30" s="149" t="str">
        <f aca="false">'Program List'!B25</f>
        <v>Master of Science in Business Analytics</v>
      </c>
      <c r="C30" s="150" t="n">
        <f aca="false">IF($Y30="","—",INDEX('Program LTR Retention'!B:B,$Y30))</f>
        <v>0</v>
      </c>
      <c r="D30" s="150" t="n">
        <f aca="false">IF($Y30="","—",INDEX('Program LTR Retention'!C:C,$Y30))</f>
        <v>0</v>
      </c>
      <c r="E30" s="150" t="n">
        <f aca="false">IF($Y30="","—",INDEX('Program LTR Retention'!D:D,$Y30))</f>
        <v>0</v>
      </c>
      <c r="F30" s="150" t="n">
        <f aca="false">IF($Y30="","—",INDEX('Program LTR Retention'!E:E,$Y30))</f>
        <v>0</v>
      </c>
      <c r="G30" s="150" t="n">
        <f aca="false">IF($Y30="","—",INDEX('Program LTR Retention'!F:F,$Y30))</f>
        <v>0</v>
      </c>
      <c r="H30" s="150" t="n">
        <f aca="false">IF($Y30="","—",INDEX('Program LTR Retention'!G:G,$Y30))</f>
        <v>0</v>
      </c>
      <c r="I30" s="150" t="n">
        <f aca="false">IF($Y30="","—",INDEX('Program LTR Retention'!H:H,$Y30))</f>
        <v>0</v>
      </c>
      <c r="J30" s="150" t="n">
        <f aca="false">IF($Y30="","—",INDEX('Program LTR Retention'!I:I,$Y30))</f>
        <v>17</v>
      </c>
      <c r="K30" s="150" t="n">
        <f aca="false">IF($Y30="","—",INDEX('Program LTR Retention'!J:J,$Y30))</f>
        <v>31</v>
      </c>
      <c r="L30" s="150" t="n">
        <f aca="false">IF($Y30="","—",INDEX('Program LTR Retention'!K:K,$Y30))</f>
        <v>27</v>
      </c>
      <c r="M30" s="150" t="n">
        <f aca="false">IF($Y30="","—",INDEX('Program LTR Retention'!L:L,$Y30))</f>
        <v>49</v>
      </c>
      <c r="N30" s="150" t="n">
        <f aca="false">IF($Y30="","—",INDEX('Program LTR Retention'!M:M,$Y30))</f>
        <v>54</v>
      </c>
      <c r="O30" s="150" t="n">
        <f aca="false">IF($Y30="","—",INDEX('Program LTR Retention'!N:N,$Y30))</f>
        <v>28</v>
      </c>
      <c r="P30" s="150" t="n">
        <f aca="false">IF($Y30="","—",INDEX('Program LTR Retention'!O:O,$Y30))</f>
        <v>41</v>
      </c>
      <c r="Q30" s="150" t="n">
        <f aca="false">IF($Y30="","—",INDEX('Program LTR Retention'!P:P,$Y30))</f>
        <v>36</v>
      </c>
      <c r="R30" s="150" t="n">
        <f aca="false">IF($Y30="","—",INDEX('Program LTR Retention'!Q:Q,$Y30))</f>
        <v>22</v>
      </c>
      <c r="S30" s="150" t="n">
        <f aca="false">IF($Y30="","—",INDEX('Program LTR Retention'!R:R,$Y30))</f>
        <v>51</v>
      </c>
      <c r="T30" s="150" t="n">
        <f aca="false">IF($Y30="","—",INDEX('Program LTR Retention'!S:S,$Y30))</f>
        <v>58</v>
      </c>
      <c r="U30" s="150" t="n">
        <f aca="false">IF($Y30="","—",INDEX('Program LTR Retention'!T:T,$Y30))</f>
        <v>41</v>
      </c>
      <c r="V30" s="150" t="n">
        <f aca="false">IF($Y30="","—",INDEX('Program LTR Retention'!U:U,$Y30))</f>
        <v>51</v>
      </c>
      <c r="W30" s="151" t="n">
        <f aca="false">IF($Y30="","—",SUM(C30:V30))</f>
        <v>506</v>
      </c>
      <c r="Y30" s="158" t="n">
        <v>347</v>
      </c>
    </row>
    <row r="31" customFormat="false" ht="15" hidden="false" customHeight="true" outlineLevel="0" collapsed="false">
      <c r="A31" s="144" t="str">
        <f aca="false">'Program List'!A26</f>
        <v>M191</v>
      </c>
      <c r="B31" s="145" t="str">
        <f aca="false">'Program List'!B26</f>
        <v>Master of Science in Civil Engineering</v>
      </c>
      <c r="C31" s="146" t="n">
        <f aca="false">IF($Y31="","—",INDEX('Program LTR Retention'!B:B,$Y31))</f>
        <v>0</v>
      </c>
      <c r="D31" s="146" t="n">
        <f aca="false">IF($Y31="","—",INDEX('Program LTR Retention'!C:C,$Y31))</f>
        <v>28</v>
      </c>
      <c r="E31" s="146" t="n">
        <f aca="false">IF($Y31="","—",INDEX('Program LTR Retention'!D:D,$Y31))</f>
        <v>42</v>
      </c>
      <c r="F31" s="146" t="n">
        <f aca="false">IF($Y31="","—",INDEX('Program LTR Retention'!E:E,$Y31))</f>
        <v>37</v>
      </c>
      <c r="G31" s="146" t="n">
        <f aca="false">IF($Y31="","—",INDEX('Program LTR Retention'!F:F,$Y31))</f>
        <v>58</v>
      </c>
      <c r="H31" s="146" t="n">
        <f aca="false">IF($Y31="","—",INDEX('Program LTR Retention'!G:G,$Y31))</f>
        <v>67</v>
      </c>
      <c r="I31" s="146" t="n">
        <f aca="false">IF($Y31="","—",INDEX('Program LTR Retention'!H:H,$Y31))</f>
        <v>34</v>
      </c>
      <c r="J31" s="146" t="n">
        <f aca="false">IF($Y31="","—",INDEX('Program LTR Retention'!I:I,$Y31))</f>
        <v>62</v>
      </c>
      <c r="K31" s="146" t="n">
        <f aca="false">IF($Y31="","—",INDEX('Program LTR Retention'!J:J,$Y31))</f>
        <v>64</v>
      </c>
      <c r="L31" s="146" t="n">
        <f aca="false">IF($Y31="","—",INDEX('Program LTR Retention'!K:K,$Y31))</f>
        <v>29</v>
      </c>
      <c r="M31" s="146" t="n">
        <f aca="false">IF($Y31="","—",INDEX('Program LTR Retention'!L:L,$Y31))</f>
        <v>64</v>
      </c>
      <c r="N31" s="146" t="n">
        <f aca="false">IF($Y31="","—",INDEX('Program LTR Retention'!M:M,$Y31))</f>
        <v>61</v>
      </c>
      <c r="O31" s="146" t="n">
        <f aca="false">IF($Y31="","—",INDEX('Program LTR Retention'!N:N,$Y31))</f>
        <v>33</v>
      </c>
      <c r="P31" s="146" t="n">
        <f aca="false">IF($Y31="","—",INDEX('Program LTR Retention'!O:O,$Y31))</f>
        <v>69</v>
      </c>
      <c r="Q31" s="146" t="n">
        <f aca="false">IF($Y31="","—",INDEX('Program LTR Retention'!P:P,$Y31))</f>
        <v>59</v>
      </c>
      <c r="R31" s="146" t="n">
        <f aca="false">IF($Y31="","—",INDEX('Program LTR Retention'!Q:Q,$Y31))</f>
        <v>32</v>
      </c>
      <c r="S31" s="146" t="n">
        <f aca="false">IF($Y31="","—",INDEX('Program LTR Retention'!R:R,$Y31))</f>
        <v>68</v>
      </c>
      <c r="T31" s="146" t="n">
        <f aca="false">IF($Y31="","—",INDEX('Program LTR Retention'!S:S,$Y31))</f>
        <v>75</v>
      </c>
      <c r="U31" s="146" t="n">
        <f aca="false">IF($Y31="","—",INDEX('Program LTR Retention'!T:T,$Y31))</f>
        <v>40</v>
      </c>
      <c r="V31" s="146" t="n">
        <f aca="false">IF($Y31="","—",INDEX('Program LTR Retention'!U:U,$Y31))</f>
        <v>67</v>
      </c>
      <c r="W31" s="147" t="n">
        <f aca="false">IF($Y31="","—",SUM(C31:V31))</f>
        <v>989</v>
      </c>
      <c r="Y31" s="158" t="n">
        <v>365</v>
      </c>
    </row>
    <row r="32" customFormat="false" ht="15" hidden="false" customHeight="true" outlineLevel="0" collapsed="false">
      <c r="A32" s="148" t="str">
        <f aca="false">'Program List'!A27</f>
        <v>M260</v>
      </c>
      <c r="B32" s="149" t="str">
        <f aca="false">'Program List'!B27</f>
        <v>Master of Science in Criminal Justice</v>
      </c>
      <c r="C32" s="150" t="n">
        <f aca="false">IF($Y32="","—",INDEX('Program LTR Retention'!B:B,$Y32))</f>
        <v>4</v>
      </c>
      <c r="D32" s="150" t="n">
        <f aca="false">IF($Y32="","—",INDEX('Program LTR Retention'!C:C,$Y32))</f>
        <v>11</v>
      </c>
      <c r="E32" s="150" t="n">
        <f aca="false">IF($Y32="","—",INDEX('Program LTR Retention'!D:D,$Y32))</f>
        <v>17</v>
      </c>
      <c r="F32" s="150" t="n">
        <f aca="false">IF($Y32="","—",INDEX('Program LTR Retention'!E:E,$Y32))</f>
        <v>17</v>
      </c>
      <c r="G32" s="150" t="n">
        <f aca="false">IF($Y32="","—",INDEX('Program LTR Retention'!F:F,$Y32))</f>
        <v>37</v>
      </c>
      <c r="H32" s="150" t="n">
        <f aca="false">IF($Y32="","—",INDEX('Program LTR Retention'!G:G,$Y32))</f>
        <v>57</v>
      </c>
      <c r="I32" s="150" t="n">
        <f aca="false">IF($Y32="","—",INDEX('Program LTR Retention'!H:H,$Y32))</f>
        <v>54</v>
      </c>
      <c r="J32" s="150" t="n">
        <f aca="false">IF($Y32="","—",INDEX('Program LTR Retention'!I:I,$Y32))</f>
        <v>84</v>
      </c>
      <c r="K32" s="150" t="n">
        <f aca="false">IF($Y32="","—",INDEX('Program LTR Retention'!J:J,$Y32))</f>
        <v>93</v>
      </c>
      <c r="L32" s="150" t="n">
        <f aca="false">IF($Y32="","—",INDEX('Program LTR Retention'!K:K,$Y32))</f>
        <v>67</v>
      </c>
      <c r="M32" s="150" t="n">
        <f aca="false">IF($Y32="","—",INDEX('Program LTR Retention'!L:L,$Y32))</f>
        <v>110</v>
      </c>
      <c r="N32" s="150" t="n">
        <f aca="false">IF($Y32="","—",INDEX('Program LTR Retention'!M:M,$Y32))</f>
        <v>110</v>
      </c>
      <c r="O32" s="150" t="n">
        <f aca="false">IF($Y32="","—",INDEX('Program LTR Retention'!N:N,$Y32))</f>
        <v>78</v>
      </c>
      <c r="P32" s="150" t="n">
        <f aca="false">IF($Y32="","—",INDEX('Program LTR Retention'!O:O,$Y32))</f>
        <v>108</v>
      </c>
      <c r="Q32" s="150" t="n">
        <f aca="false">IF($Y32="","—",INDEX('Program LTR Retention'!P:P,$Y32))</f>
        <v>105</v>
      </c>
      <c r="R32" s="150" t="n">
        <f aca="false">IF($Y32="","—",INDEX('Program LTR Retention'!Q:Q,$Y32))</f>
        <v>54</v>
      </c>
      <c r="S32" s="150" t="n">
        <f aca="false">IF($Y32="","—",INDEX('Program LTR Retention'!R:R,$Y32))</f>
        <v>80</v>
      </c>
      <c r="T32" s="150" t="n">
        <f aca="false">IF($Y32="","—",INDEX('Program LTR Retention'!S:S,$Y32))</f>
        <v>70</v>
      </c>
      <c r="U32" s="150" t="n">
        <f aca="false">IF($Y32="","—",INDEX('Program LTR Retention'!T:T,$Y32))</f>
        <v>37</v>
      </c>
      <c r="V32" s="150" t="n">
        <f aca="false">IF($Y32="","—",INDEX('Program LTR Retention'!U:U,$Y32))</f>
        <v>63</v>
      </c>
      <c r="W32" s="151" t="n">
        <f aca="false">IF($Y32="","—",SUM(C32:V32))</f>
        <v>1256</v>
      </c>
      <c r="Y32" s="158" t="n">
        <v>389</v>
      </c>
    </row>
    <row r="33" customFormat="false" ht="15" hidden="false" customHeight="true" outlineLevel="0" collapsed="false">
      <c r="A33" s="144" t="str">
        <f aca="false">'Program List'!A28</f>
        <v>M264</v>
      </c>
      <c r="B33" s="145" t="str">
        <f aca="false">'Program List'!B28</f>
        <v>Master of Science in Cybersecurity Leadership</v>
      </c>
      <c r="C33" s="146" t="str">
        <f aca="false">IF($Y33="","—",INDEX('Program LTR Retention'!B:B,$Y33))</f>
        <v>—</v>
      </c>
      <c r="D33" s="146" t="str">
        <f aca="false">IF($Y33="","—",INDEX('Program LTR Retention'!C:C,$Y33))</f>
        <v>—</v>
      </c>
      <c r="E33" s="146" t="str">
        <f aca="false">IF($Y33="","—",INDEX('Program LTR Retention'!D:D,$Y33))</f>
        <v>—</v>
      </c>
      <c r="F33" s="146" t="str">
        <f aca="false">IF($Y33="","—",INDEX('Program LTR Retention'!E:E,$Y33))</f>
        <v>—</v>
      </c>
      <c r="G33" s="146" t="str">
        <f aca="false">IF($Y33="","—",INDEX('Program LTR Retention'!F:F,$Y33))</f>
        <v>—</v>
      </c>
      <c r="H33" s="146" t="str">
        <f aca="false">IF($Y33="","—",INDEX('Program LTR Retention'!G:G,$Y33))</f>
        <v>—</v>
      </c>
      <c r="I33" s="146" t="str">
        <f aca="false">IF($Y33="","—",INDEX('Program LTR Retention'!H:H,$Y33))</f>
        <v>—</v>
      </c>
      <c r="J33" s="146" t="str">
        <f aca="false">IF($Y33="","—",INDEX('Program LTR Retention'!I:I,$Y33))</f>
        <v>—</v>
      </c>
      <c r="K33" s="146" t="str">
        <f aca="false">IF($Y33="","—",INDEX('Program LTR Retention'!J:J,$Y33))</f>
        <v>—</v>
      </c>
      <c r="L33" s="146" t="str">
        <f aca="false">IF($Y33="","—",INDEX('Program LTR Retention'!K:K,$Y33))</f>
        <v>—</v>
      </c>
      <c r="M33" s="146" t="str">
        <f aca="false">IF($Y33="","—",INDEX('Program LTR Retention'!L:L,$Y33))</f>
        <v>—</v>
      </c>
      <c r="N33" s="146" t="str">
        <f aca="false">IF($Y33="","—",INDEX('Program LTR Retention'!M:M,$Y33))</f>
        <v>—</v>
      </c>
      <c r="O33" s="146" t="str">
        <f aca="false">IF($Y33="","—",INDEX('Program LTR Retention'!N:N,$Y33))</f>
        <v>—</v>
      </c>
      <c r="P33" s="146" t="str">
        <f aca="false">IF($Y33="","—",INDEX('Program LTR Retention'!O:O,$Y33))</f>
        <v>—</v>
      </c>
      <c r="Q33" s="146" t="str">
        <f aca="false">IF($Y33="","—",INDEX('Program LTR Retention'!P:P,$Y33))</f>
        <v>—</v>
      </c>
      <c r="R33" s="146" t="str">
        <f aca="false">IF($Y33="","—",INDEX('Program LTR Retention'!Q:Q,$Y33))</f>
        <v>—</v>
      </c>
      <c r="S33" s="146" t="str">
        <f aca="false">IF($Y33="","—",INDEX('Program LTR Retention'!R:R,$Y33))</f>
        <v>—</v>
      </c>
      <c r="T33" s="146" t="str">
        <f aca="false">IF($Y33="","—",INDEX('Program LTR Retention'!S:S,$Y33))</f>
        <v>—</v>
      </c>
      <c r="U33" s="146" t="str">
        <f aca="false">IF($Y33="","—",INDEX('Program LTR Retention'!T:T,$Y33))</f>
        <v>—</v>
      </c>
      <c r="V33" s="146" t="str">
        <f aca="false">IF($Y33="","—",INDEX('Program LTR Retention'!U:U,$Y33))</f>
        <v>—</v>
      </c>
      <c r="W33" s="147" t="str">
        <f aca="false">IF($Y33="","—",SUM(C33:V33))</f>
        <v>—</v>
      </c>
      <c r="Y33" s="158"/>
    </row>
    <row r="34" customFormat="false" ht="15" hidden="false" customHeight="true" outlineLevel="0" collapsed="false">
      <c r="A34" s="148" t="str">
        <f aca="false">'Program List'!A29</f>
        <v>M374</v>
      </c>
      <c r="B34" s="149" t="str">
        <f aca="false">'Program List'!B29</f>
        <v>Master of Science in Engineering Leadership and Management</v>
      </c>
      <c r="C34" s="150" t="n">
        <f aca="false">IF($Y34="","—",INDEX('Program LTR Retention'!B:B,$Y34))</f>
        <v>0</v>
      </c>
      <c r="D34" s="150" t="n">
        <f aca="false">IF($Y34="","—",INDEX('Program LTR Retention'!C:C,$Y34))</f>
        <v>0</v>
      </c>
      <c r="E34" s="150" t="n">
        <f aca="false">IF($Y34="","—",INDEX('Program LTR Retention'!D:D,$Y34))</f>
        <v>0</v>
      </c>
      <c r="F34" s="150" t="n">
        <f aca="false">IF($Y34="","—",INDEX('Program LTR Retention'!E:E,$Y34))</f>
        <v>0</v>
      </c>
      <c r="G34" s="150" t="n">
        <f aca="false">IF($Y34="","—",INDEX('Program LTR Retention'!F:F,$Y34))</f>
        <v>0</v>
      </c>
      <c r="H34" s="150" t="n">
        <f aca="false">IF($Y34="","—",INDEX('Program LTR Retention'!G:G,$Y34))</f>
        <v>0</v>
      </c>
      <c r="I34" s="150" t="n">
        <f aca="false">IF($Y34="","—",INDEX('Program LTR Retention'!H:H,$Y34))</f>
        <v>0</v>
      </c>
      <c r="J34" s="150" t="n">
        <f aca="false">IF($Y34="","—",INDEX('Program LTR Retention'!I:I,$Y34))</f>
        <v>0</v>
      </c>
      <c r="K34" s="150" t="n">
        <f aca="false">IF($Y34="","—",INDEX('Program LTR Retention'!J:J,$Y34))</f>
        <v>0</v>
      </c>
      <c r="L34" s="150" t="n">
        <f aca="false">IF($Y34="","—",INDEX('Program LTR Retention'!K:K,$Y34))</f>
        <v>0</v>
      </c>
      <c r="M34" s="150" t="n">
        <f aca="false">IF($Y34="","—",INDEX('Program LTR Retention'!L:L,$Y34))</f>
        <v>0</v>
      </c>
      <c r="N34" s="150" t="n">
        <f aca="false">IF($Y34="","—",INDEX('Program LTR Retention'!M:M,$Y34))</f>
        <v>24</v>
      </c>
      <c r="O34" s="150" t="n">
        <f aca="false">IF($Y34="","—",INDEX('Program LTR Retention'!N:N,$Y34))</f>
        <v>20</v>
      </c>
      <c r="P34" s="150" t="n">
        <f aca="false">IF($Y34="","—",INDEX('Program LTR Retention'!O:O,$Y34))</f>
        <v>54</v>
      </c>
      <c r="Q34" s="150" t="n">
        <f aca="false">IF($Y34="","—",INDEX('Program LTR Retention'!P:P,$Y34))</f>
        <v>72</v>
      </c>
      <c r="R34" s="150" t="n">
        <f aca="false">IF($Y34="","—",INDEX('Program LTR Retention'!Q:Q,$Y34))</f>
        <v>61</v>
      </c>
      <c r="S34" s="150" t="n">
        <f aca="false">IF($Y34="","—",INDEX('Program LTR Retention'!R:R,$Y34))</f>
        <v>72</v>
      </c>
      <c r="T34" s="150" t="n">
        <f aca="false">IF($Y34="","—",INDEX('Program LTR Retention'!S:S,$Y34))</f>
        <v>75</v>
      </c>
      <c r="U34" s="150" t="n">
        <f aca="false">IF($Y34="","—",INDEX('Program LTR Retention'!T:T,$Y34))</f>
        <v>66</v>
      </c>
      <c r="V34" s="150" t="n">
        <f aca="false">IF($Y34="","—",INDEX('Program LTR Retention'!U:U,$Y34))</f>
        <v>91</v>
      </c>
      <c r="W34" s="151" t="n">
        <f aca="false">IF($Y34="","—",SUM(C34:V34))</f>
        <v>535</v>
      </c>
      <c r="Y34" s="158" t="n">
        <v>402</v>
      </c>
    </row>
    <row r="35" customFormat="false" ht="15" hidden="false" customHeight="true" outlineLevel="0" collapsed="false">
      <c r="A35" s="144" t="str">
        <f aca="false">'Program List'!A30</f>
        <v>M435</v>
      </c>
      <c r="B35" s="145" t="str">
        <f aca="false">'Program List'!B30</f>
        <v>Master of Science in Finance</v>
      </c>
      <c r="C35" s="146" t="n">
        <f aca="false">IF($Y35="","—",INDEX('Program LTR Retention'!B:B,$Y35))</f>
        <v>3</v>
      </c>
      <c r="D35" s="146" t="n">
        <f aca="false">IF($Y35="","—",INDEX('Program LTR Retention'!C:C,$Y35))</f>
        <v>50</v>
      </c>
      <c r="E35" s="146" t="n">
        <f aca="false">IF($Y35="","—",INDEX('Program LTR Retention'!D:D,$Y35))</f>
        <v>80</v>
      </c>
      <c r="F35" s="146" t="n">
        <f aca="false">IF($Y35="","—",INDEX('Program LTR Retention'!E:E,$Y35))</f>
        <v>68</v>
      </c>
      <c r="G35" s="146" t="n">
        <f aca="false">IF($Y35="","—",INDEX('Program LTR Retention'!F:F,$Y35))</f>
        <v>107</v>
      </c>
      <c r="H35" s="146" t="n">
        <f aca="false">IF($Y35="","—",INDEX('Program LTR Retention'!G:G,$Y35))</f>
        <v>100</v>
      </c>
      <c r="I35" s="146" t="n">
        <f aca="false">IF($Y35="","—",INDEX('Program LTR Retention'!H:H,$Y35))</f>
        <v>73</v>
      </c>
      <c r="J35" s="146" t="n">
        <f aca="false">IF($Y35="","—",INDEX('Program LTR Retention'!I:I,$Y35))</f>
        <v>104</v>
      </c>
      <c r="K35" s="146" t="n">
        <f aca="false">IF($Y35="","—",INDEX('Program LTR Retention'!J:J,$Y35))</f>
        <v>83</v>
      </c>
      <c r="L35" s="146" t="n">
        <f aca="false">IF($Y35="","—",INDEX('Program LTR Retention'!K:K,$Y35))</f>
        <v>50</v>
      </c>
      <c r="M35" s="146" t="n">
        <f aca="false">IF($Y35="","—",INDEX('Program LTR Retention'!L:L,$Y35))</f>
        <v>75</v>
      </c>
      <c r="N35" s="146" t="n">
        <f aca="false">IF($Y35="","—",INDEX('Program LTR Retention'!M:M,$Y35))</f>
        <v>63</v>
      </c>
      <c r="O35" s="146" t="n">
        <f aca="false">IF($Y35="","—",INDEX('Program LTR Retention'!N:N,$Y35))</f>
        <v>42</v>
      </c>
      <c r="P35" s="146" t="n">
        <f aca="false">IF($Y35="","—",INDEX('Program LTR Retention'!O:O,$Y35))</f>
        <v>65</v>
      </c>
      <c r="Q35" s="146" t="n">
        <f aca="false">IF($Y35="","—",INDEX('Program LTR Retention'!P:P,$Y35))</f>
        <v>60</v>
      </c>
      <c r="R35" s="146" t="n">
        <f aca="false">IF($Y35="","—",INDEX('Program LTR Retention'!Q:Q,$Y35))</f>
        <v>46</v>
      </c>
      <c r="S35" s="146" t="n">
        <f aca="false">IF($Y35="","—",INDEX('Program LTR Retention'!R:R,$Y35))</f>
        <v>72</v>
      </c>
      <c r="T35" s="146" t="n">
        <f aca="false">IF($Y35="","—",INDEX('Program LTR Retention'!S:S,$Y35))</f>
        <v>73</v>
      </c>
      <c r="U35" s="146" t="n">
        <f aca="false">IF($Y35="","—",INDEX('Program LTR Retention'!T:T,$Y35))</f>
        <v>55</v>
      </c>
      <c r="V35" s="146" t="n">
        <f aca="false">IF($Y35="","—",INDEX('Program LTR Retention'!U:U,$Y35))</f>
        <v>77</v>
      </c>
      <c r="W35" s="147" t="n">
        <f aca="false">IF($Y35="","—",SUM(C35:V35))</f>
        <v>1346</v>
      </c>
      <c r="Y35" s="158" t="n">
        <v>426</v>
      </c>
    </row>
    <row r="36" customFormat="false" ht="15" hidden="false" customHeight="true" outlineLevel="0" collapsed="false">
      <c r="A36" s="148" t="str">
        <f aca="false">'Program List'!A31</f>
        <v>M464</v>
      </c>
      <c r="B36" s="149" t="str">
        <f aca="false">'Program List'!B31</f>
        <v>Master of Science in Geospatial Technology</v>
      </c>
      <c r="C36" s="150" t="n">
        <f aca="false">IF($Y36="","—",INDEX('Program LTR Retention'!B:B,$Y36))</f>
        <v>0</v>
      </c>
      <c r="D36" s="150" t="n">
        <f aca="false">IF($Y36="","—",INDEX('Program LTR Retention'!C:C,$Y36))</f>
        <v>18</v>
      </c>
      <c r="E36" s="150" t="n">
        <f aca="false">IF($Y36="","—",INDEX('Program LTR Retention'!D:D,$Y36))</f>
        <v>36</v>
      </c>
      <c r="F36" s="150" t="n">
        <f aca="false">IF($Y36="","—",INDEX('Program LTR Retention'!E:E,$Y36))</f>
        <v>30</v>
      </c>
      <c r="G36" s="150" t="n">
        <f aca="false">IF($Y36="","—",INDEX('Program LTR Retention'!F:F,$Y36))</f>
        <v>46</v>
      </c>
      <c r="H36" s="150" t="n">
        <f aca="false">IF($Y36="","—",INDEX('Program LTR Retention'!G:G,$Y36))</f>
        <v>51</v>
      </c>
      <c r="I36" s="150" t="n">
        <f aca="false">IF($Y36="","—",INDEX('Program LTR Retention'!H:H,$Y36))</f>
        <v>39</v>
      </c>
      <c r="J36" s="150" t="n">
        <f aca="false">IF($Y36="","—",INDEX('Program LTR Retention'!I:I,$Y36))</f>
        <v>36</v>
      </c>
      <c r="K36" s="150" t="n">
        <f aca="false">IF($Y36="","—",INDEX('Program LTR Retention'!J:J,$Y36))</f>
        <v>40</v>
      </c>
      <c r="L36" s="150" t="n">
        <f aca="false">IF($Y36="","—",INDEX('Program LTR Retention'!K:K,$Y36))</f>
        <v>24</v>
      </c>
      <c r="M36" s="150" t="n">
        <f aca="false">IF($Y36="","—",INDEX('Program LTR Retention'!L:L,$Y36))</f>
        <v>27</v>
      </c>
      <c r="N36" s="150" t="n">
        <f aca="false">IF($Y36="","—",INDEX('Program LTR Retention'!M:M,$Y36))</f>
        <v>34</v>
      </c>
      <c r="O36" s="150" t="n">
        <f aca="false">IF($Y36="","—",INDEX('Program LTR Retention'!N:N,$Y36))</f>
        <v>16</v>
      </c>
      <c r="P36" s="150" t="n">
        <f aca="false">IF($Y36="","—",INDEX('Program LTR Retention'!O:O,$Y36))</f>
        <v>26</v>
      </c>
      <c r="Q36" s="150" t="n">
        <f aca="false">IF($Y36="","—",INDEX('Program LTR Retention'!P:P,$Y36))</f>
        <v>22</v>
      </c>
      <c r="R36" s="150" t="n">
        <f aca="false">IF($Y36="","—",INDEX('Program LTR Retention'!Q:Q,$Y36))</f>
        <v>20</v>
      </c>
      <c r="S36" s="150" t="n">
        <f aca="false">IF($Y36="","—",INDEX('Program LTR Retention'!R:R,$Y36))</f>
        <v>18</v>
      </c>
      <c r="T36" s="150" t="n">
        <f aca="false">IF($Y36="","—",INDEX('Program LTR Retention'!S:S,$Y36))</f>
        <v>19</v>
      </c>
      <c r="U36" s="150" t="n">
        <f aca="false">IF($Y36="","—",INDEX('Program LTR Retention'!T:T,$Y36))</f>
        <v>12</v>
      </c>
      <c r="V36" s="150" t="n">
        <f aca="false">IF($Y36="","—",INDEX('Program LTR Retention'!U:U,$Y36))</f>
        <v>15</v>
      </c>
      <c r="W36" s="151" t="n">
        <f aca="false">IF($Y36="","—",SUM(C36:V36))</f>
        <v>529</v>
      </c>
      <c r="Y36" s="158" t="n">
        <v>443</v>
      </c>
    </row>
    <row r="37" customFormat="false" ht="15" hidden="false" customHeight="true" outlineLevel="0" collapsed="false">
      <c r="A37" s="144" t="str">
        <f aca="false">'Program List'!A32</f>
        <v>M527</v>
      </c>
      <c r="B37" s="145" t="str">
        <f aca="false">'Program List'!B32</f>
        <v>Master of Science in Industrial and Systems Engineering</v>
      </c>
      <c r="C37" s="146" t="n">
        <f aca="false">IF($Y37="","—",INDEX('Program LTR Retention'!B:B,$Y37))</f>
        <v>0</v>
      </c>
      <c r="D37" s="146" t="n">
        <f aca="false">IF($Y37="","—",INDEX('Program LTR Retention'!C:C,$Y37))</f>
        <v>0</v>
      </c>
      <c r="E37" s="146" t="n">
        <f aca="false">IF($Y37="","—",INDEX('Program LTR Retention'!D:D,$Y37))</f>
        <v>0</v>
      </c>
      <c r="F37" s="146" t="n">
        <f aca="false">IF($Y37="","—",INDEX('Program LTR Retention'!E:E,$Y37))</f>
        <v>0</v>
      </c>
      <c r="G37" s="146" t="n">
        <f aca="false">IF($Y37="","—",INDEX('Program LTR Retention'!F:F,$Y37))</f>
        <v>8</v>
      </c>
      <c r="H37" s="146" t="n">
        <f aca="false">IF($Y37="","—",INDEX('Program LTR Retention'!G:G,$Y37))</f>
        <v>21</v>
      </c>
      <c r="I37" s="146" t="n">
        <f aca="false">IF($Y37="","—",INDEX('Program LTR Retention'!H:H,$Y37))</f>
        <v>10</v>
      </c>
      <c r="J37" s="146" t="n">
        <f aca="false">IF($Y37="","—",INDEX('Program LTR Retention'!I:I,$Y37))</f>
        <v>22</v>
      </c>
      <c r="K37" s="146" t="n">
        <f aca="false">IF($Y37="","—",INDEX('Program LTR Retention'!J:J,$Y37))</f>
        <v>26</v>
      </c>
      <c r="L37" s="146" t="n">
        <f aca="false">IF($Y37="","—",INDEX('Program LTR Retention'!K:K,$Y37))</f>
        <v>20</v>
      </c>
      <c r="M37" s="146" t="n">
        <f aca="false">IF($Y37="","—",INDEX('Program LTR Retention'!L:L,$Y37))</f>
        <v>37</v>
      </c>
      <c r="N37" s="146" t="n">
        <f aca="false">IF($Y37="","—",INDEX('Program LTR Retention'!M:M,$Y37))</f>
        <v>53</v>
      </c>
      <c r="O37" s="146" t="n">
        <f aca="false">IF($Y37="","—",INDEX('Program LTR Retention'!N:N,$Y37))</f>
        <v>42</v>
      </c>
      <c r="P37" s="146" t="n">
        <f aca="false">IF($Y37="","—",INDEX('Program LTR Retention'!O:O,$Y37))</f>
        <v>63</v>
      </c>
      <c r="Q37" s="146" t="n">
        <f aca="false">IF($Y37="","—",INDEX('Program LTR Retention'!P:P,$Y37))</f>
        <v>89</v>
      </c>
      <c r="R37" s="146" t="n">
        <f aca="false">IF($Y37="","—",INDEX('Program LTR Retention'!Q:Q,$Y37))</f>
        <v>57</v>
      </c>
      <c r="S37" s="146" t="n">
        <f aca="false">IF($Y37="","—",INDEX('Program LTR Retention'!R:R,$Y37))</f>
        <v>71</v>
      </c>
      <c r="T37" s="146" t="n">
        <f aca="false">IF($Y37="","—",INDEX('Program LTR Retention'!S:S,$Y37))</f>
        <v>98</v>
      </c>
      <c r="U37" s="146" t="n">
        <f aca="false">IF($Y37="","—",INDEX('Program LTR Retention'!T:T,$Y37))</f>
        <v>65</v>
      </c>
      <c r="V37" s="146" t="n">
        <f aca="false">IF($Y37="","—",INDEX('Program LTR Retention'!U:U,$Y37))</f>
        <v>93</v>
      </c>
      <c r="W37" s="147" t="n">
        <f aca="false">IF($Y37="","—",SUM(C37:V37))</f>
        <v>775</v>
      </c>
      <c r="Y37" s="158" t="n">
        <v>458</v>
      </c>
    </row>
    <row r="38" customFormat="false" ht="15" hidden="false" customHeight="true" outlineLevel="0" collapsed="false">
      <c r="A38" s="148" t="str">
        <f aca="false">'Program List'!A33</f>
        <v>M746</v>
      </c>
      <c r="B38" s="149" t="str">
        <f aca="false">'Program List'!B33</f>
        <v>Master of Science in Natural Gas Engineering and Management</v>
      </c>
      <c r="C38" s="150" t="n">
        <f aca="false">IF($Y38="","—",INDEX('Program LTR Retention'!B:B,$Y38))</f>
        <v>3</v>
      </c>
      <c r="D38" s="150" t="n">
        <f aca="false">IF($Y38="","—",INDEX('Program LTR Retention'!C:C,$Y38))</f>
        <v>9</v>
      </c>
      <c r="E38" s="150" t="n">
        <f aca="false">IF($Y38="","—",INDEX('Program LTR Retention'!D:D,$Y38))</f>
        <v>11</v>
      </c>
      <c r="F38" s="150" t="n">
        <f aca="false">IF($Y38="","—",INDEX('Program LTR Retention'!E:E,$Y38))</f>
        <v>9</v>
      </c>
      <c r="G38" s="150" t="n">
        <f aca="false">IF($Y38="","—",INDEX('Program LTR Retention'!F:F,$Y38))</f>
        <v>20</v>
      </c>
      <c r="H38" s="150" t="n">
        <f aca="false">IF($Y38="","—",INDEX('Program LTR Retention'!G:G,$Y38))</f>
        <v>25</v>
      </c>
      <c r="I38" s="150" t="n">
        <f aca="false">IF($Y38="","—",INDEX('Program LTR Retention'!H:H,$Y38))</f>
        <v>16</v>
      </c>
      <c r="J38" s="150" t="n">
        <f aca="false">IF($Y38="","—",INDEX('Program LTR Retention'!I:I,$Y38))</f>
        <v>26</v>
      </c>
      <c r="K38" s="150" t="n">
        <f aca="false">IF($Y38="","—",INDEX('Program LTR Retention'!J:J,$Y38))</f>
        <v>30</v>
      </c>
      <c r="L38" s="150" t="n">
        <f aca="false">IF($Y38="","—",INDEX('Program LTR Retention'!K:K,$Y38))</f>
        <v>19</v>
      </c>
      <c r="M38" s="150" t="n">
        <f aca="false">IF($Y38="","—",INDEX('Program LTR Retention'!L:L,$Y38))</f>
        <v>37</v>
      </c>
      <c r="N38" s="150" t="n">
        <f aca="false">IF($Y38="","—",INDEX('Program LTR Retention'!M:M,$Y38))</f>
        <v>51</v>
      </c>
      <c r="O38" s="150" t="n">
        <f aca="false">IF($Y38="","—",INDEX('Program LTR Retention'!N:N,$Y38))</f>
        <v>34</v>
      </c>
      <c r="P38" s="150" t="n">
        <f aca="false">IF($Y38="","—",INDEX('Program LTR Retention'!O:O,$Y38))</f>
        <v>49</v>
      </c>
      <c r="Q38" s="150" t="n">
        <f aca="false">IF($Y38="","—",INDEX('Program LTR Retention'!P:P,$Y38))</f>
        <v>54</v>
      </c>
      <c r="R38" s="150" t="n">
        <f aca="false">IF($Y38="","—",INDEX('Program LTR Retention'!Q:Q,$Y38))</f>
        <v>36</v>
      </c>
      <c r="S38" s="150" t="n">
        <f aca="false">IF($Y38="","—",INDEX('Program LTR Retention'!R:R,$Y38))</f>
        <v>50</v>
      </c>
      <c r="T38" s="150" t="n">
        <f aca="false">IF($Y38="","—",INDEX('Program LTR Retention'!S:S,$Y38))</f>
        <v>60</v>
      </c>
      <c r="U38" s="150" t="n">
        <f aca="false">IF($Y38="","—",INDEX('Program LTR Retention'!T:T,$Y38))</f>
        <v>41</v>
      </c>
      <c r="V38" s="150" t="n">
        <f aca="false">IF($Y38="","—",INDEX('Program LTR Retention'!U:U,$Y38))</f>
        <v>59</v>
      </c>
      <c r="W38" s="151" t="n">
        <f aca="false">IF($Y38="","—",SUM(C38:V38))</f>
        <v>639</v>
      </c>
      <c r="Y38" s="158" t="n">
        <v>477</v>
      </c>
    </row>
    <row r="39" customFormat="false" ht="15" hidden="false" customHeight="true" outlineLevel="0" collapsed="false">
      <c r="A39" s="144" t="str">
        <f aca="false">'Program List'!A34</f>
        <v>M861</v>
      </c>
      <c r="B39" s="145" t="str">
        <f aca="false">'Program List'!B34</f>
        <v>Master of Science in Supply Chain Management</v>
      </c>
      <c r="C39" s="146" t="n">
        <f aca="false">IF($Y39="","—",INDEX('Program LTR Retention'!B:B,$Y39))</f>
        <v>0</v>
      </c>
      <c r="D39" s="146" t="n">
        <f aca="false">IF($Y39="","—",INDEX('Program LTR Retention'!C:C,$Y39))</f>
        <v>0</v>
      </c>
      <c r="E39" s="146" t="n">
        <f aca="false">IF($Y39="","—",INDEX('Program LTR Retention'!D:D,$Y39))</f>
        <v>0</v>
      </c>
      <c r="F39" s="146" t="n">
        <f aca="false">IF($Y39="","—",INDEX('Program LTR Retention'!E:E,$Y39))</f>
        <v>0</v>
      </c>
      <c r="G39" s="146" t="n">
        <f aca="false">IF($Y39="","—",INDEX('Program LTR Retention'!F:F,$Y39))</f>
        <v>0</v>
      </c>
      <c r="H39" s="146" t="n">
        <f aca="false">IF($Y39="","—",INDEX('Program LTR Retention'!G:G,$Y39))</f>
        <v>0</v>
      </c>
      <c r="I39" s="146" t="n">
        <f aca="false">IF($Y39="","—",INDEX('Program LTR Retention'!H:H,$Y39))</f>
        <v>0</v>
      </c>
      <c r="J39" s="146" t="n">
        <f aca="false">IF($Y39="","—",INDEX('Program LTR Retention'!I:I,$Y39))</f>
        <v>10</v>
      </c>
      <c r="K39" s="146" t="n">
        <f aca="false">IF($Y39="","—",INDEX('Program LTR Retention'!J:J,$Y39))</f>
        <v>29</v>
      </c>
      <c r="L39" s="146" t="n">
        <f aca="false">IF($Y39="","—",INDEX('Program LTR Retention'!K:K,$Y39))</f>
        <v>25</v>
      </c>
      <c r="M39" s="146" t="n">
        <f aca="false">IF($Y39="","—",INDEX('Program LTR Retention'!L:L,$Y39))</f>
        <v>59</v>
      </c>
      <c r="N39" s="146" t="n">
        <f aca="false">IF($Y39="","—",INDEX('Program LTR Retention'!M:M,$Y39))</f>
        <v>72</v>
      </c>
      <c r="O39" s="146" t="n">
        <f aca="false">IF($Y39="","—",INDEX('Program LTR Retention'!N:N,$Y39))</f>
        <v>55</v>
      </c>
      <c r="P39" s="146" t="n">
        <f aca="false">IF($Y39="","—",INDEX('Program LTR Retention'!O:O,$Y39))</f>
        <v>72</v>
      </c>
      <c r="Q39" s="146" t="n">
        <f aca="false">IF($Y39="","—",INDEX('Program LTR Retention'!P:P,$Y39))</f>
        <v>58</v>
      </c>
      <c r="R39" s="146" t="n">
        <f aca="false">IF($Y39="","—",INDEX('Program LTR Retention'!Q:Q,$Y39))</f>
        <v>40</v>
      </c>
      <c r="S39" s="146" t="n">
        <f aca="false">IF($Y39="","—",INDEX('Program LTR Retention'!R:R,$Y39))</f>
        <v>80</v>
      </c>
      <c r="T39" s="146" t="n">
        <f aca="false">IF($Y39="","—",INDEX('Program LTR Retention'!S:S,$Y39))</f>
        <v>72</v>
      </c>
      <c r="U39" s="146" t="n">
        <f aca="false">IF($Y39="","—",INDEX('Program LTR Retention'!T:T,$Y39))</f>
        <v>54</v>
      </c>
      <c r="V39" s="146" t="n">
        <f aca="false">IF($Y39="","—",INDEX('Program LTR Retention'!U:U,$Y39))</f>
        <v>80</v>
      </c>
      <c r="W39" s="147" t="n">
        <f aca="false">IF($Y39="","—",SUM(C39:V39))</f>
        <v>706</v>
      </c>
      <c r="Y39" s="158" t="n">
        <v>494</v>
      </c>
    </row>
    <row r="40" customFormat="false" ht="15" hidden="false" customHeight="true" outlineLevel="0" collapsed="false">
      <c r="A40" s="148" t="str">
        <f aca="false">'Program List'!A35</f>
        <v>M869</v>
      </c>
      <c r="B40" s="149" t="str">
        <f aca="false">'Program List'!B35</f>
        <v>Master of Science in Sustainability - Energy and Materials Mgmt</v>
      </c>
      <c r="C40" s="150" t="n">
        <f aca="false">IF($Y40="","—",INDEX('Program LTR Retention'!B:B,$Y40))</f>
        <v>0</v>
      </c>
      <c r="D40" s="150" t="n">
        <f aca="false">IF($Y40="","—",INDEX('Program LTR Retention'!C:C,$Y40))</f>
        <v>0</v>
      </c>
      <c r="E40" s="150" t="n">
        <f aca="false">IF($Y40="","—",INDEX('Program LTR Retention'!D:D,$Y40))</f>
        <v>0</v>
      </c>
      <c r="F40" s="150" t="n">
        <f aca="false">IF($Y40="","—",INDEX('Program LTR Retention'!E:E,$Y40))</f>
        <v>0</v>
      </c>
      <c r="G40" s="150" t="n">
        <f aca="false">IF($Y40="","—",INDEX('Program LTR Retention'!F:F,$Y40))</f>
        <v>0</v>
      </c>
      <c r="H40" s="150" t="n">
        <f aca="false">IF($Y40="","—",INDEX('Program LTR Retention'!G:G,$Y40))</f>
        <v>0</v>
      </c>
      <c r="I40" s="150" t="n">
        <f aca="false">IF($Y40="","—",INDEX('Program LTR Retention'!H:H,$Y40))</f>
        <v>0</v>
      </c>
      <c r="J40" s="150" t="n">
        <f aca="false">IF($Y40="","—",INDEX('Program LTR Retention'!I:I,$Y40))</f>
        <v>0</v>
      </c>
      <c r="K40" s="150" t="n">
        <f aca="false">IF($Y40="","—",INDEX('Program LTR Retention'!J:J,$Y40))</f>
        <v>0</v>
      </c>
      <c r="L40" s="150" t="n">
        <f aca="false">IF($Y40="","—",INDEX('Program LTR Retention'!K:K,$Y40))</f>
        <v>0</v>
      </c>
      <c r="M40" s="150" t="n">
        <f aca="false">IF($Y40="","—",INDEX('Program LTR Retention'!L:L,$Y40))</f>
        <v>14</v>
      </c>
      <c r="N40" s="150" t="n">
        <f aca="false">IF($Y40="","—",INDEX('Program LTR Retention'!M:M,$Y40))</f>
        <v>24</v>
      </c>
      <c r="O40" s="150" t="n">
        <f aca="false">IF($Y40="","—",INDEX('Program LTR Retention'!N:N,$Y40))</f>
        <v>16</v>
      </c>
      <c r="P40" s="150" t="n">
        <f aca="false">IF($Y40="","—",INDEX('Program LTR Retention'!O:O,$Y40))</f>
        <v>45</v>
      </c>
      <c r="Q40" s="150" t="n">
        <f aca="false">IF($Y40="","—",INDEX('Program LTR Retention'!P:P,$Y40))</f>
        <v>63</v>
      </c>
      <c r="R40" s="150" t="n">
        <f aca="false">IF($Y40="","—",INDEX('Program LTR Retention'!Q:Q,$Y40))</f>
        <v>47</v>
      </c>
      <c r="S40" s="150" t="n">
        <f aca="false">IF($Y40="","—",INDEX('Program LTR Retention'!R:R,$Y40))</f>
        <v>65</v>
      </c>
      <c r="T40" s="150" t="n">
        <f aca="false">IF($Y40="","—",INDEX('Program LTR Retention'!S:S,$Y40))</f>
        <v>64</v>
      </c>
      <c r="U40" s="150" t="n">
        <f aca="false">IF($Y40="","—",INDEX('Program LTR Retention'!T:T,$Y40))</f>
        <v>35</v>
      </c>
      <c r="V40" s="150" t="n">
        <f aca="false">IF($Y40="","—",INDEX('Program LTR Retention'!U:U,$Y40))</f>
        <v>40</v>
      </c>
      <c r="W40" s="151" t="n">
        <f aca="false">IF($Y40="","—",SUM(C40:V40))</f>
        <v>413</v>
      </c>
      <c r="Y40" s="158" t="n">
        <v>505</v>
      </c>
    </row>
    <row r="41" customFormat="false" ht="15" hidden="false" customHeight="true" outlineLevel="0" collapsed="false">
      <c r="A41" s="144" t="str">
        <f aca="false">'Program List'!A36</f>
        <v>M867</v>
      </c>
      <c r="B41" s="145" t="str">
        <f aca="false">'Program List'!B36</f>
        <v>Master of Science in Sustainable Architecture</v>
      </c>
      <c r="C41" s="146" t="n">
        <f aca="false">IF($Y41="","—",INDEX('Program LTR Retention'!B:B,$Y41))</f>
        <v>0</v>
      </c>
      <c r="D41" s="146" t="n">
        <f aca="false">IF($Y41="","—",INDEX('Program LTR Retention'!C:C,$Y41))</f>
        <v>0</v>
      </c>
      <c r="E41" s="146" t="n">
        <f aca="false">IF($Y41="","—",INDEX('Program LTR Retention'!D:D,$Y41))</f>
        <v>0</v>
      </c>
      <c r="F41" s="146" t="n">
        <f aca="false">IF($Y41="","—",INDEX('Program LTR Retention'!E:E,$Y41))</f>
        <v>0</v>
      </c>
      <c r="G41" s="146" t="n">
        <f aca="false">IF($Y41="","—",INDEX('Program LTR Retention'!F:F,$Y41))</f>
        <v>0</v>
      </c>
      <c r="H41" s="146" t="n">
        <f aca="false">IF($Y41="","—",INDEX('Program LTR Retention'!G:G,$Y41))</f>
        <v>0</v>
      </c>
      <c r="I41" s="146" t="n">
        <f aca="false">IF($Y41="","—",INDEX('Program LTR Retention'!H:H,$Y41))</f>
        <v>0</v>
      </c>
      <c r="J41" s="146" t="n">
        <f aca="false">IF($Y41="","—",INDEX('Program LTR Retention'!I:I,$Y41))</f>
        <v>0</v>
      </c>
      <c r="K41" s="146" t="n">
        <f aca="false">IF($Y41="","—",INDEX('Program LTR Retention'!J:J,$Y41))</f>
        <v>0</v>
      </c>
      <c r="L41" s="146" t="n">
        <f aca="false">IF($Y41="","—",INDEX('Program LTR Retention'!K:K,$Y41))</f>
        <v>0</v>
      </c>
      <c r="M41" s="146" t="n">
        <f aca="false">IF($Y41="","—",INDEX('Program LTR Retention'!L:L,$Y41))</f>
        <v>0</v>
      </c>
      <c r="N41" s="146" t="n">
        <f aca="false">IF($Y41="","—",INDEX('Program LTR Retention'!M:M,$Y41))</f>
        <v>20</v>
      </c>
      <c r="O41" s="146" t="n">
        <f aca="false">IF($Y41="","—",INDEX('Program LTR Retention'!N:N,$Y41))</f>
        <v>13</v>
      </c>
      <c r="P41" s="146" t="n">
        <f aca="false">IF($Y41="","—",INDEX('Program LTR Retention'!O:O,$Y41))</f>
        <v>34</v>
      </c>
      <c r="Q41" s="146" t="n">
        <f aca="false">IF($Y41="","—",INDEX('Program LTR Retention'!P:P,$Y41))</f>
        <v>38</v>
      </c>
      <c r="R41" s="146" t="n">
        <f aca="false">IF($Y41="","—",INDEX('Program LTR Retention'!Q:Q,$Y41))</f>
        <v>21</v>
      </c>
      <c r="S41" s="146" t="n">
        <f aca="false">IF($Y41="","—",INDEX('Program LTR Retention'!R:R,$Y41))</f>
        <v>35</v>
      </c>
      <c r="T41" s="146" t="n">
        <f aca="false">IF($Y41="","—",INDEX('Program LTR Retention'!S:S,$Y41))</f>
        <v>24</v>
      </c>
      <c r="U41" s="146" t="n">
        <f aca="false">IF($Y41="","—",INDEX('Program LTR Retention'!T:T,$Y41))</f>
        <v>11</v>
      </c>
      <c r="V41" s="146" t="n">
        <f aca="false">IF($Y41="","—",INDEX('Program LTR Retention'!U:U,$Y41))</f>
        <v>19</v>
      </c>
      <c r="W41" s="147" t="n">
        <f aca="false">IF($Y41="","—",SUM(C41:V41))</f>
        <v>215</v>
      </c>
      <c r="Y41" s="158" t="n">
        <v>515</v>
      </c>
    </row>
    <row r="42" customFormat="false" ht="15" hidden="false" customHeight="true" outlineLevel="0" collapsed="false">
      <c r="A42" s="148" t="str">
        <f aca="false">'Program List'!A37</f>
        <v>M844</v>
      </c>
      <c r="B42" s="149" t="str">
        <f aca="false">'Program List'!B37</f>
        <v>Master of Social Work</v>
      </c>
      <c r="C42" s="150" t="n">
        <f aca="false">IF($Y42="","—",INDEX('Program LTR Retention'!B:B,$Y42))</f>
        <v>0</v>
      </c>
      <c r="D42" s="150" t="n">
        <f aca="false">IF($Y42="","—",INDEX('Program LTR Retention'!C:C,$Y42))</f>
        <v>85</v>
      </c>
      <c r="E42" s="150" t="n">
        <f aca="false">IF($Y42="","—",INDEX('Program LTR Retention'!D:D,$Y42))</f>
        <v>155</v>
      </c>
      <c r="F42" s="150" t="n">
        <f aca="false">IF($Y42="","—",INDEX('Program LTR Retention'!E:E,$Y42))</f>
        <v>138</v>
      </c>
      <c r="G42" s="150" t="n">
        <f aca="false">IF($Y42="","—",INDEX('Program LTR Retention'!F:F,$Y42))</f>
        <v>258</v>
      </c>
      <c r="H42" s="150" t="n">
        <f aca="false">IF($Y42="","—",INDEX('Program LTR Retention'!G:G,$Y42))</f>
        <v>348</v>
      </c>
      <c r="I42" s="150" t="n">
        <f aca="false">IF($Y42="","—",INDEX('Program LTR Retention'!H:H,$Y42))</f>
        <v>296</v>
      </c>
      <c r="J42" s="150" t="n">
        <f aca="false">IF($Y42="","—",INDEX('Program LTR Retention'!I:I,$Y42))</f>
        <v>422</v>
      </c>
      <c r="K42" s="150" t="n">
        <f aca="false">IF($Y42="","—",INDEX('Program LTR Retention'!J:J,$Y42))</f>
        <v>412</v>
      </c>
      <c r="L42" s="150" t="n">
        <f aca="false">IF($Y42="","—",INDEX('Program LTR Retention'!K:K,$Y42))</f>
        <v>310</v>
      </c>
      <c r="M42" s="150" t="n">
        <f aca="false">IF($Y42="","—",INDEX('Program LTR Retention'!L:L,$Y42))</f>
        <v>436</v>
      </c>
      <c r="N42" s="150" t="n">
        <f aca="false">IF($Y42="","—",INDEX('Program LTR Retention'!M:M,$Y42))</f>
        <v>441</v>
      </c>
      <c r="O42" s="150" t="n">
        <f aca="false">IF($Y42="","—",INDEX('Program LTR Retention'!N:N,$Y42))</f>
        <v>333</v>
      </c>
      <c r="P42" s="150" t="n">
        <f aca="false">IF($Y42="","—",INDEX('Program LTR Retention'!O:O,$Y42))</f>
        <v>440</v>
      </c>
      <c r="Q42" s="150" t="n">
        <f aca="false">IF($Y42="","—",INDEX('Program LTR Retention'!P:P,$Y42))</f>
        <v>408</v>
      </c>
      <c r="R42" s="150" t="n">
        <f aca="false">IF($Y42="","—",INDEX('Program LTR Retention'!Q:Q,$Y42))</f>
        <v>342</v>
      </c>
      <c r="S42" s="150" t="n">
        <f aca="false">IF($Y42="","—",INDEX('Program LTR Retention'!R:R,$Y42))</f>
        <v>434</v>
      </c>
      <c r="T42" s="150" t="n">
        <f aca="false">IF($Y42="","—",INDEX('Program LTR Retention'!S:S,$Y42))</f>
        <v>465</v>
      </c>
      <c r="U42" s="150" t="n">
        <f aca="false">IF($Y42="","—",INDEX('Program LTR Retention'!T:T,$Y42))</f>
        <v>417</v>
      </c>
      <c r="V42" s="150" t="n">
        <f aca="false">IF($Y42="","—",INDEX('Program LTR Retention'!U:U,$Y42))</f>
        <v>468</v>
      </c>
      <c r="W42" s="151" t="n">
        <f aca="false">IF($Y42="","—",SUM(C42:V42))</f>
        <v>6608</v>
      </c>
      <c r="Y42" s="158" t="n">
        <v>536</v>
      </c>
    </row>
    <row r="43" customFormat="false" ht="15" hidden="false" customHeight="true" outlineLevel="0" collapsed="false">
      <c r="A43" s="144" t="str">
        <f aca="false">'Program List'!A38</f>
        <v>1237Q</v>
      </c>
      <c r="B43" s="145" t="str">
        <f aca="false">'Program List'!B38</f>
        <v>Masters in Public Health</v>
      </c>
      <c r="C43" s="146" t="str">
        <f aca="false">IF($Y43="","—",INDEX('Program LTR Retention'!B:B,$Y43))</f>
        <v>—</v>
      </c>
      <c r="D43" s="146" t="str">
        <f aca="false">IF($Y43="","—",INDEX('Program LTR Retention'!C:C,$Y43))</f>
        <v>—</v>
      </c>
      <c r="E43" s="146" t="str">
        <f aca="false">IF($Y43="","—",INDEX('Program LTR Retention'!D:D,$Y43))</f>
        <v>—</v>
      </c>
      <c r="F43" s="146" t="str">
        <f aca="false">IF($Y43="","—",INDEX('Program LTR Retention'!E:E,$Y43))</f>
        <v>—</v>
      </c>
      <c r="G43" s="146" t="str">
        <f aca="false">IF($Y43="","—",INDEX('Program LTR Retention'!F:F,$Y43))</f>
        <v>—</v>
      </c>
      <c r="H43" s="146" t="str">
        <f aca="false">IF($Y43="","—",INDEX('Program LTR Retention'!G:G,$Y43))</f>
        <v>—</v>
      </c>
      <c r="I43" s="146" t="str">
        <f aca="false">IF($Y43="","—",INDEX('Program LTR Retention'!H:H,$Y43))</f>
        <v>—</v>
      </c>
      <c r="J43" s="146" t="str">
        <f aca="false">IF($Y43="","—",INDEX('Program LTR Retention'!I:I,$Y43))</f>
        <v>—</v>
      </c>
      <c r="K43" s="146" t="str">
        <f aca="false">IF($Y43="","—",INDEX('Program LTR Retention'!J:J,$Y43))</f>
        <v>—</v>
      </c>
      <c r="L43" s="146" t="str">
        <f aca="false">IF($Y43="","—",INDEX('Program LTR Retention'!K:K,$Y43))</f>
        <v>—</v>
      </c>
      <c r="M43" s="146" t="str">
        <f aca="false">IF($Y43="","—",INDEX('Program LTR Retention'!L:L,$Y43))</f>
        <v>—</v>
      </c>
      <c r="N43" s="146" t="str">
        <f aca="false">IF($Y43="","—",INDEX('Program LTR Retention'!M:M,$Y43))</f>
        <v>—</v>
      </c>
      <c r="O43" s="146" t="str">
        <f aca="false">IF($Y43="","—",INDEX('Program LTR Retention'!N:N,$Y43))</f>
        <v>—</v>
      </c>
      <c r="P43" s="146" t="str">
        <f aca="false">IF($Y43="","—",INDEX('Program LTR Retention'!O:O,$Y43))</f>
        <v>—</v>
      </c>
      <c r="Q43" s="146" t="str">
        <f aca="false">IF($Y43="","—",INDEX('Program LTR Retention'!P:P,$Y43))</f>
        <v>—</v>
      </c>
      <c r="R43" s="146" t="str">
        <f aca="false">IF($Y43="","—",INDEX('Program LTR Retention'!Q:Q,$Y43))</f>
        <v>—</v>
      </c>
      <c r="S43" s="146" t="str">
        <f aca="false">IF($Y43="","—",INDEX('Program LTR Retention'!R:R,$Y43))</f>
        <v>—</v>
      </c>
      <c r="T43" s="146" t="str">
        <f aca="false">IF($Y43="","—",INDEX('Program LTR Retention'!S:S,$Y43))</f>
        <v>—</v>
      </c>
      <c r="U43" s="146" t="str">
        <f aca="false">IF($Y43="","—",INDEX('Program LTR Retention'!T:T,$Y43))</f>
        <v>—</v>
      </c>
      <c r="V43" s="146" t="str">
        <f aca="false">IF($Y43="","—",INDEX('Program LTR Retention'!U:U,$Y43))</f>
        <v>—</v>
      </c>
      <c r="W43" s="147" t="str">
        <f aca="false">IF($Y43="","—",SUM(C43:V43))</f>
        <v>—</v>
      </c>
      <c r="Y43" s="158"/>
    </row>
    <row r="44" customFormat="false" ht="15" hidden="false" customHeight="true" outlineLevel="0" collapsed="false">
      <c r="A44" s="148" t="str">
        <f aca="false">'Program List'!A39</f>
        <v>M355</v>
      </c>
      <c r="B44" s="149" t="str">
        <f aca="false">'Program List'!B39</f>
        <v>Online LL.M. Energy and Natural Resources</v>
      </c>
      <c r="C44" s="150" t="n">
        <f aca="false">IF($Y44="","—",INDEX('Program LTR Retention'!B:B,$Y44))</f>
        <v>0</v>
      </c>
      <c r="D44" s="150" t="n">
        <f aca="false">IF($Y44="","—",INDEX('Program LTR Retention'!C:C,$Y44))</f>
        <v>0</v>
      </c>
      <c r="E44" s="150" t="n">
        <f aca="false">IF($Y44="","—",INDEX('Program LTR Retention'!D:D,$Y44))</f>
        <v>0</v>
      </c>
      <c r="F44" s="150" t="n">
        <f aca="false">IF($Y44="","—",INDEX('Program LTR Retention'!E:E,$Y44))</f>
        <v>0</v>
      </c>
      <c r="G44" s="150" t="n">
        <f aca="false">IF($Y44="","—",INDEX('Program LTR Retention'!F:F,$Y44))</f>
        <v>1</v>
      </c>
      <c r="H44" s="150" t="n">
        <f aca="false">IF($Y44="","—",INDEX('Program LTR Retention'!G:G,$Y44))</f>
        <v>3</v>
      </c>
      <c r="I44" s="150" t="n">
        <f aca="false">IF($Y44="","—",INDEX('Program LTR Retention'!H:H,$Y44))</f>
        <v>1</v>
      </c>
      <c r="J44" s="150" t="n">
        <f aca="false">IF($Y44="","—",INDEX('Program LTR Retention'!I:I,$Y44))</f>
        <v>2</v>
      </c>
      <c r="K44" s="150" t="n">
        <f aca="false">IF($Y44="","—",INDEX('Program LTR Retention'!J:J,$Y44))</f>
        <v>0</v>
      </c>
      <c r="L44" s="150" t="n">
        <f aca="false">IF($Y44="","—",INDEX('Program LTR Retention'!K:K,$Y44))</f>
        <v>0</v>
      </c>
      <c r="M44" s="150" t="n">
        <f aca="false">IF($Y44="","—",INDEX('Program LTR Retention'!L:L,$Y44))</f>
        <v>3</v>
      </c>
      <c r="N44" s="150" t="n">
        <f aca="false">IF($Y44="","—",INDEX('Program LTR Retention'!M:M,$Y44))</f>
        <v>4</v>
      </c>
      <c r="O44" s="150" t="n">
        <f aca="false">IF($Y44="","—",INDEX('Program LTR Retention'!N:N,$Y44))</f>
        <v>3</v>
      </c>
      <c r="P44" s="150" t="n">
        <f aca="false">IF($Y44="","—",INDEX('Program LTR Retention'!O:O,$Y44))</f>
        <v>6</v>
      </c>
      <c r="Q44" s="150" t="n">
        <f aca="false">IF($Y44="","—",INDEX('Program LTR Retention'!P:P,$Y44))</f>
        <v>4</v>
      </c>
      <c r="R44" s="150" t="n">
        <f aca="false">IF($Y44="","—",INDEX('Program LTR Retention'!Q:Q,$Y44))</f>
        <v>3</v>
      </c>
      <c r="S44" s="150" t="n">
        <f aca="false">IF($Y44="","—",INDEX('Program LTR Retention'!R:R,$Y44))</f>
        <v>3</v>
      </c>
      <c r="T44" s="150" t="n">
        <f aca="false">IF($Y44="","—",INDEX('Program LTR Retention'!S:S,$Y44))</f>
        <v>3</v>
      </c>
      <c r="U44" s="150" t="n">
        <f aca="false">IF($Y44="","—",INDEX('Program LTR Retention'!T:T,$Y44))</f>
        <v>2</v>
      </c>
      <c r="V44" s="150" t="n">
        <f aca="false">IF($Y44="","—",INDEX('Program LTR Retention'!U:U,$Y44))</f>
        <v>2</v>
      </c>
      <c r="W44" s="151" t="n">
        <f aca="false">IF($Y44="","—",SUM(C44:V44))</f>
        <v>40</v>
      </c>
      <c r="Y44" s="158" t="n">
        <v>552</v>
      </c>
    </row>
    <row r="45" customFormat="false" ht="15" hidden="false" customHeight="true" outlineLevel="0" collapsed="false">
      <c r="A45" s="144" t="str">
        <f aca="false">'Program List'!A40</f>
        <v>M504</v>
      </c>
      <c r="B45" s="145" t="str">
        <f aca="false">'Program List'!B40</f>
        <v>Online LL.M. Healthcare Law</v>
      </c>
      <c r="C45" s="146" t="n">
        <f aca="false">IF($Y45="","—",INDEX('Program LTR Retention'!B:B,$Y45))</f>
        <v>0</v>
      </c>
      <c r="D45" s="146" t="n">
        <f aca="false">IF($Y45="","—",INDEX('Program LTR Retention'!C:C,$Y45))</f>
        <v>0</v>
      </c>
      <c r="E45" s="146" t="n">
        <f aca="false">IF($Y45="","—",INDEX('Program LTR Retention'!D:D,$Y45))</f>
        <v>0</v>
      </c>
      <c r="F45" s="146" t="n">
        <f aca="false">IF($Y45="","—",INDEX('Program LTR Retention'!E:E,$Y45))</f>
        <v>1</v>
      </c>
      <c r="G45" s="146" t="n">
        <f aca="false">IF($Y45="","—",INDEX('Program LTR Retention'!F:F,$Y45))</f>
        <v>2</v>
      </c>
      <c r="H45" s="146" t="n">
        <f aca="false">IF($Y45="","—",INDEX('Program LTR Retention'!G:G,$Y45))</f>
        <v>1</v>
      </c>
      <c r="I45" s="146" t="n">
        <f aca="false">IF($Y45="","—",INDEX('Program LTR Retention'!H:H,$Y45))</f>
        <v>2</v>
      </c>
      <c r="J45" s="146" t="n">
        <f aca="false">IF($Y45="","—",INDEX('Program LTR Retention'!I:I,$Y45))</f>
        <v>1</v>
      </c>
      <c r="K45" s="146" t="n">
        <f aca="false">IF($Y45="","—",INDEX('Program LTR Retention'!J:J,$Y45))</f>
        <v>2</v>
      </c>
      <c r="L45" s="146" t="n">
        <f aca="false">IF($Y45="","—",INDEX('Program LTR Retention'!K:K,$Y45))</f>
        <v>2</v>
      </c>
      <c r="M45" s="146" t="n">
        <f aca="false">IF($Y45="","—",INDEX('Program LTR Retention'!L:L,$Y45))</f>
        <v>4</v>
      </c>
      <c r="N45" s="146" t="n">
        <f aca="false">IF($Y45="","—",INDEX('Program LTR Retention'!M:M,$Y45))</f>
        <v>2</v>
      </c>
      <c r="O45" s="146" t="n">
        <f aca="false">IF($Y45="","—",INDEX('Program LTR Retention'!N:N,$Y45))</f>
        <v>3</v>
      </c>
      <c r="P45" s="146" t="n">
        <f aca="false">IF($Y45="","—",INDEX('Program LTR Retention'!O:O,$Y45))</f>
        <v>1</v>
      </c>
      <c r="Q45" s="146" t="n">
        <f aca="false">IF($Y45="","—",INDEX('Program LTR Retention'!P:P,$Y45))</f>
        <v>2</v>
      </c>
      <c r="R45" s="146" t="n">
        <f aca="false">IF($Y45="","—",INDEX('Program LTR Retention'!Q:Q,$Y45))</f>
        <v>2</v>
      </c>
      <c r="S45" s="146" t="n">
        <f aca="false">IF($Y45="","—",INDEX('Program LTR Retention'!R:R,$Y45))</f>
        <v>3</v>
      </c>
      <c r="T45" s="146" t="n">
        <f aca="false">IF($Y45="","—",INDEX('Program LTR Retention'!S:S,$Y45))</f>
        <v>4</v>
      </c>
      <c r="U45" s="146" t="n">
        <f aca="false">IF($Y45="","—",INDEX('Program LTR Retention'!T:T,$Y45))</f>
        <v>2</v>
      </c>
      <c r="V45" s="146" t="n">
        <f aca="false">IF($Y45="","—",INDEX('Program LTR Retention'!U:U,$Y45))</f>
        <v>3</v>
      </c>
      <c r="W45" s="147" t="n">
        <f aca="false">IF($Y45="","—",SUM(C45:V45))</f>
        <v>37</v>
      </c>
      <c r="Y45" s="158" t="n">
        <v>568</v>
      </c>
    </row>
    <row r="46" customFormat="false" ht="15" hidden="false" customHeight="true" outlineLevel="0" collapsed="false">
      <c r="A46" s="148" t="str">
        <f aca="false">'Program List'!A41</f>
        <v>M526</v>
      </c>
      <c r="B46" s="149" t="str">
        <f aca="false">'Program List'!B41</f>
        <v>Online LL.M. Indigenous Peoples Law</v>
      </c>
      <c r="C46" s="150" t="n">
        <f aca="false">IF($Y46="","—",INDEX('Program LTR Retention'!B:B,$Y46))</f>
        <v>0</v>
      </c>
      <c r="D46" s="150" t="n">
        <f aca="false">IF($Y46="","—",INDEX('Program LTR Retention'!C:C,$Y46))</f>
        <v>0</v>
      </c>
      <c r="E46" s="150" t="n">
        <f aca="false">IF($Y46="","—",INDEX('Program LTR Retention'!D:D,$Y46))</f>
        <v>2</v>
      </c>
      <c r="F46" s="150" t="n">
        <f aca="false">IF($Y46="","—",INDEX('Program LTR Retention'!E:E,$Y46))</f>
        <v>6</v>
      </c>
      <c r="G46" s="150" t="n">
        <f aca="false">IF($Y46="","—",INDEX('Program LTR Retention'!F:F,$Y46))</f>
        <v>6</v>
      </c>
      <c r="H46" s="150" t="n">
        <f aca="false">IF($Y46="","—",INDEX('Program LTR Retention'!G:G,$Y46))</f>
        <v>3</v>
      </c>
      <c r="I46" s="150" t="n">
        <f aca="false">IF($Y46="","—",INDEX('Program LTR Retention'!H:H,$Y46))</f>
        <v>2</v>
      </c>
      <c r="J46" s="150" t="n">
        <f aca="false">IF($Y46="","—",INDEX('Program LTR Retention'!I:I,$Y46))</f>
        <v>7</v>
      </c>
      <c r="K46" s="150" t="n">
        <f aca="false">IF($Y46="","—",INDEX('Program LTR Retention'!J:J,$Y46))</f>
        <v>7</v>
      </c>
      <c r="L46" s="150" t="n">
        <f aca="false">IF($Y46="","—",INDEX('Program LTR Retention'!K:K,$Y46))</f>
        <v>1</v>
      </c>
      <c r="M46" s="150" t="n">
        <f aca="false">IF($Y46="","—",INDEX('Program LTR Retention'!L:L,$Y46))</f>
        <v>4</v>
      </c>
      <c r="N46" s="150" t="n">
        <f aca="false">IF($Y46="","—",INDEX('Program LTR Retention'!M:M,$Y46))</f>
        <v>6</v>
      </c>
      <c r="O46" s="150" t="n">
        <f aca="false">IF($Y46="","—",INDEX('Program LTR Retention'!N:N,$Y46))</f>
        <v>4</v>
      </c>
      <c r="P46" s="150" t="n">
        <f aca="false">IF($Y46="","—",INDEX('Program LTR Retention'!O:O,$Y46))</f>
        <v>11</v>
      </c>
      <c r="Q46" s="150" t="n">
        <f aca="false">IF($Y46="","—",INDEX('Program LTR Retention'!P:P,$Y46))</f>
        <v>11</v>
      </c>
      <c r="R46" s="150" t="n">
        <f aca="false">IF($Y46="","—",INDEX('Program LTR Retention'!Q:Q,$Y46))</f>
        <v>5</v>
      </c>
      <c r="S46" s="150" t="n">
        <f aca="false">IF($Y46="","—",INDEX('Program LTR Retention'!R:R,$Y46))</f>
        <v>7</v>
      </c>
      <c r="T46" s="150" t="n">
        <f aca="false">IF($Y46="","—",INDEX('Program LTR Retention'!S:S,$Y46))</f>
        <v>3</v>
      </c>
      <c r="U46" s="150" t="n">
        <f aca="false">IF($Y46="","—",INDEX('Program LTR Retention'!T:T,$Y46))</f>
        <v>2</v>
      </c>
      <c r="V46" s="150" t="n">
        <f aca="false">IF($Y46="","—",INDEX('Program LTR Retention'!U:U,$Y46))</f>
        <v>1</v>
      </c>
      <c r="W46" s="151" t="n">
        <f aca="false">IF($Y46="","—",SUM(C46:V46))</f>
        <v>88</v>
      </c>
      <c r="Y46" s="158" t="n">
        <v>584</v>
      </c>
    </row>
    <row r="47" customFormat="false" ht="15" hidden="false" customHeight="true" outlineLevel="0" collapsed="false">
      <c r="A47" s="144" t="str">
        <f aca="false">'Program List'!A42</f>
        <v>M592</v>
      </c>
      <c r="B47" s="145" t="str">
        <f aca="false">'Program List'!B42</f>
        <v>Online LL.M. International Business</v>
      </c>
      <c r="C47" s="146" t="n">
        <f aca="false">IF($Y47="","—",INDEX('Program LTR Retention'!B:B,$Y47))</f>
        <v>0</v>
      </c>
      <c r="D47" s="146" t="n">
        <f aca="false">IF($Y47="","—",INDEX('Program LTR Retention'!C:C,$Y47))</f>
        <v>0</v>
      </c>
      <c r="E47" s="146" t="n">
        <f aca="false">IF($Y47="","—",INDEX('Program LTR Retention'!D:D,$Y47))</f>
        <v>0</v>
      </c>
      <c r="F47" s="146" t="n">
        <f aca="false">IF($Y47="","—",INDEX('Program LTR Retention'!E:E,$Y47))</f>
        <v>0</v>
      </c>
      <c r="G47" s="146" t="n">
        <f aca="false">IF($Y47="","—",INDEX('Program LTR Retention'!F:F,$Y47))</f>
        <v>0</v>
      </c>
      <c r="H47" s="146" t="n">
        <f aca="false">IF($Y47="","—",INDEX('Program LTR Retention'!G:G,$Y47))</f>
        <v>0</v>
      </c>
      <c r="I47" s="146" t="n">
        <f aca="false">IF($Y47="","—",INDEX('Program LTR Retention'!H:H,$Y47))</f>
        <v>0</v>
      </c>
      <c r="J47" s="146" t="n">
        <f aca="false">IF($Y47="","—",INDEX('Program LTR Retention'!I:I,$Y47))</f>
        <v>1</v>
      </c>
      <c r="K47" s="146" t="n">
        <f aca="false">IF($Y47="","—",INDEX('Program LTR Retention'!J:J,$Y47))</f>
        <v>1</v>
      </c>
      <c r="L47" s="146" t="n">
        <f aca="false">IF($Y47="","—",INDEX('Program LTR Retention'!K:K,$Y47))</f>
        <v>0</v>
      </c>
      <c r="M47" s="146" t="n">
        <f aca="false">IF($Y47="","—",INDEX('Program LTR Retention'!L:L,$Y47))</f>
        <v>1</v>
      </c>
      <c r="N47" s="146" t="n">
        <f aca="false">IF($Y47="","—",INDEX('Program LTR Retention'!M:M,$Y47))</f>
        <v>1</v>
      </c>
      <c r="O47" s="146" t="n">
        <f aca="false">IF($Y47="","—",INDEX('Program LTR Retention'!N:N,$Y47))</f>
        <v>1</v>
      </c>
      <c r="P47" s="146" t="n">
        <f aca="false">IF($Y47="","—",INDEX('Program LTR Retention'!O:O,$Y47))</f>
        <v>0</v>
      </c>
      <c r="Q47" s="146" t="n">
        <f aca="false">IF($Y47="","—",INDEX('Program LTR Retention'!P:P,$Y47))</f>
        <v>0</v>
      </c>
      <c r="R47" s="146" t="n">
        <f aca="false">IF($Y47="","—",INDEX('Program LTR Retention'!Q:Q,$Y47))</f>
        <v>0</v>
      </c>
      <c r="S47" s="146" t="n">
        <f aca="false">IF($Y47="","—",INDEX('Program LTR Retention'!R:R,$Y47))</f>
        <v>3</v>
      </c>
      <c r="T47" s="146" t="n">
        <f aca="false">IF($Y47="","—",INDEX('Program LTR Retention'!S:S,$Y47))</f>
        <v>4</v>
      </c>
      <c r="U47" s="146" t="n">
        <f aca="false">IF($Y47="","—",INDEX('Program LTR Retention'!T:T,$Y47))</f>
        <v>2</v>
      </c>
      <c r="V47" s="146" t="n">
        <f aca="false">IF($Y47="","—",INDEX('Program LTR Retention'!U:U,$Y47))</f>
        <v>2</v>
      </c>
      <c r="W47" s="147" t="n">
        <f aca="false">IF($Y47="","—",SUM(C47:V47))</f>
        <v>16</v>
      </c>
      <c r="Y47" s="158" t="n">
        <v>592</v>
      </c>
    </row>
    <row r="48" customFormat="false" ht="15" hidden="false" customHeight="true" outlineLevel="0" collapsed="false">
      <c r="A48" s="87"/>
      <c r="B48" s="152" t="s">
        <v>700</v>
      </c>
      <c r="C48" s="153" t="n">
        <f aca="false">SUM(C7:C47)</f>
        <v>111</v>
      </c>
      <c r="D48" s="153" t="n">
        <f aca="false">SUM(D7:D47)</f>
        <v>589</v>
      </c>
      <c r="E48" s="153" t="n">
        <f aca="false">SUM(E7:E47)</f>
        <v>1006</v>
      </c>
      <c r="F48" s="153" t="n">
        <f aca="false">SUM(F7:F47)</f>
        <v>957</v>
      </c>
      <c r="G48" s="153" t="n">
        <f aca="false">SUM(G7:G47)</f>
        <v>1609</v>
      </c>
      <c r="H48" s="153" t="n">
        <f aca="false">SUM(H7:H47)</f>
        <v>1954</v>
      </c>
      <c r="I48" s="153" t="n">
        <f aca="false">SUM(I7:I47)</f>
        <v>1552</v>
      </c>
      <c r="J48" s="153" t="n">
        <f aca="false">SUM(J7:J47)</f>
        <v>2202</v>
      </c>
      <c r="K48" s="153" t="n">
        <f aca="false">SUM(K7:K47)</f>
        <v>2271</v>
      </c>
      <c r="L48" s="153" t="n">
        <f aca="false">SUM(L7:L47)</f>
        <v>1719</v>
      </c>
      <c r="M48" s="153" t="n">
        <f aca="false">SUM(M7:M47)</f>
        <v>2551</v>
      </c>
      <c r="N48" s="153" t="n">
        <f aca="false">SUM(N7:N47)</f>
        <v>2760</v>
      </c>
      <c r="O48" s="153" t="n">
        <f aca="false">SUM(O7:O47)</f>
        <v>2042</v>
      </c>
      <c r="P48" s="153" t="n">
        <f aca="false">SUM(P7:P47)</f>
        <v>2816</v>
      </c>
      <c r="Q48" s="153" t="n">
        <f aca="false">SUM(Q7:Q47)</f>
        <v>2756</v>
      </c>
      <c r="R48" s="153" t="n">
        <f aca="false">SUM(R7:R47)</f>
        <v>2025</v>
      </c>
      <c r="S48" s="153" t="n">
        <f aca="false">SUM(S7:S47)</f>
        <v>2704</v>
      </c>
      <c r="T48" s="153" t="n">
        <f aca="false">SUM(T7:T47)</f>
        <v>2663</v>
      </c>
      <c r="U48" s="153" t="n">
        <f aca="false">SUM(U7:U47)</f>
        <v>1981</v>
      </c>
      <c r="V48" s="153" t="n">
        <f aca="false">SUM(V7:V47)</f>
        <v>2482</v>
      </c>
      <c r="W48" s="153" t="n">
        <f aca="false">SUM(W7:W47)</f>
        <v>38750</v>
      </c>
    </row>
    <row r="50" customFormat="false" ht="30" hidden="false" customHeight="true" outlineLevel="0" collapsed="false">
      <c r="A50" s="159" t="s">
        <v>725</v>
      </c>
      <c r="B50" s="159"/>
      <c r="C50" s="159"/>
      <c r="D50" s="159"/>
      <c r="E50" s="159"/>
      <c r="F50" s="159"/>
      <c r="G50" s="159"/>
      <c r="H50" s="159"/>
      <c r="I50" s="159"/>
      <c r="J50" s="159"/>
      <c r="K50" s="159"/>
      <c r="L50" s="159"/>
      <c r="M50" s="159"/>
    </row>
  </sheetData>
  <mergeCells count="2">
    <mergeCell ref="A2:V2"/>
    <mergeCell ref="A50:M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18" activePane="bottomRight" state="frozen"/>
      <selection pane="topLeft" activeCell="A1" activeCellId="0" sqref="A1"/>
      <selection pane="topRight" activeCell="C1" activeCellId="0" sqref="C1"/>
      <selection pane="bottomLeft" activeCell="A18" activeCellId="0" sqref="A18"/>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10" min="3" style="0" width="8"/>
    <col collapsed="false" customWidth="true" hidden="false" outlineLevel="0" max="11" min="11" style="0" width="2"/>
    <col collapsed="false" customWidth="true" hidden="false" outlineLevel="0" max="19" min="12" style="0" width="8"/>
    <col collapsed="false" customWidth="true" hidden="false" outlineLevel="0" max="20" min="20" style="0" width="2"/>
    <col collapsed="false" customWidth="true" hidden="false" outlineLevel="0" max="22" min="21" style="0" width="10"/>
  </cols>
  <sheetData>
    <row r="1" customFormat="false" ht="17.25" hidden="false" customHeight="true" outlineLevel="0" collapsed="false">
      <c r="A1" s="139" t="s">
        <v>726</v>
      </c>
    </row>
    <row r="2" customFormat="false" ht="30" hidden="false" customHeight="true" outlineLevel="0" collapsed="false">
      <c r="A2" s="140" t="s">
        <v>727</v>
      </c>
      <c r="B2" s="140"/>
      <c r="C2" s="140"/>
      <c r="D2" s="140"/>
      <c r="E2" s="140"/>
      <c r="F2" s="140"/>
      <c r="G2" s="140"/>
      <c r="H2" s="140"/>
      <c r="I2" s="140"/>
      <c r="J2" s="140"/>
      <c r="K2" s="140"/>
      <c r="L2" s="140"/>
      <c r="M2" s="140"/>
      <c r="N2" s="140"/>
      <c r="O2" s="140"/>
      <c r="P2" s="140"/>
      <c r="Q2" s="140"/>
      <c r="R2" s="140"/>
      <c r="S2" s="140"/>
    </row>
    <row r="4" customFormat="false" ht="15" hidden="false" customHeight="true" outlineLevel="0" collapsed="false">
      <c r="C4" s="160" t="s">
        <v>728</v>
      </c>
      <c r="D4" s="160"/>
      <c r="E4" s="160"/>
      <c r="F4" s="160"/>
      <c r="G4" s="160"/>
      <c r="H4" s="160"/>
      <c r="I4" s="160"/>
      <c r="J4" s="160"/>
      <c r="L4" s="161" t="s">
        <v>729</v>
      </c>
      <c r="M4" s="161"/>
      <c r="N4" s="161"/>
      <c r="O4" s="161"/>
      <c r="P4" s="161"/>
      <c r="Q4" s="161"/>
      <c r="R4" s="161"/>
      <c r="S4" s="161"/>
    </row>
    <row r="5" customFormat="false" ht="27.75" hidden="false" customHeight="true" outlineLevel="0" collapsed="false">
      <c r="A5" s="141" t="s">
        <v>699</v>
      </c>
      <c r="B5" s="142" t="s">
        <v>134</v>
      </c>
      <c r="C5" s="141" t="n">
        <v>2019</v>
      </c>
      <c r="D5" s="141" t="n">
        <v>2020</v>
      </c>
      <c r="E5" s="141" t="n">
        <v>2021</v>
      </c>
      <c r="F5" s="141" t="n">
        <v>2022</v>
      </c>
      <c r="G5" s="141" t="n">
        <v>2023</v>
      </c>
      <c r="H5" s="141" t="n">
        <v>2024</v>
      </c>
      <c r="I5" s="141" t="n">
        <v>2025</v>
      </c>
      <c r="J5" s="141" t="n">
        <v>2026</v>
      </c>
      <c r="L5" s="141" t="n">
        <v>2019</v>
      </c>
      <c r="M5" s="141" t="n">
        <v>2020</v>
      </c>
      <c r="N5" s="141" t="n">
        <v>2021</v>
      </c>
      <c r="O5" s="141" t="n">
        <v>2022</v>
      </c>
      <c r="P5" s="141" t="n">
        <v>2023</v>
      </c>
      <c r="Q5" s="141" t="n">
        <v>2024</v>
      </c>
      <c r="R5" s="141" t="n">
        <v>2025</v>
      </c>
      <c r="S5" s="141" t="n">
        <v>2026</v>
      </c>
      <c r="U5" s="141" t="s">
        <v>730</v>
      </c>
      <c r="V5" s="141" t="s">
        <v>731</v>
      </c>
    </row>
    <row r="7" customFormat="false" ht="15" hidden="false" customHeight="true" outlineLevel="0" collapsed="false">
      <c r="A7" s="162" t="str">
        <f aca="false">'Program List'!A2</f>
        <v>1550C</v>
      </c>
      <c r="B7" s="163" t="str">
        <f aca="false">'Program List'!B2</f>
        <v>Certificate in Population Health</v>
      </c>
      <c r="C7" s="164" t="str">
        <f aca="false">IF('HC by Program-Term'!$Y7="","—",'New vs Continuing — Term'!C7)</f>
        <v>—</v>
      </c>
      <c r="D7" s="164" t="str">
        <f aca="false">IF('HC by Program-Term'!$Y7="","—",SUM('New vs Continuing — Term'!D7:F7))</f>
        <v>—</v>
      </c>
      <c r="E7" s="164" t="str">
        <f aca="false">IF('HC by Program-Term'!$Y7="","—",SUM('New vs Continuing — Term'!G7:I7))</f>
        <v>—</v>
      </c>
      <c r="F7" s="164" t="str">
        <f aca="false">IF('HC by Program-Term'!$Y7="","—",SUM('New vs Continuing — Term'!J7:L7))</f>
        <v>—</v>
      </c>
      <c r="G7" s="164" t="str">
        <f aca="false">IF('HC by Program-Term'!$Y7="","—",SUM('New vs Continuing — Term'!M7:O7))</f>
        <v>—</v>
      </c>
      <c r="H7" s="164" t="str">
        <f aca="false">IF('HC by Program-Term'!$Y7="","—",SUM('New vs Continuing — Term'!P7:R7))</f>
        <v>—</v>
      </c>
      <c r="I7" s="164" t="str">
        <f aca="false">IF('HC by Program-Term'!$Y7="","—",SUM('New vs Continuing — Term'!S7:U7))</f>
        <v>—</v>
      </c>
      <c r="J7" s="164" t="str">
        <f aca="false">IF('HC by Program-Term'!$Y7="","—",'New vs Continuing — Term'!V7)</f>
        <v>—</v>
      </c>
      <c r="L7" s="164" t="str">
        <f aca="false">IF('HC by Program-Term'!$Y7="","—",'New vs Continuing — Term'!X7)</f>
        <v>—</v>
      </c>
      <c r="M7" s="164" t="str">
        <f aca="false">IF('HC by Program-Term'!$Y7="","—",SUM('New vs Continuing — Term'!Y7:AA7))</f>
        <v>—</v>
      </c>
      <c r="N7" s="164" t="str">
        <f aca="false">IF('HC by Program-Term'!$Y7="","—",SUM('New vs Continuing — Term'!AB7:AD7))</f>
        <v>—</v>
      </c>
      <c r="O7" s="164" t="str">
        <f aca="false">IF('HC by Program-Term'!$Y7="","—",SUM('New vs Continuing — Term'!AE7:AG7))</f>
        <v>—</v>
      </c>
      <c r="P7" s="164" t="str">
        <f aca="false">IF('HC by Program-Term'!$Y7="","—",SUM('New vs Continuing — Term'!AH7:AJ7))</f>
        <v>—</v>
      </c>
      <c r="Q7" s="164" t="str">
        <f aca="false">IF('HC by Program-Term'!$Y7="","—",SUM('New vs Continuing — Term'!AK7:AM7))</f>
        <v>—</v>
      </c>
      <c r="R7" s="164" t="str">
        <f aca="false">IF('HC by Program-Term'!$Y7="","—",SUM('New vs Continuing — Term'!AN7:AP7))</f>
        <v>—</v>
      </c>
      <c r="S7" s="164" t="str">
        <f aca="false">IF('HC by Program-Term'!$Y7="","—",'New vs Continuing — Term'!AQ7)</f>
        <v>—</v>
      </c>
      <c r="U7" s="147" t="str">
        <f aca="false">IF('HC by Program-Term'!$Y7="","—",SUM(C7:J7))</f>
        <v>—</v>
      </c>
      <c r="V7" s="147" t="str">
        <f aca="false">IF('HC by Program-Term'!$Y7="","—",SUM(L7:S7))</f>
        <v>—</v>
      </c>
    </row>
    <row r="8" customFormat="false" ht="15" hidden="false" customHeight="true" outlineLevel="0" collapsed="false">
      <c r="A8" s="165" t="str">
        <f aca="false">'Program List'!A3</f>
        <v>D318</v>
      </c>
      <c r="B8" s="166" t="str">
        <f aca="false">'Program List'!B3</f>
        <v>Ed.D. in Education Administration</v>
      </c>
      <c r="C8" s="167" t="str">
        <f aca="false">IF('HC by Program-Term'!$Y8="","—",'New vs Continuing — Term'!C8)</f>
        <v>—</v>
      </c>
      <c r="D8" s="167" t="str">
        <f aca="false">IF('HC by Program-Term'!$Y8="","—",SUM('New vs Continuing — Term'!D8:F8))</f>
        <v>—</v>
      </c>
      <c r="E8" s="167" t="str">
        <f aca="false">IF('HC by Program-Term'!$Y8="","—",SUM('New vs Continuing — Term'!G8:I8))</f>
        <v>—</v>
      </c>
      <c r="F8" s="167" t="str">
        <f aca="false">IF('HC by Program-Term'!$Y8="","—",SUM('New vs Continuing — Term'!J8:L8))</f>
        <v>—</v>
      </c>
      <c r="G8" s="167" t="str">
        <f aca="false">IF('HC by Program-Term'!$Y8="","—",SUM('New vs Continuing — Term'!M8:O8))</f>
        <v>—</v>
      </c>
      <c r="H8" s="167" t="str">
        <f aca="false">IF('HC by Program-Term'!$Y8="","—",SUM('New vs Continuing — Term'!P8:R8))</f>
        <v>—</v>
      </c>
      <c r="I8" s="167" t="str">
        <f aca="false">IF('HC by Program-Term'!$Y8="","—",SUM('New vs Continuing — Term'!S8:U8))</f>
        <v>—</v>
      </c>
      <c r="J8" s="167" t="str">
        <f aca="false">IF('HC by Program-Term'!$Y8="","—",'New vs Continuing — Term'!V8)</f>
        <v>—</v>
      </c>
      <c r="K8" s="168"/>
      <c r="L8" s="167" t="str">
        <f aca="false">IF('HC by Program-Term'!$Y8="","—",'New vs Continuing — Term'!X8)</f>
        <v>—</v>
      </c>
      <c r="M8" s="167" t="str">
        <f aca="false">IF('HC by Program-Term'!$Y8="","—",SUM('New vs Continuing — Term'!Y8:AA8))</f>
        <v>—</v>
      </c>
      <c r="N8" s="167" t="str">
        <f aca="false">IF('HC by Program-Term'!$Y8="","—",SUM('New vs Continuing — Term'!AB8:AD8))</f>
        <v>—</v>
      </c>
      <c r="O8" s="167" t="str">
        <f aca="false">IF('HC by Program-Term'!$Y8="","—",SUM('New vs Continuing — Term'!AE8:AG8))</f>
        <v>—</v>
      </c>
      <c r="P8" s="167" t="str">
        <f aca="false">IF('HC by Program-Term'!$Y8="","—",SUM('New vs Continuing — Term'!AH8:AJ8))</f>
        <v>—</v>
      </c>
      <c r="Q8" s="167" t="str">
        <f aca="false">IF('HC by Program-Term'!$Y8="","—",SUM('New vs Continuing — Term'!AK8:AM8))</f>
        <v>—</v>
      </c>
      <c r="R8" s="167" t="str">
        <f aca="false">IF('HC by Program-Term'!$Y8="","—",SUM('New vs Continuing — Term'!AN8:AP8))</f>
        <v>—</v>
      </c>
      <c r="S8" s="167" t="str">
        <f aca="false">IF('HC by Program-Term'!$Y8="","—",'New vs Continuing — Term'!AQ8)</f>
        <v>—</v>
      </c>
      <c r="T8" s="168"/>
      <c r="U8" s="151" t="str">
        <f aca="false">IF('HC by Program-Term'!$Y8="","—",SUM(C8:J8))</f>
        <v>—</v>
      </c>
      <c r="V8" s="151" t="str">
        <f aca="false">IF('HC by Program-Term'!$Y8="","—",SUM(L8:S8))</f>
        <v>—</v>
      </c>
    </row>
    <row r="9" customFormat="false" ht="15" hidden="false" customHeight="true" outlineLevel="0" collapsed="false">
      <c r="A9" s="162" t="str">
        <f aca="false">'Program List'!A4</f>
        <v>M366</v>
      </c>
      <c r="B9" s="163" t="str">
        <f aca="false">'Program List'!B4</f>
        <v>Executive MBA in Energy</v>
      </c>
      <c r="C9" s="164" t="n">
        <f aca="false">IF('HC by Program-Term'!$Y9="","—",'New vs Continuing — Term'!C9)</f>
        <v>0</v>
      </c>
      <c r="D9" s="164" t="n">
        <f aca="false">IF('HC by Program-Term'!$Y9="","—",SUM('New vs Continuing — Term'!D9:F9))</f>
        <v>38</v>
      </c>
      <c r="E9" s="164" t="n">
        <f aca="false">IF('HC by Program-Term'!$Y9="","—",SUM('New vs Continuing — Term'!G9:I9))</f>
        <v>29</v>
      </c>
      <c r="F9" s="164" t="n">
        <f aca="false">IF('HC by Program-Term'!$Y9="","—",SUM('New vs Continuing — Term'!J9:L9))</f>
        <v>30</v>
      </c>
      <c r="G9" s="164" t="n">
        <f aca="false">IF('HC by Program-Term'!$Y9="","—",SUM('New vs Continuing — Term'!M9:O9))</f>
        <v>27</v>
      </c>
      <c r="H9" s="164" t="n">
        <f aca="false">IF('HC by Program-Term'!$Y9="","—",SUM('New vs Continuing — Term'!P9:R9))</f>
        <v>18</v>
      </c>
      <c r="I9" s="164" t="n">
        <f aca="false">IF('HC by Program-Term'!$Y9="","—",SUM('New vs Continuing — Term'!S9:U9))</f>
        <v>15</v>
      </c>
      <c r="J9" s="164" t="n">
        <f aca="false">IF('HC by Program-Term'!$Y9="","—",'New vs Continuing — Term'!V9)</f>
        <v>0</v>
      </c>
      <c r="L9" s="164" t="n">
        <f aca="false">IF('HC by Program-Term'!$Y9="","—",'New vs Continuing — Term'!X9)</f>
        <v>0</v>
      </c>
      <c r="M9" s="164" t="n">
        <f aca="false">IF('HC by Program-Term'!$Y9="","—",SUM('New vs Continuing — Term'!Y9:AA9))</f>
        <v>44</v>
      </c>
      <c r="N9" s="164" t="n">
        <f aca="false">IF('HC by Program-Term'!$Y9="","—",SUM('New vs Continuing — Term'!AB9:AD9))</f>
        <v>86</v>
      </c>
      <c r="O9" s="164" t="n">
        <f aca="false">IF('HC by Program-Term'!$Y9="","—",SUM('New vs Continuing — Term'!AE9:AG9))</f>
        <v>120</v>
      </c>
      <c r="P9" s="164" t="n">
        <f aca="false">IF('HC by Program-Term'!$Y9="","—",SUM('New vs Continuing — Term'!AH9:AJ9))</f>
        <v>120</v>
      </c>
      <c r="Q9" s="164" t="n">
        <f aca="false">IF('HC by Program-Term'!$Y9="","—",SUM('New vs Continuing — Term'!AK9:AM9))</f>
        <v>105</v>
      </c>
      <c r="R9" s="164" t="n">
        <f aca="false">IF('HC by Program-Term'!$Y9="","—",SUM('New vs Continuing — Term'!AN9:AP9))</f>
        <v>73</v>
      </c>
      <c r="S9" s="164" t="n">
        <f aca="false">IF('HC by Program-Term'!$Y9="","—",'New vs Continuing — Term'!AQ9)</f>
        <v>21</v>
      </c>
      <c r="U9" s="147" t="n">
        <f aca="false">IF('HC by Program-Term'!$Y9="","—",SUM(C9:J9))</f>
        <v>157</v>
      </c>
      <c r="V9" s="147" t="n">
        <f aca="false">IF('HC by Program-Term'!$Y9="","—",SUM(L9:S9))</f>
        <v>569</v>
      </c>
    </row>
    <row r="10" customFormat="false" ht="15" hidden="false" customHeight="true" outlineLevel="0" collapsed="false">
      <c r="A10" s="165" t="str">
        <f aca="false">'Program List'!A5</f>
        <v>1231EX</v>
      </c>
      <c r="B10" s="166" t="str">
        <f aca="false">'Program List'!B5</f>
        <v>Executive Masters in Health Administration</v>
      </c>
      <c r="C10" s="167" t="str">
        <f aca="false">IF('HC by Program-Term'!$Y10="","—",'New vs Continuing — Term'!C10)</f>
        <v>—</v>
      </c>
      <c r="D10" s="167" t="str">
        <f aca="false">IF('HC by Program-Term'!$Y10="","—",SUM('New vs Continuing — Term'!D10:F10))</f>
        <v>—</v>
      </c>
      <c r="E10" s="167" t="str">
        <f aca="false">IF('HC by Program-Term'!$Y10="","—",SUM('New vs Continuing — Term'!G10:I10))</f>
        <v>—</v>
      </c>
      <c r="F10" s="167" t="str">
        <f aca="false">IF('HC by Program-Term'!$Y10="","—",SUM('New vs Continuing — Term'!J10:L10))</f>
        <v>—</v>
      </c>
      <c r="G10" s="167" t="str">
        <f aca="false">IF('HC by Program-Term'!$Y10="","—",SUM('New vs Continuing — Term'!M10:O10))</f>
        <v>—</v>
      </c>
      <c r="H10" s="167" t="str">
        <f aca="false">IF('HC by Program-Term'!$Y10="","—",SUM('New vs Continuing — Term'!P10:R10))</f>
        <v>—</v>
      </c>
      <c r="I10" s="167" t="str">
        <f aca="false">IF('HC by Program-Term'!$Y10="","—",SUM('New vs Continuing — Term'!S10:U10))</f>
        <v>—</v>
      </c>
      <c r="J10" s="167" t="str">
        <f aca="false">IF('HC by Program-Term'!$Y10="","—",'New vs Continuing — Term'!V10)</f>
        <v>—</v>
      </c>
      <c r="K10" s="168"/>
      <c r="L10" s="167" t="str">
        <f aca="false">IF('HC by Program-Term'!$Y10="","—",'New vs Continuing — Term'!X10)</f>
        <v>—</v>
      </c>
      <c r="M10" s="167" t="str">
        <f aca="false">IF('HC by Program-Term'!$Y10="","—",SUM('New vs Continuing — Term'!Y10:AA10))</f>
        <v>—</v>
      </c>
      <c r="N10" s="167" t="str">
        <f aca="false">IF('HC by Program-Term'!$Y10="","—",SUM('New vs Continuing — Term'!AB10:AD10))</f>
        <v>—</v>
      </c>
      <c r="O10" s="167" t="str">
        <f aca="false">IF('HC by Program-Term'!$Y10="","—",SUM('New vs Continuing — Term'!AE10:AG10))</f>
        <v>—</v>
      </c>
      <c r="P10" s="167" t="str">
        <f aca="false">IF('HC by Program-Term'!$Y10="","—",SUM('New vs Continuing — Term'!AH10:AJ10))</f>
        <v>—</v>
      </c>
      <c r="Q10" s="167" t="str">
        <f aca="false">IF('HC by Program-Term'!$Y10="","—",SUM('New vs Continuing — Term'!AK10:AM10))</f>
        <v>—</v>
      </c>
      <c r="R10" s="167" t="str">
        <f aca="false">IF('HC by Program-Term'!$Y10="","—",SUM('New vs Continuing — Term'!AN10:AP10))</f>
        <v>—</v>
      </c>
      <c r="S10" s="167" t="str">
        <f aca="false">IF('HC by Program-Term'!$Y10="","—",'New vs Continuing — Term'!AQ10)</f>
        <v>—</v>
      </c>
      <c r="T10" s="168"/>
      <c r="U10" s="151" t="str">
        <f aca="false">IF('HC by Program-Term'!$Y10="","—",SUM(C10:J10))</f>
        <v>—</v>
      </c>
      <c r="V10" s="151" t="str">
        <f aca="false">IF('HC by Program-Term'!$Y10="","—",SUM(L10:S10))</f>
        <v>—</v>
      </c>
    </row>
    <row r="11" customFormat="false" ht="15" hidden="false" customHeight="true" outlineLevel="0" collapsed="false">
      <c r="A11" s="162" t="str">
        <f aca="false">'Program List'!A6</f>
        <v>M013</v>
      </c>
      <c r="B11" s="163" t="str">
        <f aca="false">'Program List'!B6</f>
        <v>Master of Accountancy</v>
      </c>
      <c r="C11" s="164" t="n">
        <f aca="false">IF('HC by Program-Term'!$Y11="","—",'New vs Continuing — Term'!C11)</f>
        <v>8</v>
      </c>
      <c r="D11" s="164" t="n">
        <f aca="false">IF('HC by Program-Term'!$Y11="","—",SUM('New vs Continuing — Term'!D11:F11))</f>
        <v>84</v>
      </c>
      <c r="E11" s="164" t="n">
        <f aca="false">IF('HC by Program-Term'!$Y11="","—",SUM('New vs Continuing — Term'!G11:I11))</f>
        <v>64</v>
      </c>
      <c r="F11" s="164" t="n">
        <f aca="false">IF('HC by Program-Term'!$Y11="","—",SUM('New vs Continuing — Term'!J11:L11))</f>
        <v>62</v>
      </c>
      <c r="G11" s="164" t="n">
        <f aca="false">IF('HC by Program-Term'!$Y11="","—",SUM('New vs Continuing — Term'!M11:O11))</f>
        <v>63</v>
      </c>
      <c r="H11" s="164" t="n">
        <f aca="false">IF('HC by Program-Term'!$Y11="","—",SUM('New vs Continuing — Term'!P11:R11))</f>
        <v>59</v>
      </c>
      <c r="I11" s="164" t="n">
        <f aca="false">IF('HC by Program-Term'!$Y11="","—",SUM('New vs Continuing — Term'!S11:U11))</f>
        <v>62</v>
      </c>
      <c r="J11" s="164" t="n">
        <f aca="false">IF('HC by Program-Term'!$Y11="","—",'New vs Continuing — Term'!V11)</f>
        <v>24</v>
      </c>
      <c r="L11" s="164" t="n">
        <f aca="false">IF('HC by Program-Term'!$Y11="","—",'New vs Continuing — Term'!X11)</f>
        <v>0</v>
      </c>
      <c r="M11" s="164" t="n">
        <f aca="false">IF('HC by Program-Term'!$Y11="","—",SUM('New vs Continuing — Term'!Y11:AA11))</f>
        <v>94</v>
      </c>
      <c r="N11" s="164" t="n">
        <f aca="false">IF('HC by Program-Term'!$Y11="","—",SUM('New vs Continuing — Term'!AB11:AD11))</f>
        <v>215</v>
      </c>
      <c r="O11" s="164" t="n">
        <f aca="false">IF('HC by Program-Term'!$Y11="","—",SUM('New vs Continuing — Term'!AE11:AG11))</f>
        <v>236</v>
      </c>
      <c r="P11" s="164" t="n">
        <f aca="false">IF('HC by Program-Term'!$Y11="","—",SUM('New vs Continuing — Term'!AH11:AJ11))</f>
        <v>223</v>
      </c>
      <c r="Q11" s="164" t="n">
        <f aca="false">IF('HC by Program-Term'!$Y11="","—",SUM('New vs Continuing — Term'!AK11:AM11))</f>
        <v>215</v>
      </c>
      <c r="R11" s="164" t="n">
        <f aca="false">IF('HC by Program-Term'!$Y11="","—",SUM('New vs Continuing — Term'!AN11:AP11))</f>
        <v>239</v>
      </c>
      <c r="S11" s="164" t="n">
        <f aca="false">IF('HC by Program-Term'!$Y11="","—",'New vs Continuing — Term'!AQ11)</f>
        <v>72</v>
      </c>
      <c r="U11" s="147" t="n">
        <f aca="false">IF('HC by Program-Term'!$Y11="","—",SUM(C11:J11))</f>
        <v>426</v>
      </c>
      <c r="V11" s="147" t="n">
        <f aca="false">IF('HC by Program-Term'!$Y11="","—",SUM(L11:S11))</f>
        <v>1294</v>
      </c>
    </row>
    <row r="12" customFormat="false" ht="15" hidden="false" customHeight="true" outlineLevel="0" collapsed="false">
      <c r="A12" s="165" t="str">
        <f aca="false">'Program List'!A7</f>
        <v>M075</v>
      </c>
      <c r="B12" s="166" t="str">
        <f aca="false">'Program List'!B7</f>
        <v>Master of Arts in Art and Technology</v>
      </c>
      <c r="C12" s="167" t="n">
        <f aca="false">IF('HC by Program-Term'!$Y12="","—",'New vs Continuing — Term'!C12)</f>
        <v>0</v>
      </c>
      <c r="D12" s="167" t="n">
        <f aca="false">IF('HC by Program-Term'!$Y12="","—",SUM('New vs Continuing — Term'!D12:F12))</f>
        <v>0</v>
      </c>
      <c r="E12" s="167" t="n">
        <f aca="false">IF('HC by Program-Term'!$Y12="","—",SUM('New vs Continuing — Term'!G12:I12))</f>
        <v>50</v>
      </c>
      <c r="F12" s="167" t="n">
        <f aca="false">IF('HC by Program-Term'!$Y12="","—",SUM('New vs Continuing — Term'!J12:L12))</f>
        <v>48</v>
      </c>
      <c r="G12" s="167" t="n">
        <f aca="false">IF('HC by Program-Term'!$Y12="","—",SUM('New vs Continuing — Term'!M12:O12))</f>
        <v>48</v>
      </c>
      <c r="H12" s="167" t="n">
        <f aca="false">IF('HC by Program-Term'!$Y12="","—",SUM('New vs Continuing — Term'!P12:R12))</f>
        <v>45</v>
      </c>
      <c r="I12" s="167" t="n">
        <f aca="false">IF('HC by Program-Term'!$Y12="","—",SUM('New vs Continuing — Term'!S12:U12))</f>
        <v>33</v>
      </c>
      <c r="J12" s="167" t="n">
        <f aca="false">IF('HC by Program-Term'!$Y12="","—",'New vs Continuing — Term'!V12)</f>
        <v>11</v>
      </c>
      <c r="K12" s="168"/>
      <c r="L12" s="167" t="n">
        <f aca="false">IF('HC by Program-Term'!$Y12="","—",'New vs Continuing — Term'!X12)</f>
        <v>0</v>
      </c>
      <c r="M12" s="167" t="n">
        <f aca="false">IF('HC by Program-Term'!$Y12="","—",SUM('New vs Continuing — Term'!Y12:AA12))</f>
        <v>0</v>
      </c>
      <c r="N12" s="167" t="n">
        <f aca="false">IF('HC by Program-Term'!$Y12="","—",SUM('New vs Continuing — Term'!AB12:AD12))</f>
        <v>52</v>
      </c>
      <c r="O12" s="167" t="n">
        <f aca="false">IF('HC by Program-Term'!$Y12="","—",SUM('New vs Continuing — Term'!AE12:AG12))</f>
        <v>141</v>
      </c>
      <c r="P12" s="167" t="n">
        <f aca="false">IF('HC by Program-Term'!$Y12="","—",SUM('New vs Continuing — Term'!AH12:AJ12))</f>
        <v>147</v>
      </c>
      <c r="Q12" s="167" t="n">
        <f aca="false">IF('HC by Program-Term'!$Y12="","—",SUM('New vs Continuing — Term'!AK12:AM12))</f>
        <v>134</v>
      </c>
      <c r="R12" s="167" t="n">
        <f aca="false">IF('HC by Program-Term'!$Y12="","—",SUM('New vs Continuing — Term'!AN12:AP12))</f>
        <v>123</v>
      </c>
      <c r="S12" s="167" t="n">
        <f aca="false">IF('HC by Program-Term'!$Y12="","—",'New vs Continuing — Term'!AQ12)</f>
        <v>32</v>
      </c>
      <c r="T12" s="168"/>
      <c r="U12" s="151" t="n">
        <f aca="false">IF('HC by Program-Term'!$Y12="","—",SUM(C12:J12))</f>
        <v>235</v>
      </c>
      <c r="V12" s="151" t="n">
        <f aca="false">IF('HC by Program-Term'!$Y12="","—",SUM(L12:S12))</f>
        <v>629</v>
      </c>
    </row>
    <row r="13" customFormat="false" ht="15" hidden="false" customHeight="true" outlineLevel="0" collapsed="false">
      <c r="A13" s="162" t="str">
        <f aca="false">'Program List'!A8</f>
        <v>M073</v>
      </c>
      <c r="B13" s="163" t="str">
        <f aca="false">'Program List'!B8</f>
        <v>Master of Arts in Arts Management</v>
      </c>
      <c r="C13" s="164" t="n">
        <f aca="false">IF('HC by Program-Term'!$Y13="","—",'New vs Continuing — Term'!C13)</f>
        <v>0</v>
      </c>
      <c r="D13" s="164" t="n">
        <f aca="false">IF('HC by Program-Term'!$Y13="","—",SUM('New vs Continuing — Term'!D13:F13))</f>
        <v>0</v>
      </c>
      <c r="E13" s="164" t="n">
        <f aca="false">IF('HC by Program-Term'!$Y13="","—",SUM('New vs Continuing — Term'!G13:I13))</f>
        <v>0</v>
      </c>
      <c r="F13" s="164" t="n">
        <f aca="false">IF('HC by Program-Term'!$Y13="","—",SUM('New vs Continuing — Term'!J13:L13))</f>
        <v>7</v>
      </c>
      <c r="G13" s="164" t="n">
        <f aca="false">IF('HC by Program-Term'!$Y13="","—",SUM('New vs Continuing — Term'!M13:O13))</f>
        <v>73</v>
      </c>
      <c r="H13" s="164" t="n">
        <f aca="false">IF('HC by Program-Term'!$Y13="","—",SUM('New vs Continuing — Term'!P13:R13))</f>
        <v>59</v>
      </c>
      <c r="I13" s="164" t="n">
        <f aca="false">IF('HC by Program-Term'!$Y13="","—",SUM('New vs Continuing — Term'!S13:U13))</f>
        <v>55</v>
      </c>
      <c r="J13" s="164" t="n">
        <f aca="false">IF('HC by Program-Term'!$Y13="","—",'New vs Continuing — Term'!V13)</f>
        <v>23</v>
      </c>
      <c r="L13" s="164" t="n">
        <f aca="false">IF('HC by Program-Term'!$Y13="","—",'New vs Continuing — Term'!X13)</f>
        <v>0</v>
      </c>
      <c r="M13" s="164" t="n">
        <f aca="false">IF('HC by Program-Term'!$Y13="","—",SUM('New vs Continuing — Term'!Y13:AA13))</f>
        <v>0</v>
      </c>
      <c r="N13" s="164" t="n">
        <f aca="false">IF('HC by Program-Term'!$Y13="","—",SUM('New vs Continuing — Term'!AB13:AD13))</f>
        <v>0</v>
      </c>
      <c r="O13" s="164" t="n">
        <f aca="false">IF('HC by Program-Term'!$Y13="","—",SUM('New vs Continuing — Term'!AE13:AG13))</f>
        <v>6</v>
      </c>
      <c r="P13" s="164" t="n">
        <f aca="false">IF('HC by Program-Term'!$Y13="","—",SUM('New vs Continuing — Term'!AH13:AJ13))</f>
        <v>100</v>
      </c>
      <c r="Q13" s="164" t="n">
        <f aca="false">IF('HC by Program-Term'!$Y13="","—",SUM('New vs Continuing — Term'!AK13:AM13))</f>
        <v>174</v>
      </c>
      <c r="R13" s="164" t="n">
        <f aca="false">IF('HC by Program-Term'!$Y13="","—",SUM('New vs Continuing — Term'!AN13:AP13))</f>
        <v>176</v>
      </c>
      <c r="S13" s="164" t="n">
        <f aca="false">IF('HC by Program-Term'!$Y13="","—",'New vs Continuing — Term'!AQ13)</f>
        <v>48</v>
      </c>
      <c r="U13" s="147" t="n">
        <f aca="false">IF('HC by Program-Term'!$Y13="","—",SUM(C13:J13))</f>
        <v>217</v>
      </c>
      <c r="V13" s="147" t="n">
        <f aca="false">IF('HC by Program-Term'!$Y13="","—",SUM(L13:S13))</f>
        <v>504</v>
      </c>
    </row>
    <row r="14" customFormat="false" ht="15" hidden="false" customHeight="true" outlineLevel="0" collapsed="false">
      <c r="A14" s="165" t="str">
        <f aca="false">'Program List'!A9</f>
        <v>M494</v>
      </c>
      <c r="B14" s="166" t="str">
        <f aca="false">'Program List'!B9</f>
        <v>Master of Arts in Global Affairs</v>
      </c>
      <c r="C14" s="167" t="n">
        <f aca="false">IF('HC by Program-Term'!$Y14="","—",'New vs Continuing — Term'!C14)</f>
        <v>4</v>
      </c>
      <c r="D14" s="167" t="n">
        <f aca="false">IF('HC by Program-Term'!$Y14="","—",SUM('New vs Continuing — Term'!D14:F14))</f>
        <v>62</v>
      </c>
      <c r="E14" s="167" t="n">
        <f aca="false">IF('HC by Program-Term'!$Y14="","—",SUM('New vs Continuing — Term'!G14:I14))</f>
        <v>41</v>
      </c>
      <c r="F14" s="167" t="n">
        <f aca="false">IF('HC by Program-Term'!$Y14="","—",SUM('New vs Continuing — Term'!J14:L14))</f>
        <v>72</v>
      </c>
      <c r="G14" s="167" t="n">
        <f aca="false">IF('HC by Program-Term'!$Y14="","—",SUM('New vs Continuing — Term'!M14:O14))</f>
        <v>80</v>
      </c>
      <c r="H14" s="167" t="n">
        <f aca="false">IF('HC by Program-Term'!$Y14="","—",SUM('New vs Continuing — Term'!P14:R14))</f>
        <v>81</v>
      </c>
      <c r="I14" s="167" t="n">
        <f aca="false">IF('HC by Program-Term'!$Y14="","—",SUM('New vs Continuing — Term'!S14:U14))</f>
        <v>59</v>
      </c>
      <c r="J14" s="167" t="n">
        <f aca="false">IF('HC by Program-Term'!$Y14="","—",'New vs Continuing — Term'!V14)</f>
        <v>13</v>
      </c>
      <c r="K14" s="168"/>
      <c r="L14" s="167" t="n">
        <f aca="false">IF('HC by Program-Term'!$Y14="","—",'New vs Continuing — Term'!X14)</f>
        <v>0</v>
      </c>
      <c r="M14" s="167" t="n">
        <f aca="false">IF('HC by Program-Term'!$Y14="","—",SUM('New vs Continuing — Term'!Y14:AA14))</f>
        <v>40</v>
      </c>
      <c r="N14" s="167" t="n">
        <f aca="false">IF('HC by Program-Term'!$Y14="","—",SUM('New vs Continuing — Term'!AB14:AD14))</f>
        <v>139</v>
      </c>
      <c r="O14" s="167" t="n">
        <f aca="false">IF('HC by Program-Term'!$Y14="","—",SUM('New vs Continuing — Term'!AE14:AG14))</f>
        <v>182</v>
      </c>
      <c r="P14" s="167" t="n">
        <f aca="false">IF('HC by Program-Term'!$Y14="","—",SUM('New vs Continuing — Term'!AH14:AJ14))</f>
        <v>218</v>
      </c>
      <c r="Q14" s="167" t="n">
        <f aca="false">IF('HC by Program-Term'!$Y14="","—",SUM('New vs Continuing — Term'!AK14:AM14))</f>
        <v>268</v>
      </c>
      <c r="R14" s="167" t="n">
        <f aca="false">IF('HC by Program-Term'!$Y14="","—",SUM('New vs Continuing — Term'!AN14:AP14))</f>
        <v>272</v>
      </c>
      <c r="S14" s="167" t="n">
        <f aca="false">IF('HC by Program-Term'!$Y14="","—",'New vs Continuing — Term'!AQ14)</f>
        <v>87</v>
      </c>
      <c r="T14" s="168"/>
      <c r="U14" s="151" t="n">
        <f aca="false">IF('HC by Program-Term'!$Y14="","—",SUM(C14:J14))</f>
        <v>412</v>
      </c>
      <c r="V14" s="151" t="n">
        <f aca="false">IF('HC by Program-Term'!$Y14="","—",SUM(L14:S14))</f>
        <v>1206</v>
      </c>
    </row>
    <row r="15" customFormat="false" ht="15" hidden="false" customHeight="true" outlineLevel="0" collapsed="false">
      <c r="A15" s="162" t="str">
        <f aca="false">'Program List'!A10</f>
        <v>M700</v>
      </c>
      <c r="B15" s="163" t="str">
        <f aca="false">'Program List'!B10</f>
        <v>Master of Arts in Museum Studies</v>
      </c>
      <c r="C15" s="164" t="n">
        <f aca="false">IF('HC by Program-Term'!$Y15="","—",'New vs Continuing — Term'!C15)</f>
        <v>7</v>
      </c>
      <c r="D15" s="164" t="n">
        <f aca="false">IF('HC by Program-Term'!$Y15="","—",SUM('New vs Continuing — Term'!D15:F15))</f>
        <v>45</v>
      </c>
      <c r="E15" s="164" t="n">
        <f aca="false">IF('HC by Program-Term'!$Y15="","—",SUM('New vs Continuing — Term'!G15:I15))</f>
        <v>95</v>
      </c>
      <c r="F15" s="164" t="n">
        <f aca="false">IF('HC by Program-Term'!$Y15="","—",SUM('New vs Continuing — Term'!J15:L15))</f>
        <v>177</v>
      </c>
      <c r="G15" s="164" t="n">
        <f aca="false">IF('HC by Program-Term'!$Y15="","—",SUM('New vs Continuing — Term'!M15:O15))</f>
        <v>178</v>
      </c>
      <c r="H15" s="164" t="n">
        <f aca="false">IF('HC by Program-Term'!$Y15="","—",SUM('New vs Continuing — Term'!P15:R15))</f>
        <v>184</v>
      </c>
      <c r="I15" s="164" t="n">
        <f aca="false">IF('HC by Program-Term'!$Y15="","—",SUM('New vs Continuing — Term'!S15:U15))</f>
        <v>133</v>
      </c>
      <c r="J15" s="164" t="n">
        <f aca="false">IF('HC by Program-Term'!$Y15="","—",'New vs Continuing — Term'!V15)</f>
        <v>51</v>
      </c>
      <c r="L15" s="164" t="n">
        <f aca="false">IF('HC by Program-Term'!$Y15="","—",'New vs Continuing — Term'!X15)</f>
        <v>0</v>
      </c>
      <c r="M15" s="164" t="n">
        <f aca="false">IF('HC by Program-Term'!$Y15="","—",SUM('New vs Continuing — Term'!Y15:AA15))</f>
        <v>55</v>
      </c>
      <c r="N15" s="164" t="n">
        <f aca="false">IF('HC by Program-Term'!$Y15="","—",SUM('New vs Continuing — Term'!AB15:AD15))</f>
        <v>146</v>
      </c>
      <c r="O15" s="164" t="n">
        <f aca="false">IF('HC by Program-Term'!$Y15="","—",SUM('New vs Continuing — Term'!AE15:AG15))</f>
        <v>347</v>
      </c>
      <c r="P15" s="164" t="n">
        <f aca="false">IF('HC by Program-Term'!$Y15="","—",SUM('New vs Continuing — Term'!AH15:AJ15))</f>
        <v>637</v>
      </c>
      <c r="Q15" s="164" t="n">
        <f aca="false">IF('HC by Program-Term'!$Y15="","—",SUM('New vs Continuing — Term'!AK15:AM15))</f>
        <v>670</v>
      </c>
      <c r="R15" s="164" t="n">
        <f aca="false">IF('HC by Program-Term'!$Y15="","—",SUM('New vs Continuing — Term'!AN15:AP15))</f>
        <v>570</v>
      </c>
      <c r="S15" s="164" t="n">
        <f aca="false">IF('HC by Program-Term'!$Y15="","—",'New vs Continuing — Term'!AQ15)</f>
        <v>170</v>
      </c>
      <c r="U15" s="147" t="n">
        <f aca="false">IF('HC by Program-Term'!$Y15="","—",SUM(C15:J15))</f>
        <v>870</v>
      </c>
      <c r="V15" s="147" t="n">
        <f aca="false">IF('HC by Program-Term'!$Y15="","—",SUM(L15:S15))</f>
        <v>2595</v>
      </c>
    </row>
    <row r="16" customFormat="false" ht="15" hidden="false" customHeight="true" outlineLevel="0" collapsed="false">
      <c r="A16" s="165" t="str">
        <f aca="false">'Program List'!A11</f>
        <v>M762</v>
      </c>
      <c r="B16" s="166" t="str">
        <f aca="false">'Program List'!B11</f>
        <v>Master of Arts in Organizational Leadership</v>
      </c>
      <c r="C16" s="167" t="n">
        <f aca="false">IF('HC by Program-Term'!$Y16="","—",'New vs Continuing — Term'!C16)</f>
        <v>29</v>
      </c>
      <c r="D16" s="167" t="n">
        <f aca="false">IF('HC by Program-Term'!$Y16="","—",SUM('New vs Continuing — Term'!D16:F16))</f>
        <v>108</v>
      </c>
      <c r="E16" s="167" t="n">
        <f aca="false">IF('HC by Program-Term'!$Y16="","—",SUM('New vs Continuing — Term'!G16:I16))</f>
        <v>135</v>
      </c>
      <c r="F16" s="167" t="n">
        <f aca="false">IF('HC by Program-Term'!$Y16="","—",SUM('New vs Continuing — Term'!J16:L16))</f>
        <v>110</v>
      </c>
      <c r="G16" s="167" t="n">
        <f aca="false">IF('HC by Program-Term'!$Y16="","—",SUM('New vs Continuing — Term'!M16:O16))</f>
        <v>153</v>
      </c>
      <c r="H16" s="167" t="n">
        <f aca="false">IF('HC by Program-Term'!$Y16="","—",SUM('New vs Continuing — Term'!P16:R16))</f>
        <v>103</v>
      </c>
      <c r="I16" s="167" t="n">
        <f aca="false">IF('HC by Program-Term'!$Y16="","—",SUM('New vs Continuing — Term'!S16:U16))</f>
        <v>96</v>
      </c>
      <c r="J16" s="167" t="n">
        <f aca="false">IF('HC by Program-Term'!$Y16="","—",'New vs Continuing — Term'!V16)</f>
        <v>48</v>
      </c>
      <c r="K16" s="168"/>
      <c r="L16" s="167" t="n">
        <f aca="false">IF('HC by Program-Term'!$Y16="","—",'New vs Continuing — Term'!X16)</f>
        <v>0</v>
      </c>
      <c r="M16" s="167" t="n">
        <f aca="false">IF('HC by Program-Term'!$Y16="","—",SUM('New vs Continuing — Term'!Y16:AA16))</f>
        <v>131</v>
      </c>
      <c r="N16" s="167" t="n">
        <f aca="false">IF('HC by Program-Term'!$Y16="","—",SUM('New vs Continuing — Term'!AB16:AD16))</f>
        <v>289</v>
      </c>
      <c r="O16" s="167" t="n">
        <f aca="false">IF('HC by Program-Term'!$Y16="","—",SUM('New vs Continuing — Term'!AE16:AG16))</f>
        <v>372</v>
      </c>
      <c r="P16" s="167" t="n">
        <f aca="false">IF('HC by Program-Term'!$Y16="","—",SUM('New vs Continuing — Term'!AH16:AJ16))</f>
        <v>419</v>
      </c>
      <c r="Q16" s="167" t="n">
        <f aca="false">IF('HC by Program-Term'!$Y16="","—",SUM('New vs Continuing — Term'!AK16:AM16))</f>
        <v>455</v>
      </c>
      <c r="R16" s="167" t="n">
        <f aca="false">IF('HC by Program-Term'!$Y16="","—",SUM('New vs Continuing — Term'!AN16:AP16))</f>
        <v>356</v>
      </c>
      <c r="S16" s="167" t="n">
        <f aca="false">IF('HC by Program-Term'!$Y16="","—",'New vs Continuing — Term'!AQ16)</f>
        <v>107</v>
      </c>
      <c r="T16" s="168"/>
      <c r="U16" s="151" t="n">
        <f aca="false">IF('HC by Program-Term'!$Y16="","—",SUM(C16:J16))</f>
        <v>782</v>
      </c>
      <c r="V16" s="151" t="n">
        <f aca="false">IF('HC by Program-Term'!$Y16="","—",SUM(L16:S16))</f>
        <v>2129</v>
      </c>
    </row>
    <row r="17" customFormat="false" ht="15" hidden="false" customHeight="true" outlineLevel="0" collapsed="false">
      <c r="A17" s="162" t="str">
        <f aca="false">'Program List'!A12</f>
        <v>M859</v>
      </c>
      <c r="B17" s="163" t="str">
        <f aca="false">'Program List'!B12</f>
        <v>Master of Arts in Strategic Communication and Digital Strategy</v>
      </c>
      <c r="C17" s="164" t="n">
        <f aca="false">IF('HC by Program-Term'!$Y17="","—",'New vs Continuing — Term'!C17)</f>
        <v>0</v>
      </c>
      <c r="D17" s="164" t="n">
        <f aca="false">IF('HC by Program-Term'!$Y17="","—",SUM('New vs Continuing — Term'!D17:F17))</f>
        <v>62</v>
      </c>
      <c r="E17" s="164" t="n">
        <f aca="false">IF('HC by Program-Term'!$Y17="","—",SUM('New vs Continuing — Term'!G17:I17))</f>
        <v>73</v>
      </c>
      <c r="F17" s="164" t="n">
        <f aca="false">IF('HC by Program-Term'!$Y17="","—",SUM('New vs Continuing — Term'!J17:L17))</f>
        <v>66</v>
      </c>
      <c r="G17" s="164" t="n">
        <f aca="false">IF('HC by Program-Term'!$Y17="","—",SUM('New vs Continuing — Term'!M17:O17))</f>
        <v>69</v>
      </c>
      <c r="H17" s="164" t="n">
        <f aca="false">IF('HC by Program-Term'!$Y17="","—",SUM('New vs Continuing — Term'!P17:R17))</f>
        <v>68</v>
      </c>
      <c r="I17" s="164" t="n">
        <f aca="false">IF('HC by Program-Term'!$Y17="","—",SUM('New vs Continuing — Term'!S17:U17))</f>
        <v>47</v>
      </c>
      <c r="J17" s="164" t="n">
        <f aca="false">IF('HC by Program-Term'!$Y17="","—",'New vs Continuing — Term'!V17)</f>
        <v>13</v>
      </c>
      <c r="L17" s="164" t="n">
        <f aca="false">IF('HC by Program-Term'!$Y17="","—",'New vs Continuing — Term'!X17)</f>
        <v>0</v>
      </c>
      <c r="M17" s="164" t="n">
        <f aca="false">IF('HC by Program-Term'!$Y17="","—",SUM('New vs Continuing — Term'!Y17:AA17))</f>
        <v>28</v>
      </c>
      <c r="N17" s="164" t="n">
        <f aca="false">IF('HC by Program-Term'!$Y17="","—",SUM('New vs Continuing — Term'!AB17:AD17))</f>
        <v>243</v>
      </c>
      <c r="O17" s="164" t="n">
        <f aca="false">IF('HC by Program-Term'!$Y17="","—",SUM('New vs Continuing — Term'!AE17:AG17))</f>
        <v>251</v>
      </c>
      <c r="P17" s="164" t="n">
        <f aca="false">IF('HC by Program-Term'!$Y17="","—",SUM('New vs Continuing — Term'!AH17:AJ17))</f>
        <v>235</v>
      </c>
      <c r="Q17" s="164" t="n">
        <f aca="false">IF('HC by Program-Term'!$Y17="","—",SUM('New vs Continuing — Term'!AK17:AM17))</f>
        <v>242</v>
      </c>
      <c r="R17" s="164" t="n">
        <f aca="false">IF('HC by Program-Term'!$Y17="","—",SUM('New vs Continuing — Term'!AN17:AP17))</f>
        <v>223</v>
      </c>
      <c r="S17" s="164" t="n">
        <f aca="false">IF('HC by Program-Term'!$Y17="","—",'New vs Continuing — Term'!AQ17)</f>
        <v>67</v>
      </c>
      <c r="U17" s="147" t="n">
        <f aca="false">IF('HC by Program-Term'!$Y17="","—",SUM(C17:J17))</f>
        <v>398</v>
      </c>
      <c r="V17" s="147" t="n">
        <f aca="false">IF('HC by Program-Term'!$Y17="","—",SUM(L17:S17))</f>
        <v>1289</v>
      </c>
    </row>
    <row r="18" customFormat="false" ht="15" hidden="false" customHeight="true" outlineLevel="0" collapsed="false">
      <c r="A18" s="165" t="str">
        <f aca="false">'Program List'!A13</f>
        <v>M202</v>
      </c>
      <c r="B18" s="166" t="str">
        <f aca="false">'Program List'!B13</f>
        <v>Master of Clinical Mental Health Counseling</v>
      </c>
      <c r="C18" s="167" t="n">
        <f aca="false">IF('HC by Program-Term'!$Y18="","—",'New vs Continuing — Term'!C18)</f>
        <v>0</v>
      </c>
      <c r="D18" s="167" t="n">
        <f aca="false">IF('HC by Program-Term'!$Y18="","—",SUM('New vs Continuing — Term'!D18:F18))</f>
        <v>0</v>
      </c>
      <c r="E18" s="167" t="n">
        <f aca="false">IF('HC by Program-Term'!$Y18="","—",SUM('New vs Continuing — Term'!G18:I18))</f>
        <v>103</v>
      </c>
      <c r="F18" s="167" t="n">
        <f aca="false">IF('HC by Program-Term'!$Y18="","—",SUM('New vs Continuing — Term'!J18:L18))</f>
        <v>89</v>
      </c>
      <c r="G18" s="167" t="n">
        <f aca="false">IF('HC by Program-Term'!$Y18="","—",SUM('New vs Continuing — Term'!M18:O18))</f>
        <v>66</v>
      </c>
      <c r="H18" s="167" t="n">
        <f aca="false">IF('HC by Program-Term'!$Y18="","—",SUM('New vs Continuing — Term'!P18:R18))</f>
        <v>37</v>
      </c>
      <c r="I18" s="167" t="n">
        <f aca="false">IF('HC by Program-Term'!$Y18="","—",SUM('New vs Continuing — Term'!S18:U18))</f>
        <v>89</v>
      </c>
      <c r="J18" s="167" t="n">
        <f aca="false">IF('HC by Program-Term'!$Y18="","—",'New vs Continuing — Term'!V18)</f>
        <v>51</v>
      </c>
      <c r="K18" s="168"/>
      <c r="L18" s="167" t="n">
        <f aca="false">IF('HC by Program-Term'!$Y18="","—",'New vs Continuing — Term'!X18)</f>
        <v>0</v>
      </c>
      <c r="M18" s="167" t="n">
        <f aca="false">IF('HC by Program-Term'!$Y18="","—",SUM('New vs Continuing — Term'!Y18:AA18))</f>
        <v>0</v>
      </c>
      <c r="N18" s="167" t="n">
        <f aca="false">IF('HC by Program-Term'!$Y18="","—",SUM('New vs Continuing — Term'!AB18:AD18))</f>
        <v>80</v>
      </c>
      <c r="O18" s="167" t="n">
        <f aca="false">IF('HC by Program-Term'!$Y18="","—",SUM('New vs Continuing — Term'!AE18:AG18))</f>
        <v>299</v>
      </c>
      <c r="P18" s="167" t="n">
        <f aca="false">IF('HC by Program-Term'!$Y18="","—",SUM('New vs Continuing — Term'!AH18:AJ18))</f>
        <v>455</v>
      </c>
      <c r="Q18" s="167" t="n">
        <f aca="false">IF('HC by Program-Term'!$Y18="","—",SUM('New vs Continuing — Term'!AK18:AM18))</f>
        <v>420</v>
      </c>
      <c r="R18" s="167" t="n">
        <f aca="false">IF('HC by Program-Term'!$Y18="","—",SUM('New vs Continuing — Term'!AN18:AP18))</f>
        <v>368</v>
      </c>
      <c r="S18" s="167" t="n">
        <f aca="false">IF('HC by Program-Term'!$Y18="","—",'New vs Continuing — Term'!AQ18)</f>
        <v>123</v>
      </c>
      <c r="T18" s="168"/>
      <c r="U18" s="151" t="n">
        <f aca="false">IF('HC by Program-Term'!$Y18="","—",SUM(C18:J18))</f>
        <v>435</v>
      </c>
      <c r="V18" s="151" t="n">
        <f aca="false">IF('HC by Program-Term'!$Y18="","—",SUM(L18:S18))</f>
        <v>1745</v>
      </c>
    </row>
    <row r="19" customFormat="false" ht="15" hidden="false" customHeight="true" outlineLevel="0" collapsed="false">
      <c r="A19" s="162" t="str">
        <f aca="false">'Program List'!A14</f>
        <v>M246</v>
      </c>
      <c r="B19" s="163" t="str">
        <f aca="false">'Program List'!B14</f>
        <v>Master of Construction Business</v>
      </c>
      <c r="C19" s="164" t="n">
        <f aca="false">IF('HC by Program-Term'!$Y19="","—",'New vs Continuing — Term'!C19)</f>
        <v>0</v>
      </c>
      <c r="D19" s="164" t="n">
        <f aca="false">IF('HC by Program-Term'!$Y19="","—",SUM('New vs Continuing — Term'!D19:F19))</f>
        <v>0</v>
      </c>
      <c r="E19" s="164" t="n">
        <f aca="false">IF('HC by Program-Term'!$Y19="","—",SUM('New vs Continuing — Term'!G19:I19))</f>
        <v>41</v>
      </c>
      <c r="F19" s="164" t="n">
        <f aca="false">IF('HC by Program-Term'!$Y19="","—",SUM('New vs Continuing — Term'!J19:L19))</f>
        <v>40</v>
      </c>
      <c r="G19" s="164" t="n">
        <f aca="false">IF('HC by Program-Term'!$Y19="","—",SUM('New vs Continuing — Term'!M19:O19))</f>
        <v>34</v>
      </c>
      <c r="H19" s="164" t="n">
        <f aca="false">IF('HC by Program-Term'!$Y19="","—",SUM('New vs Continuing — Term'!P19:R19))</f>
        <v>34</v>
      </c>
      <c r="I19" s="164" t="n">
        <f aca="false">IF('HC by Program-Term'!$Y19="","—",SUM('New vs Continuing — Term'!S19:U19))</f>
        <v>29</v>
      </c>
      <c r="J19" s="164" t="n">
        <f aca="false">IF('HC by Program-Term'!$Y19="","—",'New vs Continuing — Term'!V19)</f>
        <v>14</v>
      </c>
      <c r="L19" s="164" t="n">
        <f aca="false">IF('HC by Program-Term'!$Y19="","—",'New vs Continuing — Term'!X19)</f>
        <v>0</v>
      </c>
      <c r="M19" s="164" t="n">
        <f aca="false">IF('HC by Program-Term'!$Y19="","—",SUM('New vs Continuing — Term'!Y19:AA19))</f>
        <v>0</v>
      </c>
      <c r="N19" s="164" t="n">
        <f aca="false">IF('HC by Program-Term'!$Y19="","—",SUM('New vs Continuing — Term'!AB19:AD19))</f>
        <v>55</v>
      </c>
      <c r="O19" s="164" t="n">
        <f aca="false">IF('HC by Program-Term'!$Y19="","—",SUM('New vs Continuing — Term'!AE19:AG19))</f>
        <v>122</v>
      </c>
      <c r="P19" s="164" t="n">
        <f aca="false">IF('HC by Program-Term'!$Y19="","—",SUM('New vs Continuing — Term'!AH19:AJ19))</f>
        <v>121</v>
      </c>
      <c r="Q19" s="164" t="n">
        <f aca="false">IF('HC by Program-Term'!$Y19="","—",SUM('New vs Continuing — Term'!AK19:AM19))</f>
        <v>118</v>
      </c>
      <c r="R19" s="164" t="n">
        <f aca="false">IF('HC by Program-Term'!$Y19="","—",SUM('New vs Continuing — Term'!AN19:AP19))</f>
        <v>103</v>
      </c>
      <c r="S19" s="164" t="n">
        <f aca="false">IF('HC by Program-Term'!$Y19="","—",'New vs Continuing — Term'!AQ19)</f>
        <v>31</v>
      </c>
      <c r="U19" s="147" t="n">
        <f aca="false">IF('HC by Program-Term'!$Y19="","—",SUM(C19:J19))</f>
        <v>192</v>
      </c>
      <c r="V19" s="147" t="n">
        <f aca="false">IF('HC by Program-Term'!$Y19="","—",SUM(L19:S19))</f>
        <v>550</v>
      </c>
    </row>
    <row r="20" customFormat="false" ht="15" hidden="false" customHeight="true" outlineLevel="0" collapsed="false">
      <c r="A20" s="165" t="str">
        <f aca="false">'Program List'!A15</f>
        <v>M297</v>
      </c>
      <c r="B20" s="166" t="str">
        <f aca="false">'Program List'!B15</f>
        <v>Master of Econometrics</v>
      </c>
      <c r="C20" s="167" t="str">
        <f aca="false">IF('HC by Program-Term'!$Y20="","—",'New vs Continuing — Term'!C20)</f>
        <v>—</v>
      </c>
      <c r="D20" s="167" t="str">
        <f aca="false">IF('HC by Program-Term'!$Y20="","—",SUM('New vs Continuing — Term'!D20:F20))</f>
        <v>—</v>
      </c>
      <c r="E20" s="167" t="str">
        <f aca="false">IF('HC by Program-Term'!$Y20="","—",SUM('New vs Continuing — Term'!G20:I20))</f>
        <v>—</v>
      </c>
      <c r="F20" s="167" t="str">
        <f aca="false">IF('HC by Program-Term'!$Y20="","—",SUM('New vs Continuing — Term'!J20:L20))</f>
        <v>—</v>
      </c>
      <c r="G20" s="167" t="str">
        <f aca="false">IF('HC by Program-Term'!$Y20="","—",SUM('New vs Continuing — Term'!M20:O20))</f>
        <v>—</v>
      </c>
      <c r="H20" s="167" t="str">
        <f aca="false">IF('HC by Program-Term'!$Y20="","—",SUM('New vs Continuing — Term'!P20:R20))</f>
        <v>—</v>
      </c>
      <c r="I20" s="167" t="str">
        <f aca="false">IF('HC by Program-Term'!$Y20="","—",SUM('New vs Continuing — Term'!S20:U20))</f>
        <v>—</v>
      </c>
      <c r="J20" s="167" t="str">
        <f aca="false">IF('HC by Program-Term'!$Y20="","—",'New vs Continuing — Term'!V20)</f>
        <v>—</v>
      </c>
      <c r="K20" s="168"/>
      <c r="L20" s="167" t="str">
        <f aca="false">IF('HC by Program-Term'!$Y20="","—",'New vs Continuing — Term'!X20)</f>
        <v>—</v>
      </c>
      <c r="M20" s="167" t="str">
        <f aca="false">IF('HC by Program-Term'!$Y20="","—",SUM('New vs Continuing — Term'!Y20:AA20))</f>
        <v>—</v>
      </c>
      <c r="N20" s="167" t="str">
        <f aca="false">IF('HC by Program-Term'!$Y20="","—",SUM('New vs Continuing — Term'!AB20:AD20))</f>
        <v>—</v>
      </c>
      <c r="O20" s="167" t="str">
        <f aca="false">IF('HC by Program-Term'!$Y20="","—",SUM('New vs Continuing — Term'!AE20:AG20))</f>
        <v>—</v>
      </c>
      <c r="P20" s="167" t="str">
        <f aca="false">IF('HC by Program-Term'!$Y20="","—",SUM('New vs Continuing — Term'!AH20:AJ20))</f>
        <v>—</v>
      </c>
      <c r="Q20" s="167" t="str">
        <f aca="false">IF('HC by Program-Term'!$Y20="","—",SUM('New vs Continuing — Term'!AK20:AM20))</f>
        <v>—</v>
      </c>
      <c r="R20" s="167" t="str">
        <f aca="false">IF('HC by Program-Term'!$Y20="","—",SUM('New vs Continuing — Term'!AN20:AP20))</f>
        <v>—</v>
      </c>
      <c r="S20" s="167" t="str">
        <f aca="false">IF('HC by Program-Term'!$Y20="","—",'New vs Continuing — Term'!AQ20)</f>
        <v>—</v>
      </c>
      <c r="T20" s="168"/>
      <c r="U20" s="151" t="str">
        <f aca="false">IF('HC by Program-Term'!$Y20="","—",SUM(C20:J20))</f>
        <v>—</v>
      </c>
      <c r="V20" s="151" t="str">
        <f aca="false">IF('HC by Program-Term'!$Y20="","—",SUM(L20:S20))</f>
        <v>—</v>
      </c>
    </row>
    <row r="21" customFormat="false" ht="15" hidden="false" customHeight="true" outlineLevel="0" collapsed="false">
      <c r="A21" s="162" t="str">
        <f aca="false">'Program List'!A16</f>
        <v>M383</v>
      </c>
      <c r="B21" s="163" t="str">
        <f aca="false">'Program List'!B16</f>
        <v>Master of Entrepreneurship &amp; Innovation</v>
      </c>
      <c r="C21" s="164" t="str">
        <f aca="false">IF('HC by Program-Term'!$Y21="","—",'New vs Continuing — Term'!C21)</f>
        <v>—</v>
      </c>
      <c r="D21" s="164" t="str">
        <f aca="false">IF('HC by Program-Term'!$Y21="","—",SUM('New vs Continuing — Term'!D21:F21))</f>
        <v>—</v>
      </c>
      <c r="E21" s="164" t="str">
        <f aca="false">IF('HC by Program-Term'!$Y21="","—",SUM('New vs Continuing — Term'!G21:I21))</f>
        <v>—</v>
      </c>
      <c r="F21" s="164" t="str">
        <f aca="false">IF('HC by Program-Term'!$Y21="","—",SUM('New vs Continuing — Term'!J21:L21))</f>
        <v>—</v>
      </c>
      <c r="G21" s="164" t="str">
        <f aca="false">IF('HC by Program-Term'!$Y21="","—",SUM('New vs Continuing — Term'!M21:O21))</f>
        <v>—</v>
      </c>
      <c r="H21" s="164" t="str">
        <f aca="false">IF('HC by Program-Term'!$Y21="","—",SUM('New vs Continuing — Term'!P21:R21))</f>
        <v>—</v>
      </c>
      <c r="I21" s="164" t="str">
        <f aca="false">IF('HC by Program-Term'!$Y21="","—",SUM('New vs Continuing — Term'!S21:U21))</f>
        <v>—</v>
      </c>
      <c r="J21" s="164" t="str">
        <f aca="false">IF('HC by Program-Term'!$Y21="","—",'New vs Continuing — Term'!V21)</f>
        <v>—</v>
      </c>
      <c r="L21" s="164" t="str">
        <f aca="false">IF('HC by Program-Term'!$Y21="","—",'New vs Continuing — Term'!X21)</f>
        <v>—</v>
      </c>
      <c r="M21" s="164" t="str">
        <f aca="false">IF('HC by Program-Term'!$Y21="","—",SUM('New vs Continuing — Term'!Y21:AA21))</f>
        <v>—</v>
      </c>
      <c r="N21" s="164" t="str">
        <f aca="false">IF('HC by Program-Term'!$Y21="","—",SUM('New vs Continuing — Term'!AB21:AD21))</f>
        <v>—</v>
      </c>
      <c r="O21" s="164" t="str">
        <f aca="false">IF('HC by Program-Term'!$Y21="","—",SUM('New vs Continuing — Term'!AE21:AG21))</f>
        <v>—</v>
      </c>
      <c r="P21" s="164" t="str">
        <f aca="false">IF('HC by Program-Term'!$Y21="","—",SUM('New vs Continuing — Term'!AH21:AJ21))</f>
        <v>—</v>
      </c>
      <c r="Q21" s="164" t="str">
        <f aca="false">IF('HC by Program-Term'!$Y21="","—",SUM('New vs Continuing — Term'!AK21:AM21))</f>
        <v>—</v>
      </c>
      <c r="R21" s="164" t="str">
        <f aca="false">IF('HC by Program-Term'!$Y21="","—",SUM('New vs Continuing — Term'!AN21:AP21))</f>
        <v>—</v>
      </c>
      <c r="S21" s="164" t="str">
        <f aca="false">IF('HC by Program-Term'!$Y21="","—",'New vs Continuing — Term'!AQ21)</f>
        <v>—</v>
      </c>
      <c r="U21" s="147" t="str">
        <f aca="false">IF('HC by Program-Term'!$Y21="","—",SUM(C21:J21))</f>
        <v>—</v>
      </c>
      <c r="V21" s="147" t="str">
        <f aca="false">IF('HC by Program-Term'!$Y21="","—",SUM(L21:S21))</f>
        <v>—</v>
      </c>
    </row>
    <row r="22" customFormat="false" ht="15" hidden="false" customHeight="true" outlineLevel="0" collapsed="false">
      <c r="A22" s="165" t="str">
        <f aca="false">'Program List'!A17</f>
        <v>M518</v>
      </c>
      <c r="B22" s="166" t="str">
        <f aca="false">'Program List'!B17</f>
        <v>Master of Environmental Science: Hydrology and Water Security</v>
      </c>
      <c r="C22" s="167" t="n">
        <f aca="false">IF('HC by Program-Term'!$Y22="","—",'New vs Continuing — Term'!C22)</f>
        <v>0</v>
      </c>
      <c r="D22" s="167" t="n">
        <f aca="false">IF('HC by Program-Term'!$Y22="","—",SUM('New vs Continuing — Term'!D22:F22))</f>
        <v>99</v>
      </c>
      <c r="E22" s="167" t="n">
        <f aca="false">IF('HC by Program-Term'!$Y22="","—",SUM('New vs Continuing — Term'!G22:I22))</f>
        <v>60</v>
      </c>
      <c r="F22" s="167" t="n">
        <f aca="false">IF('HC by Program-Term'!$Y22="","—",SUM('New vs Continuing — Term'!J22:L22))</f>
        <v>47</v>
      </c>
      <c r="G22" s="167" t="n">
        <f aca="false">IF('HC by Program-Term'!$Y22="","—",SUM('New vs Continuing — Term'!M22:O22))</f>
        <v>48</v>
      </c>
      <c r="H22" s="167" t="n">
        <f aca="false">IF('HC by Program-Term'!$Y22="","—",SUM('New vs Continuing — Term'!P22:R22))</f>
        <v>55</v>
      </c>
      <c r="I22" s="167" t="n">
        <f aca="false">IF('HC by Program-Term'!$Y22="","—",SUM('New vs Continuing — Term'!S22:U22))</f>
        <v>57</v>
      </c>
      <c r="J22" s="167" t="n">
        <f aca="false">IF('HC by Program-Term'!$Y22="","—",'New vs Continuing — Term'!V22)</f>
        <v>32</v>
      </c>
      <c r="K22" s="168"/>
      <c r="L22" s="167" t="n">
        <f aca="false">IF('HC by Program-Term'!$Y22="","—",'New vs Continuing — Term'!X22)</f>
        <v>0</v>
      </c>
      <c r="M22" s="167" t="n">
        <f aca="false">IF('HC by Program-Term'!$Y22="","—",SUM('New vs Continuing — Term'!Y22:AA22))</f>
        <v>115</v>
      </c>
      <c r="N22" s="167" t="n">
        <f aca="false">IF('HC by Program-Term'!$Y22="","—",SUM('New vs Continuing — Term'!AB22:AD22))</f>
        <v>261</v>
      </c>
      <c r="O22" s="167" t="n">
        <f aca="false">IF('HC by Program-Term'!$Y22="","—",SUM('New vs Continuing — Term'!AE22:AG22))</f>
        <v>171</v>
      </c>
      <c r="P22" s="167" t="n">
        <f aca="false">IF('HC by Program-Term'!$Y22="","—",SUM('New vs Continuing — Term'!AH22:AJ22))</f>
        <v>181</v>
      </c>
      <c r="Q22" s="167" t="n">
        <f aca="false">IF('HC by Program-Term'!$Y22="","—",SUM('New vs Continuing — Term'!AK22:AM22))</f>
        <v>205</v>
      </c>
      <c r="R22" s="167" t="n">
        <f aca="false">IF('HC by Program-Term'!$Y22="","—",SUM('New vs Continuing — Term'!AN22:AP22))</f>
        <v>219</v>
      </c>
      <c r="S22" s="167" t="n">
        <f aca="false">IF('HC by Program-Term'!$Y22="","—",'New vs Continuing — Term'!AQ22)</f>
        <v>62</v>
      </c>
      <c r="T22" s="168"/>
      <c r="U22" s="151" t="n">
        <f aca="false">IF('HC by Program-Term'!$Y22="","—",SUM(C22:J22))</f>
        <v>398</v>
      </c>
      <c r="V22" s="151" t="n">
        <f aca="false">IF('HC by Program-Term'!$Y22="","—",SUM(L22:S22))</f>
        <v>1214</v>
      </c>
    </row>
    <row r="23" customFormat="false" ht="15" hidden="false" customHeight="true" outlineLevel="0" collapsed="false">
      <c r="A23" s="162" t="str">
        <f aca="false">'Program List'!A18</f>
        <v>M368</v>
      </c>
      <c r="B23" s="163" t="str">
        <f aca="false">'Program List'!B18</f>
        <v>Master of Legal Studies - Energy</v>
      </c>
      <c r="C23" s="164" t="n">
        <f aca="false">IF('HC by Program-Term'!$Y23="","—",'New vs Continuing — Term'!C23)</f>
        <v>0</v>
      </c>
      <c r="D23" s="164" t="n">
        <f aca="false">IF('HC by Program-Term'!$Y23="","—",SUM('New vs Continuing — Term'!D23:F23))</f>
        <v>10</v>
      </c>
      <c r="E23" s="164" t="n">
        <f aca="false">IF('HC by Program-Term'!$Y23="","—",SUM('New vs Continuing — Term'!G23:I23))</f>
        <v>25</v>
      </c>
      <c r="F23" s="164" t="n">
        <f aca="false">IF('HC by Program-Term'!$Y23="","—",SUM('New vs Continuing — Term'!J23:L23))</f>
        <v>26</v>
      </c>
      <c r="G23" s="164" t="n">
        <f aca="false">IF('HC by Program-Term'!$Y23="","—",SUM('New vs Continuing — Term'!M23:O23))</f>
        <v>21</v>
      </c>
      <c r="H23" s="164" t="n">
        <f aca="false">IF('HC by Program-Term'!$Y23="","—",SUM('New vs Continuing — Term'!P23:R23))</f>
        <v>17</v>
      </c>
      <c r="I23" s="164" t="n">
        <f aca="false">IF('HC by Program-Term'!$Y23="","—",SUM('New vs Continuing — Term'!S23:U23))</f>
        <v>16</v>
      </c>
      <c r="J23" s="164" t="n">
        <f aca="false">IF('HC by Program-Term'!$Y23="","—",'New vs Continuing — Term'!V23)</f>
        <v>18</v>
      </c>
      <c r="L23" s="164" t="n">
        <f aca="false">IF('HC by Program-Term'!$Y23="","—",'New vs Continuing — Term'!X23)</f>
        <v>0</v>
      </c>
      <c r="M23" s="164" t="n">
        <f aca="false">IF('HC by Program-Term'!$Y23="","—",SUM('New vs Continuing — Term'!Y23:AA23))</f>
        <v>0</v>
      </c>
      <c r="N23" s="164" t="n">
        <f aca="false">IF('HC by Program-Term'!$Y23="","—",SUM('New vs Continuing — Term'!AB23:AD23))</f>
        <v>51</v>
      </c>
      <c r="O23" s="164" t="n">
        <f aca="false">IF('HC by Program-Term'!$Y23="","—",SUM('New vs Continuing — Term'!AE23:AG23))</f>
        <v>59</v>
      </c>
      <c r="P23" s="164" t="n">
        <f aca="false">IF('HC by Program-Term'!$Y23="","—",SUM('New vs Continuing — Term'!AH23:AJ23))</f>
        <v>54</v>
      </c>
      <c r="Q23" s="164" t="n">
        <f aca="false">IF('HC by Program-Term'!$Y23="","—",SUM('New vs Continuing — Term'!AK23:AM23))</f>
        <v>51</v>
      </c>
      <c r="R23" s="164" t="n">
        <f aca="false">IF('HC by Program-Term'!$Y23="","—",SUM('New vs Continuing — Term'!AN23:AP23))</f>
        <v>50</v>
      </c>
      <c r="S23" s="164" t="n">
        <f aca="false">IF('HC by Program-Term'!$Y23="","—",'New vs Continuing — Term'!AQ23)</f>
        <v>18</v>
      </c>
      <c r="U23" s="147" t="n">
        <f aca="false">IF('HC by Program-Term'!$Y23="","—",SUM(C23:J23))</f>
        <v>133</v>
      </c>
      <c r="V23" s="147" t="n">
        <f aca="false">IF('HC by Program-Term'!$Y23="","—",SUM(L23:S23))</f>
        <v>283</v>
      </c>
    </row>
    <row r="24" customFormat="false" ht="15" hidden="false" customHeight="true" outlineLevel="0" collapsed="false">
      <c r="A24" s="165" t="str">
        <f aca="false">'Program List'!A19</f>
        <v>M636</v>
      </c>
      <c r="B24" s="166" t="str">
        <f aca="false">'Program List'!B19</f>
        <v>Master of Legal Studies - General</v>
      </c>
      <c r="C24" s="167" t="str">
        <f aca="false">IF('HC by Program-Term'!$Y24="","—",'New vs Continuing — Term'!C24)</f>
        <v>—</v>
      </c>
      <c r="D24" s="167" t="str">
        <f aca="false">IF('HC by Program-Term'!$Y24="","—",SUM('New vs Continuing — Term'!D24:F24))</f>
        <v>—</v>
      </c>
      <c r="E24" s="167" t="str">
        <f aca="false">IF('HC by Program-Term'!$Y24="","—",SUM('New vs Continuing — Term'!G24:I24))</f>
        <v>—</v>
      </c>
      <c r="F24" s="167" t="str">
        <f aca="false">IF('HC by Program-Term'!$Y24="","—",SUM('New vs Continuing — Term'!J24:L24))</f>
        <v>—</v>
      </c>
      <c r="G24" s="167" t="str">
        <f aca="false">IF('HC by Program-Term'!$Y24="","—",SUM('New vs Continuing — Term'!M24:O24))</f>
        <v>—</v>
      </c>
      <c r="H24" s="167" t="str">
        <f aca="false">IF('HC by Program-Term'!$Y24="","—",SUM('New vs Continuing — Term'!P24:R24))</f>
        <v>—</v>
      </c>
      <c r="I24" s="167" t="str">
        <f aca="false">IF('HC by Program-Term'!$Y24="","—",SUM('New vs Continuing — Term'!S24:U24))</f>
        <v>—</v>
      </c>
      <c r="J24" s="167" t="str">
        <f aca="false">IF('HC by Program-Term'!$Y24="","—",'New vs Continuing — Term'!V24)</f>
        <v>—</v>
      </c>
      <c r="K24" s="168"/>
      <c r="L24" s="167" t="str">
        <f aca="false">IF('HC by Program-Term'!$Y24="","—",'New vs Continuing — Term'!X24)</f>
        <v>—</v>
      </c>
      <c r="M24" s="167" t="str">
        <f aca="false">IF('HC by Program-Term'!$Y24="","—",SUM('New vs Continuing — Term'!Y24:AA24))</f>
        <v>—</v>
      </c>
      <c r="N24" s="167" t="str">
        <f aca="false">IF('HC by Program-Term'!$Y24="","—",SUM('New vs Continuing — Term'!AB24:AD24))</f>
        <v>—</v>
      </c>
      <c r="O24" s="167" t="str">
        <f aca="false">IF('HC by Program-Term'!$Y24="","—",SUM('New vs Continuing — Term'!AE24:AG24))</f>
        <v>—</v>
      </c>
      <c r="P24" s="167" t="str">
        <f aca="false">IF('HC by Program-Term'!$Y24="","—",SUM('New vs Continuing — Term'!AH24:AJ24))</f>
        <v>—</v>
      </c>
      <c r="Q24" s="167" t="str">
        <f aca="false">IF('HC by Program-Term'!$Y24="","—",SUM('New vs Continuing — Term'!AK24:AM24))</f>
        <v>—</v>
      </c>
      <c r="R24" s="167" t="str">
        <f aca="false">IF('HC by Program-Term'!$Y24="","—",SUM('New vs Continuing — Term'!AN24:AP24))</f>
        <v>—</v>
      </c>
      <c r="S24" s="167" t="str">
        <f aca="false">IF('HC by Program-Term'!$Y24="","—",'New vs Continuing — Term'!AQ24)</f>
        <v>—</v>
      </c>
      <c r="T24" s="168"/>
      <c r="U24" s="151" t="str">
        <f aca="false">IF('HC by Program-Term'!$Y24="","—",SUM(C24:J24))</f>
        <v>—</v>
      </c>
      <c r="V24" s="151" t="str">
        <f aca="false">IF('HC by Program-Term'!$Y24="","—",SUM(L24:S24))</f>
        <v>—</v>
      </c>
    </row>
    <row r="25" customFormat="false" ht="15" hidden="false" customHeight="true" outlineLevel="0" collapsed="false">
      <c r="A25" s="162" t="str">
        <f aca="false">'Program List'!A20</f>
        <v>M503</v>
      </c>
      <c r="B25" s="163" t="str">
        <f aca="false">'Program List'!B20</f>
        <v>Master of Legal Studies - Healthcare Law</v>
      </c>
      <c r="C25" s="164" t="n">
        <f aca="false">IF('HC by Program-Term'!$Y25="","—",'New vs Continuing — Term'!C25)</f>
        <v>31</v>
      </c>
      <c r="D25" s="164" t="n">
        <f aca="false">IF('HC by Program-Term'!$Y25="","—",SUM('New vs Continuing — Term'!D25:F25))</f>
        <v>99</v>
      </c>
      <c r="E25" s="164" t="n">
        <f aca="false">IF('HC by Program-Term'!$Y25="","—",SUM('New vs Continuing — Term'!G25:I25))</f>
        <v>126</v>
      </c>
      <c r="F25" s="164" t="n">
        <f aca="false">IF('HC by Program-Term'!$Y25="","—",SUM('New vs Continuing — Term'!J25:L25))</f>
        <v>112</v>
      </c>
      <c r="G25" s="164" t="n">
        <f aca="false">IF('HC by Program-Term'!$Y25="","—",SUM('New vs Continuing — Term'!M25:O25))</f>
        <v>74</v>
      </c>
      <c r="H25" s="164" t="n">
        <f aca="false">IF('HC by Program-Term'!$Y25="","—",SUM('New vs Continuing — Term'!P25:R25))</f>
        <v>54</v>
      </c>
      <c r="I25" s="164" t="n">
        <f aca="false">IF('HC by Program-Term'!$Y25="","—",SUM('New vs Continuing — Term'!S25:U25))</f>
        <v>64</v>
      </c>
      <c r="J25" s="164" t="n">
        <f aca="false">IF('HC by Program-Term'!$Y25="","—",'New vs Continuing — Term'!V25)</f>
        <v>20</v>
      </c>
      <c r="L25" s="164" t="n">
        <f aca="false">IF('HC by Program-Term'!$Y25="","—",'New vs Continuing — Term'!X25)</f>
        <v>0</v>
      </c>
      <c r="M25" s="164" t="n">
        <f aca="false">IF('HC by Program-Term'!$Y25="","—",SUM('New vs Continuing — Term'!Y25:AA25))</f>
        <v>165</v>
      </c>
      <c r="N25" s="164" t="n">
        <f aca="false">IF('HC by Program-Term'!$Y25="","—",SUM('New vs Continuing — Term'!AB25:AD25))</f>
        <v>268</v>
      </c>
      <c r="O25" s="164" t="n">
        <f aca="false">IF('HC by Program-Term'!$Y25="","—",SUM('New vs Continuing — Term'!AE25:AG25))</f>
        <v>324</v>
      </c>
      <c r="P25" s="164" t="n">
        <f aca="false">IF('HC by Program-Term'!$Y25="","—",SUM('New vs Continuing — Term'!AH25:AJ25))</f>
        <v>255</v>
      </c>
      <c r="Q25" s="164" t="n">
        <f aca="false">IF('HC by Program-Term'!$Y25="","—",SUM('New vs Continuing — Term'!AK25:AM25))</f>
        <v>202</v>
      </c>
      <c r="R25" s="164" t="n">
        <f aca="false">IF('HC by Program-Term'!$Y25="","—",SUM('New vs Continuing — Term'!AN25:AP25))</f>
        <v>154</v>
      </c>
      <c r="S25" s="164" t="n">
        <f aca="false">IF('HC by Program-Term'!$Y25="","—",'New vs Continuing — Term'!AQ25)</f>
        <v>61</v>
      </c>
      <c r="U25" s="147" t="n">
        <f aca="false">IF('HC by Program-Term'!$Y25="","—",SUM(C25:J25))</f>
        <v>580</v>
      </c>
      <c r="V25" s="147" t="n">
        <f aca="false">IF('HC by Program-Term'!$Y25="","—",SUM(L25:S25))</f>
        <v>1429</v>
      </c>
    </row>
    <row r="26" customFormat="false" ht="15" hidden="false" customHeight="true" outlineLevel="0" collapsed="false">
      <c r="A26" s="165" t="str">
        <f aca="false">'Program List'!A21</f>
        <v>M522</v>
      </c>
      <c r="B26" s="166" t="str">
        <f aca="false">'Program List'!B21</f>
        <v>Master of Legal Studies - Indigenous Peoples Law</v>
      </c>
      <c r="C26" s="167" t="n">
        <f aca="false">IF('HC by Program-Term'!$Y26="","—",'New vs Continuing — Term'!C26)</f>
        <v>22</v>
      </c>
      <c r="D26" s="167" t="n">
        <f aca="false">IF('HC by Program-Term'!$Y26="","—",SUM('New vs Continuing — Term'!D26:F26))</f>
        <v>161</v>
      </c>
      <c r="E26" s="167" t="n">
        <f aca="false">IF('HC by Program-Term'!$Y26="","—",SUM('New vs Continuing — Term'!G26:I26))</f>
        <v>161</v>
      </c>
      <c r="F26" s="167" t="n">
        <f aca="false">IF('HC by Program-Term'!$Y26="","—",SUM('New vs Continuing — Term'!J26:L26))</f>
        <v>117</v>
      </c>
      <c r="G26" s="167" t="n">
        <f aca="false">IF('HC by Program-Term'!$Y26="","—",SUM('New vs Continuing — Term'!M26:O26))</f>
        <v>124</v>
      </c>
      <c r="H26" s="167" t="n">
        <f aca="false">IF('HC by Program-Term'!$Y26="","—",SUM('New vs Continuing — Term'!P26:R26))</f>
        <v>89</v>
      </c>
      <c r="I26" s="167" t="n">
        <f aca="false">IF('HC by Program-Term'!$Y26="","—",SUM('New vs Continuing — Term'!S26:U26))</f>
        <v>70</v>
      </c>
      <c r="J26" s="167" t="n">
        <f aca="false">IF('HC by Program-Term'!$Y26="","—",'New vs Continuing — Term'!V26)</f>
        <v>24</v>
      </c>
      <c r="K26" s="168"/>
      <c r="L26" s="167" t="n">
        <f aca="false">IF('HC by Program-Term'!$Y26="","—",'New vs Continuing — Term'!X26)</f>
        <v>0</v>
      </c>
      <c r="M26" s="167" t="n">
        <f aca="false">IF('HC by Program-Term'!$Y26="","—",SUM('New vs Continuing — Term'!Y26:AA26))</f>
        <v>199</v>
      </c>
      <c r="N26" s="167" t="n">
        <f aca="false">IF('HC by Program-Term'!$Y26="","—",SUM('New vs Continuing — Term'!AB26:AD26))</f>
        <v>407</v>
      </c>
      <c r="O26" s="167" t="n">
        <f aca="false">IF('HC by Program-Term'!$Y26="","—",SUM('New vs Continuing — Term'!AE26:AG26))</f>
        <v>333</v>
      </c>
      <c r="P26" s="167" t="n">
        <f aca="false">IF('HC by Program-Term'!$Y26="","—",SUM('New vs Continuing — Term'!AH26:AJ26))</f>
        <v>317</v>
      </c>
      <c r="Q26" s="167" t="n">
        <f aca="false">IF('HC by Program-Term'!$Y26="","—",SUM('New vs Continuing — Term'!AK26:AM26))</f>
        <v>266</v>
      </c>
      <c r="R26" s="167" t="n">
        <f aca="false">IF('HC by Program-Term'!$Y26="","—",SUM('New vs Continuing — Term'!AN26:AP26))</f>
        <v>236</v>
      </c>
      <c r="S26" s="167" t="n">
        <f aca="false">IF('HC by Program-Term'!$Y26="","—",'New vs Continuing — Term'!AQ26)</f>
        <v>66</v>
      </c>
      <c r="T26" s="168"/>
      <c r="U26" s="151" t="n">
        <f aca="false">IF('HC by Program-Term'!$Y26="","—",SUM(C26:J26))</f>
        <v>768</v>
      </c>
      <c r="V26" s="151" t="n">
        <f aca="false">IF('HC by Program-Term'!$Y26="","—",SUM(L26:S26))</f>
        <v>1824</v>
      </c>
    </row>
    <row r="27" customFormat="false" ht="15" hidden="false" customHeight="true" outlineLevel="0" collapsed="false">
      <c r="A27" s="162" t="str">
        <f aca="false">'Program List'!A22</f>
        <v>M589</v>
      </c>
      <c r="B27" s="163" t="str">
        <f aca="false">'Program List'!B22</f>
        <v>Master of Legal Studies - International Business</v>
      </c>
      <c r="C27" s="164" t="n">
        <f aca="false">IF('HC by Program-Term'!$Y27="","—",'New vs Continuing — Term'!C27)</f>
        <v>0</v>
      </c>
      <c r="D27" s="164" t="n">
        <f aca="false">IF('HC by Program-Term'!$Y27="","—",SUM('New vs Continuing — Term'!D27:F27))</f>
        <v>28</v>
      </c>
      <c r="E27" s="164" t="n">
        <f aca="false">IF('HC by Program-Term'!$Y27="","—",SUM('New vs Continuing — Term'!G27:I27))</f>
        <v>16</v>
      </c>
      <c r="F27" s="164" t="n">
        <f aca="false">IF('HC by Program-Term'!$Y27="","—",SUM('New vs Continuing — Term'!J27:L27))</f>
        <v>10</v>
      </c>
      <c r="G27" s="164" t="n">
        <f aca="false">IF('HC by Program-Term'!$Y27="","—",SUM('New vs Continuing — Term'!M27:O27))</f>
        <v>14</v>
      </c>
      <c r="H27" s="164" t="n">
        <f aca="false">IF('HC by Program-Term'!$Y27="","—",SUM('New vs Continuing — Term'!P27:R27))</f>
        <v>0</v>
      </c>
      <c r="I27" s="164" t="n">
        <f aca="false">IF('HC by Program-Term'!$Y27="","—",SUM('New vs Continuing — Term'!S27:U27))</f>
        <v>7</v>
      </c>
      <c r="J27" s="164" t="n">
        <f aca="false">IF('HC by Program-Term'!$Y27="","—",'New vs Continuing — Term'!V27)</f>
        <v>5</v>
      </c>
      <c r="L27" s="164" t="n">
        <f aca="false">IF('HC by Program-Term'!$Y27="","—",'New vs Continuing — Term'!X27)</f>
        <v>0</v>
      </c>
      <c r="M27" s="164" t="n">
        <f aca="false">IF('HC by Program-Term'!$Y27="","—",SUM('New vs Continuing — Term'!Y27:AA27))</f>
        <v>35</v>
      </c>
      <c r="N27" s="164" t="n">
        <f aca="false">IF('HC by Program-Term'!$Y27="","—",SUM('New vs Continuing — Term'!AB27:AD27))</f>
        <v>58</v>
      </c>
      <c r="O27" s="164" t="n">
        <f aca="false">IF('HC by Program-Term'!$Y27="","—",SUM('New vs Continuing — Term'!AE27:AG27))</f>
        <v>30</v>
      </c>
      <c r="P27" s="164" t="n">
        <f aca="false">IF('HC by Program-Term'!$Y27="","—",SUM('New vs Continuing — Term'!AH27:AJ27))</f>
        <v>27</v>
      </c>
      <c r="Q27" s="164" t="n">
        <f aca="false">IF('HC by Program-Term'!$Y27="","—",SUM('New vs Continuing — Term'!AK27:AM27))</f>
        <v>18</v>
      </c>
      <c r="R27" s="164" t="n">
        <f aca="false">IF('HC by Program-Term'!$Y27="","—",SUM('New vs Continuing — Term'!AN27:AP27))</f>
        <v>13</v>
      </c>
      <c r="S27" s="164" t="n">
        <f aca="false">IF('HC by Program-Term'!$Y27="","—",'New vs Continuing — Term'!AQ27)</f>
        <v>7</v>
      </c>
      <c r="U27" s="147" t="n">
        <f aca="false">IF('HC by Program-Term'!$Y27="","—",SUM(C27:J27))</f>
        <v>80</v>
      </c>
      <c r="V27" s="147" t="n">
        <f aca="false">IF('HC by Program-Term'!$Y27="","—",SUM(L27:S27))</f>
        <v>188</v>
      </c>
    </row>
    <row r="28" customFormat="false" ht="15" hidden="false" customHeight="true" outlineLevel="0" collapsed="false">
      <c r="A28" s="165" t="str">
        <f aca="false">'Program List'!A23</f>
        <v>M029</v>
      </c>
      <c r="B28" s="166" t="str">
        <f aca="false">'Program List'!B23</f>
        <v>Master of Science in Applied Computing</v>
      </c>
      <c r="C28" s="167" t="str">
        <f aca="false">IF('HC by Program-Term'!$Y28="","—",'New vs Continuing — Term'!C28)</f>
        <v>—</v>
      </c>
      <c r="D28" s="167" t="str">
        <f aca="false">IF('HC by Program-Term'!$Y28="","—",SUM('New vs Continuing — Term'!D28:F28))</f>
        <v>—</v>
      </c>
      <c r="E28" s="167" t="str">
        <f aca="false">IF('HC by Program-Term'!$Y28="","—",SUM('New vs Continuing — Term'!G28:I28))</f>
        <v>—</v>
      </c>
      <c r="F28" s="167" t="str">
        <f aca="false">IF('HC by Program-Term'!$Y28="","—",SUM('New vs Continuing — Term'!J28:L28))</f>
        <v>—</v>
      </c>
      <c r="G28" s="167" t="str">
        <f aca="false">IF('HC by Program-Term'!$Y28="","—",SUM('New vs Continuing — Term'!M28:O28))</f>
        <v>—</v>
      </c>
      <c r="H28" s="167" t="str">
        <f aca="false">IF('HC by Program-Term'!$Y28="","—",SUM('New vs Continuing — Term'!P28:R28))</f>
        <v>—</v>
      </c>
      <c r="I28" s="167" t="str">
        <f aca="false">IF('HC by Program-Term'!$Y28="","—",SUM('New vs Continuing — Term'!S28:U28))</f>
        <v>—</v>
      </c>
      <c r="J28" s="167" t="str">
        <f aca="false">IF('HC by Program-Term'!$Y28="","—",'New vs Continuing — Term'!V28)</f>
        <v>—</v>
      </c>
      <c r="K28" s="168"/>
      <c r="L28" s="167" t="str">
        <f aca="false">IF('HC by Program-Term'!$Y28="","—",'New vs Continuing — Term'!X28)</f>
        <v>—</v>
      </c>
      <c r="M28" s="167" t="str">
        <f aca="false">IF('HC by Program-Term'!$Y28="","—",SUM('New vs Continuing — Term'!Y28:AA28))</f>
        <v>—</v>
      </c>
      <c r="N28" s="167" t="str">
        <f aca="false">IF('HC by Program-Term'!$Y28="","—",SUM('New vs Continuing — Term'!AB28:AD28))</f>
        <v>—</v>
      </c>
      <c r="O28" s="167" t="str">
        <f aca="false">IF('HC by Program-Term'!$Y28="","—",SUM('New vs Continuing — Term'!AE28:AG28))</f>
        <v>—</v>
      </c>
      <c r="P28" s="167" t="str">
        <f aca="false">IF('HC by Program-Term'!$Y28="","—",SUM('New vs Continuing — Term'!AH28:AJ28))</f>
        <v>—</v>
      </c>
      <c r="Q28" s="167" t="str">
        <f aca="false">IF('HC by Program-Term'!$Y28="","—",SUM('New vs Continuing — Term'!AK28:AM28))</f>
        <v>—</v>
      </c>
      <c r="R28" s="167" t="str">
        <f aca="false">IF('HC by Program-Term'!$Y28="","—",SUM('New vs Continuing — Term'!AN28:AP28))</f>
        <v>—</v>
      </c>
      <c r="S28" s="167" t="str">
        <f aca="false">IF('HC by Program-Term'!$Y28="","—",'New vs Continuing — Term'!AQ28)</f>
        <v>—</v>
      </c>
      <c r="T28" s="168"/>
      <c r="U28" s="151" t="str">
        <f aca="false">IF('HC by Program-Term'!$Y28="","—",SUM(C28:J28))</f>
        <v>—</v>
      </c>
      <c r="V28" s="151" t="str">
        <f aca="false">IF('HC by Program-Term'!$Y28="","—",SUM(L28:S28))</f>
        <v>—</v>
      </c>
    </row>
    <row r="29" customFormat="false" ht="15" hidden="false" customHeight="true" outlineLevel="0" collapsed="false">
      <c r="A29" s="162" t="str">
        <f aca="false">'Program List'!A24</f>
        <v>M035</v>
      </c>
      <c r="B29" s="163" t="str">
        <f aca="false">'Program List'!B24</f>
        <v>Master of Science in Applied Statistics</v>
      </c>
      <c r="C29" s="164" t="n">
        <f aca="false">IF('HC by Program-Term'!$Y29="","—",'New vs Continuing — Term'!C29)</f>
        <v>0</v>
      </c>
      <c r="D29" s="164" t="n">
        <f aca="false">IF('HC by Program-Term'!$Y29="","—",SUM('New vs Continuing — Term'!D29:F29))</f>
        <v>0</v>
      </c>
      <c r="E29" s="164" t="n">
        <f aca="false">IF('HC by Program-Term'!$Y29="","—",SUM('New vs Continuing — Term'!G29:I29))</f>
        <v>0</v>
      </c>
      <c r="F29" s="164" t="n">
        <f aca="false">IF('HC by Program-Term'!$Y29="","—",SUM('New vs Continuing — Term'!J29:L29))</f>
        <v>0</v>
      </c>
      <c r="G29" s="164" t="n">
        <f aca="false">IF('HC by Program-Term'!$Y29="","—",SUM('New vs Continuing — Term'!M29:O29))</f>
        <v>75</v>
      </c>
      <c r="H29" s="164" t="n">
        <f aca="false">IF('HC by Program-Term'!$Y29="","—",SUM('New vs Continuing — Term'!P29:R29))</f>
        <v>47</v>
      </c>
      <c r="I29" s="164" t="n">
        <f aca="false">IF('HC by Program-Term'!$Y29="","—",SUM('New vs Continuing — Term'!S29:U29))</f>
        <v>35</v>
      </c>
      <c r="J29" s="164" t="n">
        <f aca="false">IF('HC by Program-Term'!$Y29="","—",'New vs Continuing — Term'!V29)</f>
        <v>1</v>
      </c>
      <c r="L29" s="164" t="n">
        <f aca="false">IF('HC by Program-Term'!$Y29="","—",'New vs Continuing — Term'!X29)</f>
        <v>0</v>
      </c>
      <c r="M29" s="164" t="n">
        <f aca="false">IF('HC by Program-Term'!$Y29="","—",SUM('New vs Continuing — Term'!Y29:AA29))</f>
        <v>0</v>
      </c>
      <c r="N29" s="164" t="n">
        <f aca="false">IF('HC by Program-Term'!$Y29="","—",SUM('New vs Continuing — Term'!AB29:AD29))</f>
        <v>0</v>
      </c>
      <c r="O29" s="164" t="n">
        <f aca="false">IF('HC by Program-Term'!$Y29="","—",SUM('New vs Continuing — Term'!AE29:AG29))</f>
        <v>0</v>
      </c>
      <c r="P29" s="164" t="n">
        <f aca="false">IF('HC by Program-Term'!$Y29="","—",SUM('New vs Continuing — Term'!AH29:AJ29))</f>
        <v>36</v>
      </c>
      <c r="Q29" s="164" t="n">
        <f aca="false">IF('HC by Program-Term'!$Y29="","—",SUM('New vs Continuing — Term'!AK29:AM29))</f>
        <v>151</v>
      </c>
      <c r="R29" s="164" t="n">
        <f aca="false">IF('HC by Program-Term'!$Y29="","—",SUM('New vs Continuing — Term'!AN29:AP29))</f>
        <v>145</v>
      </c>
      <c r="S29" s="164" t="n">
        <f aca="false">IF('HC by Program-Term'!$Y29="","—",'New vs Continuing — Term'!AQ29)</f>
        <v>31</v>
      </c>
      <c r="U29" s="147" t="n">
        <f aca="false">IF('HC by Program-Term'!$Y29="","—",SUM(C29:J29))</f>
        <v>158</v>
      </c>
      <c r="V29" s="147" t="n">
        <f aca="false">IF('HC by Program-Term'!$Y29="","—",SUM(L29:S29))</f>
        <v>363</v>
      </c>
    </row>
    <row r="30" customFormat="false" ht="15" hidden="false" customHeight="true" outlineLevel="0" collapsed="false">
      <c r="A30" s="165" t="str">
        <f aca="false">'Program List'!A25</f>
        <v>M145</v>
      </c>
      <c r="B30" s="166" t="str">
        <f aca="false">'Program List'!B25</f>
        <v>Master of Science in Business Analytics</v>
      </c>
      <c r="C30" s="167" t="n">
        <f aca="false">IF('HC by Program-Term'!$Y30="","—",'New vs Continuing — Term'!C30)</f>
        <v>0</v>
      </c>
      <c r="D30" s="167" t="n">
        <f aca="false">IF('HC by Program-Term'!$Y30="","—",SUM('New vs Continuing — Term'!D30:F30))</f>
        <v>0</v>
      </c>
      <c r="E30" s="167" t="n">
        <f aca="false">IF('HC by Program-Term'!$Y30="","—",SUM('New vs Continuing — Term'!G30:I30))</f>
        <v>0</v>
      </c>
      <c r="F30" s="167" t="n">
        <f aca="false">IF('HC by Program-Term'!$Y30="","—",SUM('New vs Continuing — Term'!J30:L30))</f>
        <v>36</v>
      </c>
      <c r="G30" s="167" t="n">
        <f aca="false">IF('HC by Program-Term'!$Y30="","—",SUM('New vs Continuing — Term'!M30:O30))</f>
        <v>41</v>
      </c>
      <c r="H30" s="167" t="n">
        <f aca="false">IF('HC by Program-Term'!$Y30="","—",SUM('New vs Continuing — Term'!P30:R30))</f>
        <v>24</v>
      </c>
      <c r="I30" s="167" t="n">
        <f aca="false">IF('HC by Program-Term'!$Y30="","—",SUM('New vs Continuing — Term'!S30:U30))</f>
        <v>40</v>
      </c>
      <c r="J30" s="167" t="n">
        <f aca="false">IF('HC by Program-Term'!$Y30="","—",'New vs Continuing — Term'!V30)</f>
        <v>12</v>
      </c>
      <c r="K30" s="168"/>
      <c r="L30" s="167" t="n">
        <f aca="false">IF('HC by Program-Term'!$Y30="","—",'New vs Continuing — Term'!X30)</f>
        <v>0</v>
      </c>
      <c r="M30" s="167" t="n">
        <f aca="false">IF('HC by Program-Term'!$Y30="","—",SUM('New vs Continuing — Term'!Y30:AA30))</f>
        <v>0</v>
      </c>
      <c r="N30" s="167" t="n">
        <f aca="false">IF('HC by Program-Term'!$Y30="","—",SUM('New vs Continuing — Term'!AB30:AD30))</f>
        <v>0</v>
      </c>
      <c r="O30" s="167" t="n">
        <f aca="false">IF('HC by Program-Term'!$Y30="","—",SUM('New vs Continuing — Term'!AE30:AG30))</f>
        <v>39</v>
      </c>
      <c r="P30" s="167" t="n">
        <f aca="false">IF('HC by Program-Term'!$Y30="","—",SUM('New vs Continuing — Term'!AH30:AJ30))</f>
        <v>90</v>
      </c>
      <c r="Q30" s="167" t="n">
        <f aca="false">IF('HC by Program-Term'!$Y30="","—",SUM('New vs Continuing — Term'!AK30:AM30))</f>
        <v>75</v>
      </c>
      <c r="R30" s="167" t="n">
        <f aca="false">IF('HC by Program-Term'!$Y30="","—",SUM('New vs Continuing — Term'!AN30:AP30))</f>
        <v>110</v>
      </c>
      <c r="S30" s="167" t="n">
        <f aca="false">IF('HC by Program-Term'!$Y30="","—",'New vs Continuing — Term'!AQ30)</f>
        <v>39</v>
      </c>
      <c r="T30" s="168"/>
      <c r="U30" s="151" t="n">
        <f aca="false">IF('HC by Program-Term'!$Y30="","—",SUM(C30:J30))</f>
        <v>153</v>
      </c>
      <c r="V30" s="151" t="n">
        <f aca="false">IF('HC by Program-Term'!$Y30="","—",SUM(L30:S30))</f>
        <v>353</v>
      </c>
    </row>
    <row r="31" customFormat="false" ht="15" hidden="false" customHeight="true" outlineLevel="0" collapsed="false">
      <c r="A31" s="162" t="str">
        <f aca="false">'Program List'!A26</f>
        <v>M191</v>
      </c>
      <c r="B31" s="163" t="str">
        <f aca="false">'Program List'!B26</f>
        <v>Master of Science in Civil Engineering</v>
      </c>
      <c r="C31" s="164" t="n">
        <f aca="false">IF('HC by Program-Term'!$Y31="","—",'New vs Continuing — Term'!C31)</f>
        <v>0</v>
      </c>
      <c r="D31" s="164" t="n">
        <f aca="false">IF('HC by Program-Term'!$Y31="","—",SUM('New vs Continuing — Term'!D31:F31))</f>
        <v>43</v>
      </c>
      <c r="E31" s="164" t="n">
        <f aca="false">IF('HC by Program-Term'!$Y31="","—",SUM('New vs Continuing — Term'!G31:I31))</f>
        <v>36</v>
      </c>
      <c r="F31" s="164" t="n">
        <f aca="false">IF('HC by Program-Term'!$Y31="","—",SUM('New vs Continuing — Term'!J31:L31))</f>
        <v>30</v>
      </c>
      <c r="G31" s="164" t="n">
        <f aca="false">IF('HC by Program-Term'!$Y31="","—",SUM('New vs Continuing — Term'!M31:O31))</f>
        <v>36</v>
      </c>
      <c r="H31" s="164" t="n">
        <f aca="false">IF('HC by Program-Term'!$Y31="","—",SUM('New vs Continuing — Term'!P31:R31))</f>
        <v>36</v>
      </c>
      <c r="I31" s="164" t="n">
        <f aca="false">IF('HC by Program-Term'!$Y31="","—",SUM('New vs Continuing — Term'!S31:U31))</f>
        <v>41</v>
      </c>
      <c r="J31" s="164" t="n">
        <f aca="false">IF('HC by Program-Term'!$Y31="","—",'New vs Continuing — Term'!V31)</f>
        <v>19</v>
      </c>
      <c r="L31" s="164" t="n">
        <f aca="false">IF('HC by Program-Term'!$Y31="","—",'New vs Continuing — Term'!X31)</f>
        <v>0</v>
      </c>
      <c r="M31" s="164" t="n">
        <f aca="false">IF('HC by Program-Term'!$Y31="","—",SUM('New vs Continuing — Term'!Y31:AA31))</f>
        <v>64</v>
      </c>
      <c r="N31" s="164" t="n">
        <f aca="false">IF('HC by Program-Term'!$Y31="","—",SUM('New vs Continuing — Term'!AB31:AD31))</f>
        <v>123</v>
      </c>
      <c r="O31" s="164" t="n">
        <f aca="false">IF('HC by Program-Term'!$Y31="","—",SUM('New vs Continuing — Term'!AE31:AG31))</f>
        <v>125</v>
      </c>
      <c r="P31" s="164" t="n">
        <f aca="false">IF('HC by Program-Term'!$Y31="","—",SUM('New vs Continuing — Term'!AH31:AJ31))</f>
        <v>122</v>
      </c>
      <c r="Q31" s="164" t="n">
        <f aca="false">IF('HC by Program-Term'!$Y31="","—",SUM('New vs Continuing — Term'!AK31:AM31))</f>
        <v>124</v>
      </c>
      <c r="R31" s="164" t="n">
        <f aca="false">IF('HC by Program-Term'!$Y31="","—",SUM('New vs Continuing — Term'!AN31:AP31))</f>
        <v>142</v>
      </c>
      <c r="S31" s="164" t="n">
        <f aca="false">IF('HC by Program-Term'!$Y31="","—",'New vs Continuing — Term'!AQ31)</f>
        <v>48</v>
      </c>
      <c r="U31" s="147" t="n">
        <f aca="false">IF('HC by Program-Term'!$Y31="","—",SUM(C31:J31))</f>
        <v>241</v>
      </c>
      <c r="V31" s="147" t="n">
        <f aca="false">IF('HC by Program-Term'!$Y31="","—",SUM(L31:S31))</f>
        <v>748</v>
      </c>
    </row>
    <row r="32" customFormat="false" ht="15" hidden="false" customHeight="true" outlineLevel="0" collapsed="false">
      <c r="A32" s="165" t="str">
        <f aca="false">'Program List'!A27</f>
        <v>M260</v>
      </c>
      <c r="B32" s="166" t="str">
        <f aca="false">'Program List'!B27</f>
        <v>Master of Science in Criminal Justice</v>
      </c>
      <c r="C32" s="167" t="n">
        <f aca="false">IF('HC by Program-Term'!$Y32="","—",'New vs Continuing — Term'!C32)</f>
        <v>4</v>
      </c>
      <c r="D32" s="167" t="n">
        <f aca="false">IF('HC by Program-Term'!$Y32="","—",SUM('New vs Continuing — Term'!D32:F32))</f>
        <v>21</v>
      </c>
      <c r="E32" s="167" t="n">
        <f aca="false">IF('HC by Program-Term'!$Y32="","—",SUM('New vs Continuing — Term'!G32:I32))</f>
        <v>65</v>
      </c>
      <c r="F32" s="167" t="n">
        <f aca="false">IF('HC by Program-Term'!$Y32="","—",SUM('New vs Continuing — Term'!J32:L32))</f>
        <v>72</v>
      </c>
      <c r="G32" s="167" t="n">
        <f aca="false">IF('HC by Program-Term'!$Y32="","—",SUM('New vs Continuing — Term'!M32:O32))</f>
        <v>70</v>
      </c>
      <c r="H32" s="167" t="n">
        <f aca="false">IF('HC by Program-Term'!$Y32="","—",SUM('New vs Continuing — Term'!P32:R32))</f>
        <v>47</v>
      </c>
      <c r="I32" s="167" t="n">
        <f aca="false">IF('HC by Program-Term'!$Y32="","—",SUM('New vs Continuing — Term'!S32:U32))</f>
        <v>45</v>
      </c>
      <c r="J32" s="167" t="n">
        <f aca="false">IF('HC by Program-Term'!$Y32="","—",'New vs Continuing — Term'!V32)</f>
        <v>21</v>
      </c>
      <c r="K32" s="168"/>
      <c r="L32" s="167" t="n">
        <f aca="false">IF('HC by Program-Term'!$Y32="","—",'New vs Continuing — Term'!X32)</f>
        <v>0</v>
      </c>
      <c r="M32" s="167" t="n">
        <f aca="false">IF('HC by Program-Term'!$Y32="","—",SUM('New vs Continuing — Term'!Y32:AA32))</f>
        <v>24</v>
      </c>
      <c r="N32" s="167" t="n">
        <f aca="false">IF('HC by Program-Term'!$Y32="","—",SUM('New vs Continuing — Term'!AB32:AD32))</f>
        <v>83</v>
      </c>
      <c r="O32" s="167" t="n">
        <f aca="false">IF('HC by Program-Term'!$Y32="","—",SUM('New vs Continuing — Term'!AE32:AG32))</f>
        <v>172</v>
      </c>
      <c r="P32" s="167" t="n">
        <f aca="false">IF('HC by Program-Term'!$Y32="","—",SUM('New vs Continuing — Term'!AH32:AJ32))</f>
        <v>228</v>
      </c>
      <c r="Q32" s="167" t="n">
        <f aca="false">IF('HC by Program-Term'!$Y32="","—",SUM('New vs Continuing — Term'!AK32:AM32))</f>
        <v>220</v>
      </c>
      <c r="R32" s="167" t="n">
        <f aca="false">IF('HC by Program-Term'!$Y32="","—",SUM('New vs Continuing — Term'!AN32:AP32))</f>
        <v>142</v>
      </c>
      <c r="S32" s="167" t="n">
        <f aca="false">IF('HC by Program-Term'!$Y32="","—",'New vs Continuing — Term'!AQ32)</f>
        <v>42</v>
      </c>
      <c r="T32" s="168"/>
      <c r="U32" s="151" t="n">
        <f aca="false">IF('HC by Program-Term'!$Y32="","—",SUM(C32:J32))</f>
        <v>345</v>
      </c>
      <c r="V32" s="151" t="n">
        <f aca="false">IF('HC by Program-Term'!$Y32="","—",SUM(L32:S32))</f>
        <v>911</v>
      </c>
    </row>
    <row r="33" customFormat="false" ht="15" hidden="false" customHeight="true" outlineLevel="0" collapsed="false">
      <c r="A33" s="162" t="str">
        <f aca="false">'Program List'!A28</f>
        <v>M264</v>
      </c>
      <c r="B33" s="163" t="str">
        <f aca="false">'Program List'!B28</f>
        <v>Master of Science in Cybersecurity Leadership</v>
      </c>
      <c r="C33" s="164" t="str">
        <f aca="false">IF('HC by Program-Term'!$Y33="","—",'New vs Continuing — Term'!C33)</f>
        <v>—</v>
      </c>
      <c r="D33" s="164" t="str">
        <f aca="false">IF('HC by Program-Term'!$Y33="","—",SUM('New vs Continuing — Term'!D33:F33))</f>
        <v>—</v>
      </c>
      <c r="E33" s="164" t="str">
        <f aca="false">IF('HC by Program-Term'!$Y33="","—",SUM('New vs Continuing — Term'!G33:I33))</f>
        <v>—</v>
      </c>
      <c r="F33" s="164" t="str">
        <f aca="false">IF('HC by Program-Term'!$Y33="","—",SUM('New vs Continuing — Term'!J33:L33))</f>
        <v>—</v>
      </c>
      <c r="G33" s="164" t="str">
        <f aca="false">IF('HC by Program-Term'!$Y33="","—",SUM('New vs Continuing — Term'!M33:O33))</f>
        <v>—</v>
      </c>
      <c r="H33" s="164" t="str">
        <f aca="false">IF('HC by Program-Term'!$Y33="","—",SUM('New vs Continuing — Term'!P33:R33))</f>
        <v>—</v>
      </c>
      <c r="I33" s="164" t="str">
        <f aca="false">IF('HC by Program-Term'!$Y33="","—",SUM('New vs Continuing — Term'!S33:U33))</f>
        <v>—</v>
      </c>
      <c r="J33" s="164" t="str">
        <f aca="false">IF('HC by Program-Term'!$Y33="","—",'New vs Continuing — Term'!V33)</f>
        <v>—</v>
      </c>
      <c r="L33" s="164" t="str">
        <f aca="false">IF('HC by Program-Term'!$Y33="","—",'New vs Continuing — Term'!X33)</f>
        <v>—</v>
      </c>
      <c r="M33" s="164" t="str">
        <f aca="false">IF('HC by Program-Term'!$Y33="","—",SUM('New vs Continuing — Term'!Y33:AA33))</f>
        <v>—</v>
      </c>
      <c r="N33" s="164" t="str">
        <f aca="false">IF('HC by Program-Term'!$Y33="","—",SUM('New vs Continuing — Term'!AB33:AD33))</f>
        <v>—</v>
      </c>
      <c r="O33" s="164" t="str">
        <f aca="false">IF('HC by Program-Term'!$Y33="","—",SUM('New vs Continuing — Term'!AE33:AG33))</f>
        <v>—</v>
      </c>
      <c r="P33" s="164" t="str">
        <f aca="false">IF('HC by Program-Term'!$Y33="","—",SUM('New vs Continuing — Term'!AH33:AJ33))</f>
        <v>—</v>
      </c>
      <c r="Q33" s="164" t="str">
        <f aca="false">IF('HC by Program-Term'!$Y33="","—",SUM('New vs Continuing — Term'!AK33:AM33))</f>
        <v>—</v>
      </c>
      <c r="R33" s="164" t="str">
        <f aca="false">IF('HC by Program-Term'!$Y33="","—",SUM('New vs Continuing — Term'!AN33:AP33))</f>
        <v>—</v>
      </c>
      <c r="S33" s="164" t="str">
        <f aca="false">IF('HC by Program-Term'!$Y33="","—",'New vs Continuing — Term'!AQ33)</f>
        <v>—</v>
      </c>
      <c r="U33" s="147" t="str">
        <f aca="false">IF('HC by Program-Term'!$Y33="","—",SUM(C33:J33))</f>
        <v>—</v>
      </c>
      <c r="V33" s="147" t="str">
        <f aca="false">IF('HC by Program-Term'!$Y33="","—",SUM(L33:S33))</f>
        <v>—</v>
      </c>
    </row>
    <row r="34" customFormat="false" ht="15" hidden="false" customHeight="true" outlineLevel="0" collapsed="false">
      <c r="A34" s="165" t="str">
        <f aca="false">'Program List'!A29</f>
        <v>M374</v>
      </c>
      <c r="B34" s="166" t="str">
        <f aca="false">'Program List'!B29</f>
        <v>Master of Science in Engineering Leadership and Management</v>
      </c>
      <c r="C34" s="167" t="n">
        <f aca="false">IF('HC by Program-Term'!$Y34="","—",'New vs Continuing — Term'!C34)</f>
        <v>0</v>
      </c>
      <c r="D34" s="167" t="n">
        <f aca="false">IF('HC by Program-Term'!$Y34="","—",SUM('New vs Continuing — Term'!D34:F34))</f>
        <v>0</v>
      </c>
      <c r="E34" s="167" t="n">
        <f aca="false">IF('HC by Program-Term'!$Y34="","—",SUM('New vs Continuing — Term'!G34:I34))</f>
        <v>0</v>
      </c>
      <c r="F34" s="167" t="n">
        <f aca="false">IF('HC by Program-Term'!$Y34="","—",SUM('New vs Continuing — Term'!J34:L34))</f>
        <v>0</v>
      </c>
      <c r="G34" s="167" t="n">
        <f aca="false">IF('HC by Program-Term'!$Y34="","—",SUM('New vs Continuing — Term'!M34:O34))</f>
        <v>24</v>
      </c>
      <c r="H34" s="167" t="n">
        <f aca="false">IF('HC by Program-Term'!$Y34="","—",SUM('New vs Continuing — Term'!P34:R34))</f>
        <v>64</v>
      </c>
      <c r="I34" s="167" t="n">
        <f aca="false">IF('HC by Program-Term'!$Y34="","—",SUM('New vs Continuing — Term'!S34:U34))</f>
        <v>56</v>
      </c>
      <c r="J34" s="167" t="n">
        <f aca="false">IF('HC by Program-Term'!$Y34="","—",'New vs Continuing — Term'!V34)</f>
        <v>43</v>
      </c>
      <c r="K34" s="168"/>
      <c r="L34" s="167" t="n">
        <f aca="false">IF('HC by Program-Term'!$Y34="","—",'New vs Continuing — Term'!X34)</f>
        <v>0</v>
      </c>
      <c r="M34" s="167" t="n">
        <f aca="false">IF('HC by Program-Term'!$Y34="","—",SUM('New vs Continuing — Term'!Y34:AA34))</f>
        <v>0</v>
      </c>
      <c r="N34" s="167" t="n">
        <f aca="false">IF('HC by Program-Term'!$Y34="","—",SUM('New vs Continuing — Term'!AB34:AD34))</f>
        <v>0</v>
      </c>
      <c r="O34" s="167" t="n">
        <f aca="false">IF('HC by Program-Term'!$Y34="","—",SUM('New vs Continuing — Term'!AE34:AG34))</f>
        <v>0</v>
      </c>
      <c r="P34" s="167" t="n">
        <f aca="false">IF('HC by Program-Term'!$Y34="","—",SUM('New vs Continuing — Term'!AH34:AJ34))</f>
        <v>20</v>
      </c>
      <c r="Q34" s="167" t="n">
        <f aca="false">IF('HC by Program-Term'!$Y34="","—",SUM('New vs Continuing — Term'!AK34:AM34))</f>
        <v>123</v>
      </c>
      <c r="R34" s="167" t="n">
        <f aca="false">IF('HC by Program-Term'!$Y34="","—",SUM('New vs Continuing — Term'!AN34:AP34))</f>
        <v>157</v>
      </c>
      <c r="S34" s="167" t="n">
        <f aca="false">IF('HC by Program-Term'!$Y34="","—",'New vs Continuing — Term'!AQ34)</f>
        <v>48</v>
      </c>
      <c r="T34" s="168"/>
      <c r="U34" s="151" t="n">
        <f aca="false">IF('HC by Program-Term'!$Y34="","—",SUM(C34:J34))</f>
        <v>187</v>
      </c>
      <c r="V34" s="151" t="n">
        <f aca="false">IF('HC by Program-Term'!$Y34="","—",SUM(L34:S34))</f>
        <v>348</v>
      </c>
    </row>
    <row r="35" customFormat="false" ht="15" hidden="false" customHeight="true" outlineLevel="0" collapsed="false">
      <c r="A35" s="162" t="str">
        <f aca="false">'Program List'!A30</f>
        <v>M435</v>
      </c>
      <c r="B35" s="163" t="str">
        <f aca="false">'Program List'!B30</f>
        <v>Master of Science in Finance</v>
      </c>
      <c r="C35" s="164" t="n">
        <f aca="false">IF('HC by Program-Term'!$Y35="","—",'New vs Continuing — Term'!C35)</f>
        <v>3</v>
      </c>
      <c r="D35" s="164" t="n">
        <f aca="false">IF('HC by Program-Term'!$Y35="","—",SUM('New vs Continuing — Term'!D35:F35))</f>
        <v>83</v>
      </c>
      <c r="E35" s="164" t="n">
        <f aca="false">IF('HC by Program-Term'!$Y35="","—",SUM('New vs Continuing — Term'!G35:I35))</f>
        <v>79</v>
      </c>
      <c r="F35" s="164" t="n">
        <f aca="false">IF('HC by Program-Term'!$Y35="","—",SUM('New vs Continuing — Term'!J35:L35))</f>
        <v>58</v>
      </c>
      <c r="G35" s="164" t="n">
        <f aca="false">IF('HC by Program-Term'!$Y35="","—",SUM('New vs Continuing — Term'!M35:O35))</f>
        <v>41</v>
      </c>
      <c r="H35" s="164" t="n">
        <f aca="false">IF('HC by Program-Term'!$Y35="","—",SUM('New vs Continuing — Term'!P35:R35))</f>
        <v>54</v>
      </c>
      <c r="I35" s="164" t="n">
        <f aca="false">IF('HC by Program-Term'!$Y35="","—",SUM('New vs Continuing — Term'!S35:U35))</f>
        <v>57</v>
      </c>
      <c r="J35" s="164" t="n">
        <f aca="false">IF('HC by Program-Term'!$Y35="","—",'New vs Continuing — Term'!V35)</f>
        <v>27</v>
      </c>
      <c r="L35" s="164" t="n">
        <f aca="false">IF('HC by Program-Term'!$Y35="","—",'New vs Continuing — Term'!X35)</f>
        <v>0</v>
      </c>
      <c r="M35" s="164" t="n">
        <f aca="false">IF('HC by Program-Term'!$Y35="","—",SUM('New vs Continuing — Term'!Y35:AA35))</f>
        <v>115</v>
      </c>
      <c r="N35" s="164" t="n">
        <f aca="false">IF('HC by Program-Term'!$Y35="","—",SUM('New vs Continuing — Term'!AB35:AD35))</f>
        <v>201</v>
      </c>
      <c r="O35" s="164" t="n">
        <f aca="false">IF('HC by Program-Term'!$Y35="","—",SUM('New vs Continuing — Term'!AE35:AG35))</f>
        <v>179</v>
      </c>
      <c r="P35" s="164" t="n">
        <f aca="false">IF('HC by Program-Term'!$Y35="","—",SUM('New vs Continuing — Term'!AH35:AJ35))</f>
        <v>139</v>
      </c>
      <c r="Q35" s="164" t="n">
        <f aca="false">IF('HC by Program-Term'!$Y35="","—",SUM('New vs Continuing — Term'!AK35:AM35))</f>
        <v>117</v>
      </c>
      <c r="R35" s="164" t="n">
        <f aca="false">IF('HC by Program-Term'!$Y35="","—",SUM('New vs Continuing — Term'!AN35:AP35))</f>
        <v>143</v>
      </c>
      <c r="S35" s="164" t="n">
        <f aca="false">IF('HC by Program-Term'!$Y35="","—",'New vs Continuing — Term'!AQ35)</f>
        <v>50</v>
      </c>
      <c r="U35" s="147" t="n">
        <f aca="false">IF('HC by Program-Term'!$Y35="","—",SUM(C35:J35))</f>
        <v>402</v>
      </c>
      <c r="V35" s="147" t="n">
        <f aca="false">IF('HC by Program-Term'!$Y35="","—",SUM(L35:S35))</f>
        <v>944</v>
      </c>
    </row>
    <row r="36" customFormat="false" ht="15" hidden="false" customHeight="true" outlineLevel="0" collapsed="false">
      <c r="A36" s="165" t="str">
        <f aca="false">'Program List'!A31</f>
        <v>M464</v>
      </c>
      <c r="B36" s="166" t="str">
        <f aca="false">'Program List'!B31</f>
        <v>Master of Science in Geospatial Technology</v>
      </c>
      <c r="C36" s="167" t="n">
        <f aca="false">IF('HC by Program-Term'!$Y36="","—",'New vs Continuing — Term'!C36)</f>
        <v>0</v>
      </c>
      <c r="D36" s="167" t="n">
        <f aca="false">IF('HC by Program-Term'!$Y36="","—",SUM('New vs Continuing — Term'!D36:F36))</f>
        <v>39</v>
      </c>
      <c r="E36" s="167" t="n">
        <f aca="false">IF('HC by Program-Term'!$Y36="","—",SUM('New vs Continuing — Term'!G36:I36))</f>
        <v>27</v>
      </c>
      <c r="F36" s="167" t="n">
        <f aca="false">IF('HC by Program-Term'!$Y36="","—",SUM('New vs Continuing — Term'!J36:L36))</f>
        <v>17</v>
      </c>
      <c r="G36" s="167" t="n">
        <f aca="false">IF('HC by Program-Term'!$Y36="","—",SUM('New vs Continuing — Term'!M36:O36))</f>
        <v>20</v>
      </c>
      <c r="H36" s="167" t="n">
        <f aca="false">IF('HC by Program-Term'!$Y36="","—",SUM('New vs Continuing — Term'!P36:R36))</f>
        <v>12</v>
      </c>
      <c r="I36" s="167" t="n">
        <f aca="false">IF('HC by Program-Term'!$Y36="","—",SUM('New vs Continuing — Term'!S36:U36))</f>
        <v>13</v>
      </c>
      <c r="J36" s="167" t="n">
        <f aca="false">IF('HC by Program-Term'!$Y36="","—",'New vs Continuing — Term'!V36)</f>
        <v>3</v>
      </c>
      <c r="K36" s="168"/>
      <c r="L36" s="167" t="n">
        <f aca="false">IF('HC by Program-Term'!$Y36="","—",'New vs Continuing — Term'!X36)</f>
        <v>0</v>
      </c>
      <c r="M36" s="167" t="n">
        <f aca="false">IF('HC by Program-Term'!$Y36="","—",SUM('New vs Continuing — Term'!Y36:AA36))</f>
        <v>45</v>
      </c>
      <c r="N36" s="167" t="n">
        <f aca="false">IF('HC by Program-Term'!$Y36="","—",SUM('New vs Continuing — Term'!AB36:AD36))</f>
        <v>109</v>
      </c>
      <c r="O36" s="167" t="n">
        <f aca="false">IF('HC by Program-Term'!$Y36="","—",SUM('New vs Continuing — Term'!AE36:AG36))</f>
        <v>83</v>
      </c>
      <c r="P36" s="167" t="n">
        <f aca="false">IF('HC by Program-Term'!$Y36="","—",SUM('New vs Continuing — Term'!AH36:AJ36))</f>
        <v>57</v>
      </c>
      <c r="Q36" s="167" t="n">
        <f aca="false">IF('HC by Program-Term'!$Y36="","—",SUM('New vs Continuing — Term'!AK36:AM36))</f>
        <v>56</v>
      </c>
      <c r="R36" s="167" t="n">
        <f aca="false">IF('HC by Program-Term'!$Y36="","—",SUM('New vs Continuing — Term'!AN36:AP36))</f>
        <v>36</v>
      </c>
      <c r="S36" s="167" t="n">
        <f aca="false">IF('HC by Program-Term'!$Y36="","—",'New vs Continuing — Term'!AQ36)</f>
        <v>12</v>
      </c>
      <c r="T36" s="168"/>
      <c r="U36" s="151" t="n">
        <f aca="false">IF('HC by Program-Term'!$Y36="","—",SUM(C36:J36))</f>
        <v>131</v>
      </c>
      <c r="V36" s="151" t="n">
        <f aca="false">IF('HC by Program-Term'!$Y36="","—",SUM(L36:S36))</f>
        <v>398</v>
      </c>
    </row>
    <row r="37" customFormat="false" ht="15" hidden="false" customHeight="true" outlineLevel="0" collapsed="false">
      <c r="A37" s="162" t="str">
        <f aca="false">'Program List'!A32</f>
        <v>M527</v>
      </c>
      <c r="B37" s="163" t="str">
        <f aca="false">'Program List'!B32</f>
        <v>Master of Science in Industrial and Systems Engineering</v>
      </c>
      <c r="C37" s="164" t="n">
        <f aca="false">IF('HC by Program-Term'!$Y37="","—",'New vs Continuing — Term'!C37)</f>
        <v>0</v>
      </c>
      <c r="D37" s="164" t="n">
        <f aca="false">IF('HC by Program-Term'!$Y37="","—",SUM('New vs Continuing — Term'!D37:F37))</f>
        <v>0</v>
      </c>
      <c r="E37" s="164" t="n">
        <f aca="false">IF('HC by Program-Term'!$Y37="","—",SUM('New vs Continuing — Term'!G37:I37))</f>
        <v>21</v>
      </c>
      <c r="F37" s="164" t="n">
        <f aca="false">IF('HC by Program-Term'!$Y37="","—",SUM('New vs Continuing — Term'!J37:L37))</f>
        <v>23</v>
      </c>
      <c r="G37" s="164" t="n">
        <f aca="false">IF('HC by Program-Term'!$Y37="","—",SUM('New vs Continuing — Term'!M37:O37))</f>
        <v>47</v>
      </c>
      <c r="H37" s="164" t="n">
        <f aca="false">IF('HC by Program-Term'!$Y37="","—",SUM('New vs Continuing — Term'!P37:R37))</f>
        <v>54</v>
      </c>
      <c r="I37" s="164" t="n">
        <f aca="false">IF('HC by Program-Term'!$Y37="","—",SUM('New vs Continuing — Term'!S37:U37))</f>
        <v>58</v>
      </c>
      <c r="J37" s="164" t="n">
        <f aca="false">IF('HC by Program-Term'!$Y37="","—",'New vs Continuing — Term'!V37)</f>
        <v>43</v>
      </c>
      <c r="L37" s="164" t="n">
        <f aca="false">IF('HC by Program-Term'!$Y37="","—",'New vs Continuing — Term'!X37)</f>
        <v>0</v>
      </c>
      <c r="M37" s="164" t="n">
        <f aca="false">IF('HC by Program-Term'!$Y37="","—",SUM('New vs Continuing — Term'!Y37:AA37))</f>
        <v>0</v>
      </c>
      <c r="N37" s="164" t="n">
        <f aca="false">IF('HC by Program-Term'!$Y37="","—",SUM('New vs Continuing — Term'!AB37:AD37))</f>
        <v>18</v>
      </c>
      <c r="O37" s="164" t="n">
        <f aca="false">IF('HC by Program-Term'!$Y37="","—",SUM('New vs Continuing — Term'!AE37:AG37))</f>
        <v>45</v>
      </c>
      <c r="P37" s="164" t="n">
        <f aca="false">IF('HC by Program-Term'!$Y37="","—",SUM('New vs Continuing — Term'!AH37:AJ37))</f>
        <v>85</v>
      </c>
      <c r="Q37" s="164" t="n">
        <f aca="false">IF('HC by Program-Term'!$Y37="","—",SUM('New vs Continuing — Term'!AK37:AM37))</f>
        <v>155</v>
      </c>
      <c r="R37" s="164" t="n">
        <f aca="false">IF('HC by Program-Term'!$Y37="","—",SUM('New vs Continuing — Term'!AN37:AP37))</f>
        <v>176</v>
      </c>
      <c r="S37" s="164" t="n">
        <f aca="false">IF('HC by Program-Term'!$Y37="","—",'New vs Continuing — Term'!AQ37)</f>
        <v>50</v>
      </c>
      <c r="U37" s="147" t="n">
        <f aca="false">IF('HC by Program-Term'!$Y37="","—",SUM(C37:J37))</f>
        <v>246</v>
      </c>
      <c r="V37" s="147" t="n">
        <f aca="false">IF('HC by Program-Term'!$Y37="","—",SUM(L37:S37))</f>
        <v>529</v>
      </c>
    </row>
    <row r="38" customFormat="false" ht="15" hidden="false" customHeight="true" outlineLevel="0" collapsed="false">
      <c r="A38" s="165" t="str">
        <f aca="false">'Program List'!A33</f>
        <v>M746</v>
      </c>
      <c r="B38" s="166" t="str">
        <f aca="false">'Program List'!B33</f>
        <v>Master of Science in Natural Gas Engineering and Management</v>
      </c>
      <c r="C38" s="167" t="n">
        <f aca="false">IF('HC by Program-Term'!$Y38="","—",'New vs Continuing — Term'!C38)</f>
        <v>3</v>
      </c>
      <c r="D38" s="167" t="n">
        <f aca="false">IF('HC by Program-Term'!$Y38="","—",SUM('New vs Continuing — Term'!D38:F38))</f>
        <v>9</v>
      </c>
      <c r="E38" s="167" t="n">
        <f aca="false">IF('HC by Program-Term'!$Y38="","—",SUM('New vs Continuing — Term'!G38:I38))</f>
        <v>16</v>
      </c>
      <c r="F38" s="167" t="n">
        <f aca="false">IF('HC by Program-Term'!$Y38="","—",SUM('New vs Continuing — Term'!J38:L38))</f>
        <v>20</v>
      </c>
      <c r="G38" s="167" t="n">
        <f aca="false">IF('HC by Program-Term'!$Y38="","—",SUM('New vs Continuing — Term'!M38:O38))</f>
        <v>35</v>
      </c>
      <c r="H38" s="167" t="n">
        <f aca="false">IF('HC by Program-Term'!$Y38="","—",SUM('New vs Continuing — Term'!P38:R38))</f>
        <v>34</v>
      </c>
      <c r="I38" s="167" t="n">
        <f aca="false">IF('HC by Program-Term'!$Y38="","—",SUM('New vs Continuing — Term'!S38:U38))</f>
        <v>38</v>
      </c>
      <c r="J38" s="167" t="n">
        <f aca="false">IF('HC by Program-Term'!$Y38="","—",'New vs Continuing — Term'!V38)</f>
        <v>20</v>
      </c>
      <c r="K38" s="168"/>
      <c r="L38" s="167" t="n">
        <f aca="false">IF('HC by Program-Term'!$Y38="","—",'New vs Continuing — Term'!X38)</f>
        <v>0</v>
      </c>
      <c r="M38" s="167" t="n">
        <f aca="false">IF('HC by Program-Term'!$Y38="","—",SUM('New vs Continuing — Term'!Y38:AA38))</f>
        <v>20</v>
      </c>
      <c r="N38" s="167" t="n">
        <f aca="false">IF('HC by Program-Term'!$Y38="","—",SUM('New vs Continuing — Term'!AB38:AD38))</f>
        <v>45</v>
      </c>
      <c r="O38" s="167" t="n">
        <f aca="false">IF('HC by Program-Term'!$Y38="","—",SUM('New vs Continuing — Term'!AE38:AG38))</f>
        <v>55</v>
      </c>
      <c r="P38" s="167" t="n">
        <f aca="false">IF('HC by Program-Term'!$Y38="","—",SUM('New vs Continuing — Term'!AH38:AJ38))</f>
        <v>87</v>
      </c>
      <c r="Q38" s="167" t="n">
        <f aca="false">IF('HC by Program-Term'!$Y38="","—",SUM('New vs Continuing — Term'!AK38:AM38))</f>
        <v>105</v>
      </c>
      <c r="R38" s="167" t="n">
        <f aca="false">IF('HC by Program-Term'!$Y38="","—",SUM('New vs Continuing — Term'!AN38:AP38))</f>
        <v>113</v>
      </c>
      <c r="S38" s="167" t="n">
        <f aca="false">IF('HC by Program-Term'!$Y38="","—",'New vs Continuing — Term'!AQ38)</f>
        <v>39</v>
      </c>
      <c r="T38" s="168"/>
      <c r="U38" s="151" t="n">
        <f aca="false">IF('HC by Program-Term'!$Y38="","—",SUM(C38:J38))</f>
        <v>175</v>
      </c>
      <c r="V38" s="151" t="n">
        <f aca="false">IF('HC by Program-Term'!$Y38="","—",SUM(L38:S38))</f>
        <v>464</v>
      </c>
    </row>
    <row r="39" customFormat="false" ht="15" hidden="false" customHeight="true" outlineLevel="0" collapsed="false">
      <c r="A39" s="162" t="str">
        <f aca="false">'Program List'!A34</f>
        <v>M861</v>
      </c>
      <c r="B39" s="163" t="str">
        <f aca="false">'Program List'!B34</f>
        <v>Master of Science in Supply Chain Management</v>
      </c>
      <c r="C39" s="164" t="n">
        <f aca="false">IF('HC by Program-Term'!$Y39="","—",'New vs Continuing — Term'!C39)</f>
        <v>0</v>
      </c>
      <c r="D39" s="164" t="n">
        <f aca="false">IF('HC by Program-Term'!$Y39="","—",SUM('New vs Continuing — Term'!D39:F39))</f>
        <v>0</v>
      </c>
      <c r="E39" s="164" t="n">
        <f aca="false">IF('HC by Program-Term'!$Y39="","—",SUM('New vs Continuing — Term'!G39:I39))</f>
        <v>0</v>
      </c>
      <c r="F39" s="164" t="n">
        <f aca="false">IF('HC by Program-Term'!$Y39="","—",SUM('New vs Continuing — Term'!J39:L39))</f>
        <v>31</v>
      </c>
      <c r="G39" s="164" t="n">
        <f aca="false">IF('HC by Program-Term'!$Y39="","—",SUM('New vs Continuing — Term'!M39:O39))</f>
        <v>58</v>
      </c>
      <c r="H39" s="164" t="n">
        <f aca="false">IF('HC by Program-Term'!$Y39="","—",SUM('New vs Continuing — Term'!P39:R39))</f>
        <v>46</v>
      </c>
      <c r="I39" s="164" t="n">
        <f aca="false">IF('HC by Program-Term'!$Y39="","—",SUM('New vs Continuing — Term'!S39:U39))</f>
        <v>57</v>
      </c>
      <c r="J39" s="164" t="n">
        <f aca="false">IF('HC by Program-Term'!$Y39="","—",'New vs Continuing — Term'!V39)</f>
        <v>25</v>
      </c>
      <c r="L39" s="164" t="n">
        <f aca="false">IF('HC by Program-Term'!$Y39="","—",'New vs Continuing — Term'!X39)</f>
        <v>0</v>
      </c>
      <c r="M39" s="164" t="n">
        <f aca="false">IF('HC by Program-Term'!$Y39="","—",SUM('New vs Continuing — Term'!Y39:AA39))</f>
        <v>0</v>
      </c>
      <c r="N39" s="164" t="n">
        <f aca="false">IF('HC by Program-Term'!$Y39="","—",SUM('New vs Continuing — Term'!AB39:AD39))</f>
        <v>0</v>
      </c>
      <c r="O39" s="164" t="n">
        <f aca="false">IF('HC by Program-Term'!$Y39="","—",SUM('New vs Continuing — Term'!AE39:AG39))</f>
        <v>33</v>
      </c>
      <c r="P39" s="164" t="n">
        <f aca="false">IF('HC by Program-Term'!$Y39="","—",SUM('New vs Continuing — Term'!AH39:AJ39))</f>
        <v>128</v>
      </c>
      <c r="Q39" s="164" t="n">
        <f aca="false">IF('HC by Program-Term'!$Y39="","—",SUM('New vs Continuing — Term'!AK39:AM39))</f>
        <v>124</v>
      </c>
      <c r="R39" s="164" t="n">
        <f aca="false">IF('HC by Program-Term'!$Y39="","—",SUM('New vs Continuing — Term'!AN39:AP39))</f>
        <v>149</v>
      </c>
      <c r="S39" s="164" t="n">
        <f aca="false">IF('HC by Program-Term'!$Y39="","—",'New vs Continuing — Term'!AQ39)</f>
        <v>55</v>
      </c>
      <c r="U39" s="147" t="n">
        <f aca="false">IF('HC by Program-Term'!$Y39="","—",SUM(C39:J39))</f>
        <v>217</v>
      </c>
      <c r="V39" s="147" t="n">
        <f aca="false">IF('HC by Program-Term'!$Y39="","—",SUM(L39:S39))</f>
        <v>489</v>
      </c>
    </row>
    <row r="40" customFormat="false" ht="15" hidden="false" customHeight="true" outlineLevel="0" collapsed="false">
      <c r="A40" s="165" t="str">
        <f aca="false">'Program List'!A35</f>
        <v>M869</v>
      </c>
      <c r="B40" s="166" t="str">
        <f aca="false">'Program List'!B35</f>
        <v>Master of Science in Sustainability - Energy and Materials Mgmt</v>
      </c>
      <c r="C40" s="167" t="n">
        <f aca="false">IF('HC by Program-Term'!$Y40="","—",'New vs Continuing — Term'!C40)</f>
        <v>0</v>
      </c>
      <c r="D40" s="167" t="n">
        <f aca="false">IF('HC by Program-Term'!$Y40="","—",SUM('New vs Continuing — Term'!D40:F40))</f>
        <v>0</v>
      </c>
      <c r="E40" s="167" t="n">
        <f aca="false">IF('HC by Program-Term'!$Y40="","—",SUM('New vs Continuing — Term'!G40:I40))</f>
        <v>0</v>
      </c>
      <c r="F40" s="167" t="n">
        <f aca="false">IF('HC by Program-Term'!$Y40="","—",SUM('New vs Continuing — Term'!J40:L40))</f>
        <v>0</v>
      </c>
      <c r="G40" s="167" t="n">
        <f aca="false">IF('HC by Program-Term'!$Y40="","—",SUM('New vs Continuing — Term'!M40:O40))</f>
        <v>26</v>
      </c>
      <c r="H40" s="167" t="n">
        <f aca="false">IF('HC by Program-Term'!$Y40="","—",SUM('New vs Continuing — Term'!P40:R40))</f>
        <v>54</v>
      </c>
      <c r="I40" s="167" t="n">
        <f aca="false">IF('HC by Program-Term'!$Y40="","—",SUM('New vs Continuing — Term'!S40:U40))</f>
        <v>32</v>
      </c>
      <c r="J40" s="167" t="n">
        <f aca="false">IF('HC by Program-Term'!$Y40="","—",'New vs Continuing — Term'!V40)</f>
        <v>17</v>
      </c>
      <c r="K40" s="168"/>
      <c r="L40" s="167" t="n">
        <f aca="false">IF('HC by Program-Term'!$Y40="","—",'New vs Continuing — Term'!X40)</f>
        <v>0</v>
      </c>
      <c r="M40" s="167" t="n">
        <f aca="false">IF('HC by Program-Term'!$Y40="","—",SUM('New vs Continuing — Term'!Y40:AA40))</f>
        <v>0</v>
      </c>
      <c r="N40" s="167" t="n">
        <f aca="false">IF('HC by Program-Term'!$Y40="","—",SUM('New vs Continuing — Term'!AB40:AD40))</f>
        <v>0</v>
      </c>
      <c r="O40" s="167" t="n">
        <f aca="false">IF('HC by Program-Term'!$Y40="","—",SUM('New vs Continuing — Term'!AE40:AG40))</f>
        <v>0</v>
      </c>
      <c r="P40" s="167" t="n">
        <f aca="false">IF('HC by Program-Term'!$Y40="","—",SUM('New vs Continuing — Term'!AH40:AJ40))</f>
        <v>28</v>
      </c>
      <c r="Q40" s="167" t="n">
        <f aca="false">IF('HC by Program-Term'!$Y40="","—",SUM('New vs Continuing — Term'!AK40:AM40))</f>
        <v>101</v>
      </c>
      <c r="R40" s="167" t="n">
        <f aca="false">IF('HC by Program-Term'!$Y40="","—",SUM('New vs Continuing — Term'!AN40:AP40))</f>
        <v>132</v>
      </c>
      <c r="S40" s="167" t="n">
        <f aca="false">IF('HC by Program-Term'!$Y40="","—",'New vs Continuing — Term'!AQ40)</f>
        <v>23</v>
      </c>
      <c r="T40" s="168"/>
      <c r="U40" s="151" t="n">
        <f aca="false">IF('HC by Program-Term'!$Y40="","—",SUM(C40:J40))</f>
        <v>129</v>
      </c>
      <c r="V40" s="151" t="n">
        <f aca="false">IF('HC by Program-Term'!$Y40="","—",SUM(L40:S40))</f>
        <v>284</v>
      </c>
    </row>
    <row r="41" customFormat="false" ht="15" hidden="false" customHeight="true" outlineLevel="0" collapsed="false">
      <c r="A41" s="162" t="str">
        <f aca="false">'Program List'!A36</f>
        <v>M867</v>
      </c>
      <c r="B41" s="163" t="str">
        <f aca="false">'Program List'!B36</f>
        <v>Master of Science in Sustainable Architecture</v>
      </c>
      <c r="C41" s="164" t="n">
        <f aca="false">IF('HC by Program-Term'!$Y41="","—",'New vs Continuing — Term'!C41)</f>
        <v>0</v>
      </c>
      <c r="D41" s="164" t="n">
        <f aca="false">IF('HC by Program-Term'!$Y41="","—",SUM('New vs Continuing — Term'!D41:F41))</f>
        <v>0</v>
      </c>
      <c r="E41" s="164" t="n">
        <f aca="false">IF('HC by Program-Term'!$Y41="","—",SUM('New vs Continuing — Term'!G41:I41))</f>
        <v>0</v>
      </c>
      <c r="F41" s="164" t="n">
        <f aca="false">IF('HC by Program-Term'!$Y41="","—",SUM('New vs Continuing — Term'!J41:L41))</f>
        <v>0</v>
      </c>
      <c r="G41" s="164" t="n">
        <f aca="false">IF('HC by Program-Term'!$Y41="","—",SUM('New vs Continuing — Term'!M41:O41))</f>
        <v>20</v>
      </c>
      <c r="H41" s="164" t="n">
        <f aca="false">IF('HC by Program-Term'!$Y41="","—",SUM('New vs Continuing — Term'!P41:R41))</f>
        <v>29</v>
      </c>
      <c r="I41" s="164" t="n">
        <f aca="false">IF('HC by Program-Term'!$Y41="","—",SUM('New vs Continuing — Term'!S41:U41))</f>
        <v>15</v>
      </c>
      <c r="J41" s="164" t="n">
        <f aca="false">IF('HC by Program-Term'!$Y41="","—",'New vs Continuing — Term'!V41)</f>
        <v>7</v>
      </c>
      <c r="L41" s="164" t="n">
        <f aca="false">IF('HC by Program-Term'!$Y41="","—",'New vs Continuing — Term'!X41)</f>
        <v>0</v>
      </c>
      <c r="M41" s="164" t="n">
        <f aca="false">IF('HC by Program-Term'!$Y41="","—",SUM('New vs Continuing — Term'!Y41:AA41))</f>
        <v>0</v>
      </c>
      <c r="N41" s="164" t="n">
        <f aca="false">IF('HC by Program-Term'!$Y41="","—",SUM('New vs Continuing — Term'!AB41:AD41))</f>
        <v>0</v>
      </c>
      <c r="O41" s="164" t="n">
        <f aca="false">IF('HC by Program-Term'!$Y41="","—",SUM('New vs Continuing — Term'!AE41:AG41))</f>
        <v>0</v>
      </c>
      <c r="P41" s="164" t="n">
        <f aca="false">IF('HC by Program-Term'!$Y41="","—",SUM('New vs Continuing — Term'!AH41:AJ41))</f>
        <v>13</v>
      </c>
      <c r="Q41" s="164" t="n">
        <f aca="false">IF('HC by Program-Term'!$Y41="","—",SUM('New vs Continuing — Term'!AK41:AM41))</f>
        <v>64</v>
      </c>
      <c r="R41" s="164" t="n">
        <f aca="false">IF('HC by Program-Term'!$Y41="","—",SUM('New vs Continuing — Term'!AN41:AP41))</f>
        <v>55</v>
      </c>
      <c r="S41" s="164" t="n">
        <f aca="false">IF('HC by Program-Term'!$Y41="","—",'New vs Continuing — Term'!AQ41)</f>
        <v>12</v>
      </c>
      <c r="U41" s="147" t="n">
        <f aca="false">IF('HC by Program-Term'!$Y41="","—",SUM(C41:J41))</f>
        <v>71</v>
      </c>
      <c r="V41" s="147" t="n">
        <f aca="false">IF('HC by Program-Term'!$Y41="","—",SUM(L41:S41))</f>
        <v>144</v>
      </c>
    </row>
    <row r="42" customFormat="false" ht="15" hidden="false" customHeight="true" outlineLevel="0" collapsed="false">
      <c r="A42" s="165" t="str">
        <f aca="false">'Program List'!A37</f>
        <v>M844</v>
      </c>
      <c r="B42" s="166" t="str">
        <f aca="false">'Program List'!B37</f>
        <v>Master of Social Work</v>
      </c>
      <c r="C42" s="167" t="n">
        <f aca="false">IF('HC by Program-Term'!$Y42="","—",'New vs Continuing — Term'!C42)</f>
        <v>0</v>
      </c>
      <c r="D42" s="167" t="n">
        <f aca="false">IF('HC by Program-Term'!$Y42="","—",SUM('New vs Continuing — Term'!D42:F42))</f>
        <v>166</v>
      </c>
      <c r="E42" s="167" t="n">
        <f aca="false">IF('HC by Program-Term'!$Y42="","—",SUM('New vs Continuing — Term'!G42:I42))</f>
        <v>233</v>
      </c>
      <c r="F42" s="167" t="n">
        <f aca="false">IF('HC by Program-Term'!$Y42="","—",SUM('New vs Continuing — Term'!J42:L42))</f>
        <v>175</v>
      </c>
      <c r="G42" s="167" t="n">
        <f aca="false">IF('HC by Program-Term'!$Y42="","—",SUM('New vs Continuing — Term'!M42:O42))</f>
        <v>197</v>
      </c>
      <c r="H42" s="167" t="n">
        <f aca="false">IF('HC by Program-Term'!$Y42="","—",SUM('New vs Continuing — Term'!P42:R42))</f>
        <v>173</v>
      </c>
      <c r="I42" s="167" t="n">
        <f aca="false">IF('HC by Program-Term'!$Y42="","—",SUM('New vs Continuing — Term'!S42:U42))</f>
        <v>188</v>
      </c>
      <c r="J42" s="167" t="n">
        <f aca="false">IF('HC by Program-Term'!$Y42="","—",'New vs Continuing — Term'!V42)</f>
        <v>113</v>
      </c>
      <c r="K42" s="168"/>
      <c r="L42" s="167" t="n">
        <f aca="false">IF('HC by Program-Term'!$Y42="","—",'New vs Continuing — Term'!X42)</f>
        <v>0</v>
      </c>
      <c r="M42" s="167" t="n">
        <f aca="false">IF('HC by Program-Term'!$Y42="","—",SUM('New vs Continuing — Term'!Y42:AA42))</f>
        <v>212</v>
      </c>
      <c r="N42" s="167" t="n">
        <f aca="false">IF('HC by Program-Term'!$Y42="","—",SUM('New vs Continuing — Term'!AB42:AD42))</f>
        <v>669</v>
      </c>
      <c r="O42" s="167" t="n">
        <f aca="false">IF('HC by Program-Term'!$Y42="","—",SUM('New vs Continuing — Term'!AE42:AG42))</f>
        <v>969</v>
      </c>
      <c r="P42" s="167" t="n">
        <f aca="false">IF('HC by Program-Term'!$Y42="","—",SUM('New vs Continuing — Term'!AH42:AJ42))</f>
        <v>1013</v>
      </c>
      <c r="Q42" s="167" t="n">
        <f aca="false">IF('HC by Program-Term'!$Y42="","—",SUM('New vs Continuing — Term'!AK42:AM42))</f>
        <v>1017</v>
      </c>
      <c r="R42" s="167" t="n">
        <f aca="false">IF('HC by Program-Term'!$Y42="","—",SUM('New vs Continuing — Term'!AN42:AP42))</f>
        <v>1128</v>
      </c>
      <c r="S42" s="167" t="n">
        <f aca="false">IF('HC by Program-Term'!$Y42="","—",'New vs Continuing — Term'!AQ42)</f>
        <v>355</v>
      </c>
      <c r="T42" s="168"/>
      <c r="U42" s="151" t="n">
        <f aca="false">IF('HC by Program-Term'!$Y42="","—",SUM(C42:J42))</f>
        <v>1245</v>
      </c>
      <c r="V42" s="151" t="n">
        <f aca="false">IF('HC by Program-Term'!$Y42="","—",SUM(L42:S42))</f>
        <v>5363</v>
      </c>
    </row>
    <row r="43" customFormat="false" ht="15" hidden="false" customHeight="true" outlineLevel="0" collapsed="false">
      <c r="A43" s="162" t="str">
        <f aca="false">'Program List'!A38</f>
        <v>1237Q</v>
      </c>
      <c r="B43" s="163" t="str">
        <f aca="false">'Program List'!B38</f>
        <v>Masters in Public Health</v>
      </c>
      <c r="C43" s="164" t="str">
        <f aca="false">IF('HC by Program-Term'!$Y43="","—",'New vs Continuing — Term'!C43)</f>
        <v>—</v>
      </c>
      <c r="D43" s="164" t="str">
        <f aca="false">IF('HC by Program-Term'!$Y43="","—",SUM('New vs Continuing — Term'!D43:F43))</f>
        <v>—</v>
      </c>
      <c r="E43" s="164" t="str">
        <f aca="false">IF('HC by Program-Term'!$Y43="","—",SUM('New vs Continuing — Term'!G43:I43))</f>
        <v>—</v>
      </c>
      <c r="F43" s="164" t="str">
        <f aca="false">IF('HC by Program-Term'!$Y43="","—",SUM('New vs Continuing — Term'!J43:L43))</f>
        <v>—</v>
      </c>
      <c r="G43" s="164" t="str">
        <f aca="false">IF('HC by Program-Term'!$Y43="","—",SUM('New vs Continuing — Term'!M43:O43))</f>
        <v>—</v>
      </c>
      <c r="H43" s="164" t="str">
        <f aca="false">IF('HC by Program-Term'!$Y43="","—",SUM('New vs Continuing — Term'!P43:R43))</f>
        <v>—</v>
      </c>
      <c r="I43" s="164" t="str">
        <f aca="false">IF('HC by Program-Term'!$Y43="","—",SUM('New vs Continuing — Term'!S43:U43))</f>
        <v>—</v>
      </c>
      <c r="J43" s="164" t="str">
        <f aca="false">IF('HC by Program-Term'!$Y43="","—",'New vs Continuing — Term'!V43)</f>
        <v>—</v>
      </c>
      <c r="L43" s="164" t="str">
        <f aca="false">IF('HC by Program-Term'!$Y43="","—",'New vs Continuing — Term'!X43)</f>
        <v>—</v>
      </c>
      <c r="M43" s="164" t="str">
        <f aca="false">IF('HC by Program-Term'!$Y43="","—",SUM('New vs Continuing — Term'!Y43:AA43))</f>
        <v>—</v>
      </c>
      <c r="N43" s="164" t="str">
        <f aca="false">IF('HC by Program-Term'!$Y43="","—",SUM('New vs Continuing — Term'!AB43:AD43))</f>
        <v>—</v>
      </c>
      <c r="O43" s="164" t="str">
        <f aca="false">IF('HC by Program-Term'!$Y43="","—",SUM('New vs Continuing — Term'!AE43:AG43))</f>
        <v>—</v>
      </c>
      <c r="P43" s="164" t="str">
        <f aca="false">IF('HC by Program-Term'!$Y43="","—",SUM('New vs Continuing — Term'!AH43:AJ43))</f>
        <v>—</v>
      </c>
      <c r="Q43" s="164" t="str">
        <f aca="false">IF('HC by Program-Term'!$Y43="","—",SUM('New vs Continuing — Term'!AK43:AM43))</f>
        <v>—</v>
      </c>
      <c r="R43" s="164" t="str">
        <f aca="false">IF('HC by Program-Term'!$Y43="","—",SUM('New vs Continuing — Term'!AN43:AP43))</f>
        <v>—</v>
      </c>
      <c r="S43" s="164" t="str">
        <f aca="false">IF('HC by Program-Term'!$Y43="","—",'New vs Continuing — Term'!AQ43)</f>
        <v>—</v>
      </c>
      <c r="U43" s="147" t="str">
        <f aca="false">IF('HC by Program-Term'!$Y43="","—",SUM(C43:J43))</f>
        <v>—</v>
      </c>
      <c r="V43" s="147" t="str">
        <f aca="false">IF('HC by Program-Term'!$Y43="","—",SUM(L43:S43))</f>
        <v>—</v>
      </c>
    </row>
    <row r="44" customFormat="false" ht="15" hidden="false" customHeight="true" outlineLevel="0" collapsed="false">
      <c r="A44" s="165" t="str">
        <f aca="false">'Program List'!A39</f>
        <v>M355</v>
      </c>
      <c r="B44" s="166" t="str">
        <f aca="false">'Program List'!B39</f>
        <v>Online LL.M. Energy and Natural Resources</v>
      </c>
      <c r="C44" s="167" t="n">
        <f aca="false">IF('HC by Program-Term'!$Y44="","—",'New vs Continuing — Term'!C44)</f>
        <v>0</v>
      </c>
      <c r="D44" s="167" t="n">
        <f aca="false">IF('HC by Program-Term'!$Y44="","—",SUM('New vs Continuing — Term'!D44:F44))</f>
        <v>0</v>
      </c>
      <c r="E44" s="167" t="n">
        <f aca="false">IF('HC by Program-Term'!$Y44="","—",SUM('New vs Continuing — Term'!G44:I44))</f>
        <v>3</v>
      </c>
      <c r="F44" s="167" t="n">
        <f aca="false">IF('HC by Program-Term'!$Y44="","—",SUM('New vs Continuing — Term'!J44:L44))</f>
        <v>1</v>
      </c>
      <c r="G44" s="167" t="n">
        <f aca="false">IF('HC by Program-Term'!$Y44="","—",SUM('New vs Continuing — Term'!M44:O44))</f>
        <v>5</v>
      </c>
      <c r="H44" s="167" t="n">
        <f aca="false">IF('HC by Program-Term'!$Y44="","—",SUM('New vs Continuing — Term'!P44:R44))</f>
        <v>4</v>
      </c>
      <c r="I44" s="167" t="n">
        <f aca="false">IF('HC by Program-Term'!$Y44="","—",SUM('New vs Continuing — Term'!S44:U44))</f>
        <v>2</v>
      </c>
      <c r="J44" s="167" t="n">
        <f aca="false">IF('HC by Program-Term'!$Y44="","—",'New vs Continuing — Term'!V44)</f>
        <v>1</v>
      </c>
      <c r="K44" s="168"/>
      <c r="L44" s="167" t="n">
        <f aca="false">IF('HC by Program-Term'!$Y44="","—",'New vs Continuing — Term'!X44)</f>
        <v>0</v>
      </c>
      <c r="M44" s="167" t="n">
        <f aca="false">IF('HC by Program-Term'!$Y44="","—",SUM('New vs Continuing — Term'!Y44:AA44))</f>
        <v>0</v>
      </c>
      <c r="N44" s="167" t="n">
        <f aca="false">IF('HC by Program-Term'!$Y44="","—",SUM('New vs Continuing — Term'!AB44:AD44))</f>
        <v>2</v>
      </c>
      <c r="O44" s="167" t="n">
        <f aca="false">IF('HC by Program-Term'!$Y44="","—",SUM('New vs Continuing — Term'!AE44:AG44))</f>
        <v>1</v>
      </c>
      <c r="P44" s="167" t="n">
        <f aca="false">IF('HC by Program-Term'!$Y44="","—",SUM('New vs Continuing — Term'!AH44:AJ44))</f>
        <v>5</v>
      </c>
      <c r="Q44" s="167" t="n">
        <f aca="false">IF('HC by Program-Term'!$Y44="","—",SUM('New vs Continuing — Term'!AK44:AM44))</f>
        <v>9</v>
      </c>
      <c r="R44" s="167" t="n">
        <f aca="false">IF('HC by Program-Term'!$Y44="","—",SUM('New vs Continuing — Term'!AN44:AP44))</f>
        <v>6</v>
      </c>
      <c r="S44" s="167" t="n">
        <f aca="false">IF('HC by Program-Term'!$Y44="","—",'New vs Continuing — Term'!AQ44)</f>
        <v>1</v>
      </c>
      <c r="T44" s="168"/>
      <c r="U44" s="151" t="n">
        <f aca="false">IF('HC by Program-Term'!$Y44="","—",SUM(C44:J44))</f>
        <v>16</v>
      </c>
      <c r="V44" s="151" t="n">
        <f aca="false">IF('HC by Program-Term'!$Y44="","—",SUM(L44:S44))</f>
        <v>24</v>
      </c>
    </row>
    <row r="45" customFormat="false" ht="15" hidden="false" customHeight="true" outlineLevel="0" collapsed="false">
      <c r="A45" s="162" t="str">
        <f aca="false">'Program List'!A40</f>
        <v>M504</v>
      </c>
      <c r="B45" s="163" t="str">
        <f aca="false">'Program List'!B40</f>
        <v>Online LL.M. Healthcare Law</v>
      </c>
      <c r="C45" s="164" t="n">
        <f aca="false">IF('HC by Program-Term'!$Y45="","—",'New vs Continuing — Term'!C45)</f>
        <v>0</v>
      </c>
      <c r="D45" s="164" t="n">
        <f aca="false">IF('HC by Program-Term'!$Y45="","—",SUM('New vs Continuing — Term'!D45:F45))</f>
        <v>1</v>
      </c>
      <c r="E45" s="164" t="n">
        <f aca="false">IF('HC by Program-Term'!$Y45="","—",SUM('New vs Continuing — Term'!G45:I45))</f>
        <v>2</v>
      </c>
      <c r="F45" s="164" t="n">
        <f aca="false">IF('HC by Program-Term'!$Y45="","—",SUM('New vs Continuing — Term'!J45:L45))</f>
        <v>4</v>
      </c>
      <c r="G45" s="164" t="n">
        <f aca="false">IF('HC by Program-Term'!$Y45="","—",SUM('New vs Continuing — Term'!M45:O45))</f>
        <v>4</v>
      </c>
      <c r="H45" s="164" t="n">
        <f aca="false">IF('HC by Program-Term'!$Y45="","—",SUM('New vs Continuing — Term'!P45:R45))</f>
        <v>1</v>
      </c>
      <c r="I45" s="164" t="n">
        <f aca="false">IF('HC by Program-Term'!$Y45="","—",SUM('New vs Continuing — Term'!S45:U45))</f>
        <v>4</v>
      </c>
      <c r="J45" s="164" t="n">
        <f aca="false">IF('HC by Program-Term'!$Y45="","—",'New vs Continuing — Term'!V45)</f>
        <v>0</v>
      </c>
      <c r="L45" s="164" t="n">
        <f aca="false">IF('HC by Program-Term'!$Y45="","—",'New vs Continuing — Term'!X45)</f>
        <v>0</v>
      </c>
      <c r="M45" s="164" t="n">
        <f aca="false">IF('HC by Program-Term'!$Y45="","—",SUM('New vs Continuing — Term'!Y45:AA45))</f>
        <v>0</v>
      </c>
      <c r="N45" s="164" t="n">
        <f aca="false">IF('HC by Program-Term'!$Y45="","—",SUM('New vs Continuing — Term'!AB45:AD45))</f>
        <v>3</v>
      </c>
      <c r="O45" s="164" t="n">
        <f aca="false">IF('HC by Program-Term'!$Y45="","—",SUM('New vs Continuing — Term'!AE45:AG45))</f>
        <v>1</v>
      </c>
      <c r="P45" s="164" t="n">
        <f aca="false">IF('HC by Program-Term'!$Y45="","—",SUM('New vs Continuing — Term'!AH45:AJ45))</f>
        <v>5</v>
      </c>
      <c r="Q45" s="164" t="n">
        <f aca="false">IF('HC by Program-Term'!$Y45="","—",SUM('New vs Continuing — Term'!AK45:AM45))</f>
        <v>4</v>
      </c>
      <c r="R45" s="164" t="n">
        <f aca="false">IF('HC by Program-Term'!$Y45="","—",SUM('New vs Continuing — Term'!AN45:AP45))</f>
        <v>5</v>
      </c>
      <c r="S45" s="164" t="n">
        <f aca="false">IF('HC by Program-Term'!$Y45="","—",'New vs Continuing — Term'!AQ45)</f>
        <v>3</v>
      </c>
      <c r="U45" s="147" t="n">
        <f aca="false">IF('HC by Program-Term'!$Y45="","—",SUM(C45:J45))</f>
        <v>16</v>
      </c>
      <c r="V45" s="147" t="n">
        <f aca="false">IF('HC by Program-Term'!$Y45="","—",SUM(L45:S45))</f>
        <v>21</v>
      </c>
    </row>
    <row r="46" customFormat="false" ht="15" hidden="false" customHeight="true" outlineLevel="0" collapsed="false">
      <c r="A46" s="165" t="str">
        <f aca="false">'Program List'!A41</f>
        <v>M526</v>
      </c>
      <c r="B46" s="166" t="str">
        <f aca="false">'Program List'!B41</f>
        <v>Online LL.M. Indigenous Peoples Law</v>
      </c>
      <c r="C46" s="167" t="n">
        <f aca="false">IF('HC by Program-Term'!$Y46="","—",'New vs Continuing — Term'!C46)</f>
        <v>0</v>
      </c>
      <c r="D46" s="167" t="n">
        <f aca="false">IF('HC by Program-Term'!$Y46="","—",SUM('New vs Continuing — Term'!D46:F46))</f>
        <v>6</v>
      </c>
      <c r="E46" s="167" t="n">
        <f aca="false">IF('HC by Program-Term'!$Y46="","—",SUM('New vs Continuing — Term'!G46:I46))</f>
        <v>2</v>
      </c>
      <c r="F46" s="167" t="n">
        <f aca="false">IF('HC by Program-Term'!$Y46="","—",SUM('New vs Continuing — Term'!J46:L46))</f>
        <v>7</v>
      </c>
      <c r="G46" s="167" t="n">
        <f aca="false">IF('HC by Program-Term'!$Y46="","—",SUM('New vs Continuing — Term'!M46:O46))</f>
        <v>4</v>
      </c>
      <c r="H46" s="167" t="n">
        <f aca="false">IF('HC by Program-Term'!$Y46="","—",SUM('New vs Continuing — Term'!P46:R46))</f>
        <v>9</v>
      </c>
      <c r="I46" s="167" t="n">
        <f aca="false">IF('HC by Program-Term'!$Y46="","—",SUM('New vs Continuing — Term'!S46:U46))</f>
        <v>1</v>
      </c>
      <c r="J46" s="167" t="n">
        <f aca="false">IF('HC by Program-Term'!$Y46="","—",'New vs Continuing — Term'!V46)</f>
        <v>1</v>
      </c>
      <c r="K46" s="168"/>
      <c r="L46" s="167" t="n">
        <f aca="false">IF('HC by Program-Term'!$Y46="","—",'New vs Continuing — Term'!X46)</f>
        <v>0</v>
      </c>
      <c r="M46" s="167" t="n">
        <f aca="false">IF('HC by Program-Term'!$Y46="","—",SUM('New vs Continuing — Term'!Y46:AA46))</f>
        <v>2</v>
      </c>
      <c r="N46" s="167" t="n">
        <f aca="false">IF('HC by Program-Term'!$Y46="","—",SUM('New vs Continuing — Term'!AB46:AD46))</f>
        <v>9</v>
      </c>
      <c r="O46" s="167" t="n">
        <f aca="false">IF('HC by Program-Term'!$Y46="","—",SUM('New vs Continuing — Term'!AE46:AG46))</f>
        <v>8</v>
      </c>
      <c r="P46" s="167" t="n">
        <f aca="false">IF('HC by Program-Term'!$Y46="","—",SUM('New vs Continuing — Term'!AH46:AJ46))</f>
        <v>10</v>
      </c>
      <c r="Q46" s="167" t="n">
        <f aca="false">IF('HC by Program-Term'!$Y46="","—",SUM('New vs Continuing — Term'!AK46:AM46))</f>
        <v>18</v>
      </c>
      <c r="R46" s="167" t="n">
        <f aca="false">IF('HC by Program-Term'!$Y46="","—",SUM('New vs Continuing — Term'!AN46:AP46))</f>
        <v>11</v>
      </c>
      <c r="S46" s="167" t="n">
        <f aca="false">IF('HC by Program-Term'!$Y46="","—",'New vs Continuing — Term'!AQ46)</f>
        <v>0</v>
      </c>
      <c r="T46" s="168"/>
      <c r="U46" s="151" t="n">
        <f aca="false">IF('HC by Program-Term'!$Y46="","—",SUM(C46:J46))</f>
        <v>30</v>
      </c>
      <c r="V46" s="151" t="n">
        <f aca="false">IF('HC by Program-Term'!$Y46="","—",SUM(L46:S46))</f>
        <v>58</v>
      </c>
    </row>
    <row r="47" customFormat="false" ht="15" hidden="false" customHeight="true" outlineLevel="0" collapsed="false">
      <c r="A47" s="162" t="str">
        <f aca="false">'Program List'!A42</f>
        <v>M592</v>
      </c>
      <c r="B47" s="163" t="str">
        <f aca="false">'Program List'!B42</f>
        <v>Online LL.M. International Business</v>
      </c>
      <c r="C47" s="164" t="n">
        <f aca="false">IF('HC by Program-Term'!$Y47="","—",'New vs Continuing — Term'!C47)</f>
        <v>0</v>
      </c>
      <c r="D47" s="164" t="n">
        <f aca="false">IF('HC by Program-Term'!$Y47="","—",SUM('New vs Continuing — Term'!D47:F47))</f>
        <v>0</v>
      </c>
      <c r="E47" s="164" t="n">
        <f aca="false">IF('HC by Program-Term'!$Y47="","—",SUM('New vs Continuing — Term'!G47:I47))</f>
        <v>0</v>
      </c>
      <c r="F47" s="164" t="n">
        <f aca="false">IF('HC by Program-Term'!$Y47="","—",SUM('New vs Continuing — Term'!J47:L47))</f>
        <v>1</v>
      </c>
      <c r="G47" s="164" t="n">
        <f aca="false">IF('HC by Program-Term'!$Y47="","—",SUM('New vs Continuing — Term'!M47:O47))</f>
        <v>1</v>
      </c>
      <c r="H47" s="164" t="n">
        <f aca="false">IF('HC by Program-Term'!$Y47="","—",SUM('New vs Continuing — Term'!P47:R47))</f>
        <v>0</v>
      </c>
      <c r="I47" s="164" t="n">
        <f aca="false">IF('HC by Program-Term'!$Y47="","—",SUM('New vs Continuing — Term'!S47:U47))</f>
        <v>4</v>
      </c>
      <c r="J47" s="164" t="n">
        <f aca="false">IF('HC by Program-Term'!$Y47="","—",'New vs Continuing — Term'!V47)</f>
        <v>0</v>
      </c>
      <c r="L47" s="164" t="n">
        <f aca="false">IF('HC by Program-Term'!$Y47="","—",'New vs Continuing — Term'!X47)</f>
        <v>0</v>
      </c>
      <c r="M47" s="164" t="n">
        <f aca="false">IF('HC by Program-Term'!$Y47="","—",SUM('New vs Continuing — Term'!Y47:AA47))</f>
        <v>0</v>
      </c>
      <c r="N47" s="164" t="n">
        <f aca="false">IF('HC by Program-Term'!$Y47="","—",SUM('New vs Continuing — Term'!AB47:AD47))</f>
        <v>0</v>
      </c>
      <c r="O47" s="164" t="n">
        <f aca="false">IF('HC by Program-Term'!$Y47="","—",SUM('New vs Continuing — Term'!AE47:AG47))</f>
        <v>1</v>
      </c>
      <c r="P47" s="164" t="n">
        <f aca="false">IF('HC by Program-Term'!$Y47="","—",SUM('New vs Continuing — Term'!AH47:AJ47))</f>
        <v>2</v>
      </c>
      <c r="Q47" s="164" t="n">
        <f aca="false">IF('HC by Program-Term'!$Y47="","—",SUM('New vs Continuing — Term'!AK47:AM47))</f>
        <v>0</v>
      </c>
      <c r="R47" s="164" t="n">
        <f aca="false">IF('HC by Program-Term'!$Y47="","—",SUM('New vs Continuing — Term'!AN47:AP47))</f>
        <v>5</v>
      </c>
      <c r="S47" s="164" t="n">
        <f aca="false">IF('HC by Program-Term'!$Y47="","—",'New vs Continuing — Term'!AQ47)</f>
        <v>2</v>
      </c>
      <c r="U47" s="147" t="n">
        <f aca="false">IF('HC by Program-Term'!$Y47="","—",SUM(C47:J47))</f>
        <v>6</v>
      </c>
      <c r="V47" s="147" t="n">
        <f aca="false">IF('HC by Program-Term'!$Y47="","—",SUM(L47:S47))</f>
        <v>10</v>
      </c>
    </row>
    <row r="48" customFormat="false" ht="15" hidden="false" customHeight="true" outlineLevel="0" collapsed="false">
      <c r="A48" s="87"/>
      <c r="B48" s="152" t="s">
        <v>700</v>
      </c>
      <c r="C48" s="153" t="n">
        <f aca="false">SUM(C7:C47)</f>
        <v>111</v>
      </c>
      <c r="D48" s="153" t="n">
        <f aca="false">SUM(D7:D47)</f>
        <v>1164</v>
      </c>
      <c r="E48" s="153" t="n">
        <f aca="false">SUM(E7:E47)</f>
        <v>1503</v>
      </c>
      <c r="F48" s="153" t="n">
        <f aca="false">SUM(F7:F47)</f>
        <v>1488</v>
      </c>
      <c r="G48" s="153" t="n">
        <f aca="false">SUM(G7:G47)</f>
        <v>1776</v>
      </c>
      <c r="H48" s="153" t="n">
        <f aca="false">SUM(H7:H47)</f>
        <v>1591</v>
      </c>
      <c r="I48" s="153" t="n">
        <f aca="false">SUM(I7:I47)</f>
        <v>1518</v>
      </c>
      <c r="J48" s="153" t="n">
        <f aca="false">SUM(J7:J47)</f>
        <v>700</v>
      </c>
      <c r="L48" s="153" t="n">
        <f aca="false">SUM(L7:L47)</f>
        <v>0</v>
      </c>
      <c r="M48" s="153" t="n">
        <f aca="false">SUM(M7:M47)</f>
        <v>1388</v>
      </c>
      <c r="N48" s="153" t="n">
        <f aca="false">SUM(N7:N47)</f>
        <v>3612</v>
      </c>
      <c r="O48" s="153" t="n">
        <f aca="false">SUM(O7:O47)</f>
        <v>4704</v>
      </c>
      <c r="P48" s="153" t="n">
        <f aca="false">SUM(P7:P47)</f>
        <v>5577</v>
      </c>
      <c r="Q48" s="153" t="n">
        <f aca="false">SUM(Q7:Q47)</f>
        <v>6006</v>
      </c>
      <c r="R48" s="153" t="n">
        <f aca="false">SUM(R7:R47)</f>
        <v>5830</v>
      </c>
      <c r="S48" s="153" t="n">
        <f aca="false">SUM(S7:S47)</f>
        <v>1782</v>
      </c>
      <c r="U48" s="153" t="n">
        <f aca="false">SUM(U7:U47)</f>
        <v>9851</v>
      </c>
      <c r="V48" s="153" t="n">
        <f aca="false">SUM(V7:V47)</f>
        <v>28899</v>
      </c>
    </row>
  </sheetData>
  <mergeCells count="3">
    <mergeCell ref="A2:S2"/>
    <mergeCell ref="C4:J4"/>
    <mergeCell ref="L4:S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O7" activePane="bottomRight" state="frozen"/>
      <selection pane="topLeft" activeCell="A1" activeCellId="0" sqref="A1"/>
      <selection pane="topRight" activeCell="O1" activeCellId="0" sqref="O1"/>
      <selection pane="bottomLeft" activeCell="A7" activeCellId="0" sqref="A7"/>
      <selection pane="bottomRight" activeCell="L22" activeCellId="0" sqref="L22"/>
    </sheetView>
  </sheetViews>
  <sheetFormatPr defaultColWidth="8.66796875" defaultRowHeight="14.2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22" min="3" style="0" width="8"/>
    <col collapsed="false" customWidth="true" hidden="false" outlineLevel="0" max="23" min="23" style="0" width="2"/>
    <col collapsed="false" customWidth="true" hidden="false" outlineLevel="0" max="43" min="24" style="0" width="8"/>
    <col collapsed="false" customWidth="true" hidden="false" outlineLevel="0" max="44" min="44" style="0" width="2"/>
    <col collapsed="false" customWidth="true" hidden="false" outlineLevel="0" max="46" min="45" style="0" width="10"/>
  </cols>
  <sheetData>
    <row r="1" customFormat="false" ht="17.25" hidden="false" customHeight="true" outlineLevel="0" collapsed="false">
      <c r="A1" s="139" t="s">
        <v>732</v>
      </c>
    </row>
    <row r="2" customFormat="false" ht="42" hidden="false" customHeight="true" outlineLevel="0" collapsed="false">
      <c r="A2" s="140" t="s">
        <v>733</v>
      </c>
      <c r="B2" s="140"/>
      <c r="C2" s="140"/>
      <c r="D2" s="140"/>
      <c r="E2" s="140"/>
      <c r="F2" s="140"/>
      <c r="G2" s="140"/>
      <c r="H2" s="140"/>
      <c r="I2" s="140"/>
      <c r="J2" s="140"/>
      <c r="K2" s="140"/>
      <c r="L2" s="140"/>
      <c r="M2" s="140"/>
      <c r="N2" s="140"/>
      <c r="O2" s="140"/>
      <c r="P2" s="140"/>
      <c r="Q2" s="140"/>
      <c r="R2" s="140"/>
      <c r="S2" s="140"/>
      <c r="T2" s="140"/>
      <c r="U2" s="140"/>
      <c r="V2" s="140"/>
      <c r="W2" s="140"/>
      <c r="X2" s="140"/>
    </row>
    <row r="4" customFormat="false" ht="15" hidden="false" customHeight="true" outlineLevel="0" collapsed="false">
      <c r="C4" s="160" t="s">
        <v>728</v>
      </c>
      <c r="D4" s="160"/>
      <c r="E4" s="160"/>
      <c r="F4" s="160"/>
      <c r="G4" s="160"/>
      <c r="H4" s="160"/>
      <c r="I4" s="160"/>
      <c r="J4" s="160"/>
      <c r="K4" s="160"/>
      <c r="L4" s="160"/>
      <c r="M4" s="160"/>
      <c r="N4" s="160"/>
      <c r="O4" s="160"/>
      <c r="P4" s="160"/>
      <c r="Q4" s="160"/>
      <c r="R4" s="160"/>
      <c r="S4" s="160"/>
      <c r="T4" s="160"/>
      <c r="U4" s="160"/>
      <c r="V4" s="160"/>
      <c r="X4" s="161" t="s">
        <v>729</v>
      </c>
      <c r="Y4" s="161"/>
      <c r="Z4" s="161"/>
      <c r="AA4" s="161"/>
      <c r="AB4" s="161"/>
      <c r="AC4" s="161"/>
      <c r="AD4" s="161"/>
      <c r="AE4" s="161"/>
      <c r="AF4" s="161"/>
      <c r="AG4" s="161"/>
      <c r="AH4" s="161"/>
      <c r="AI4" s="161"/>
      <c r="AJ4" s="161"/>
      <c r="AK4" s="161"/>
      <c r="AL4" s="161"/>
      <c r="AM4" s="161"/>
      <c r="AN4" s="161"/>
      <c r="AO4" s="161"/>
      <c r="AP4" s="161"/>
      <c r="AQ4" s="161"/>
    </row>
    <row r="5" customFormat="false" ht="27.75" hidden="false" customHeight="true" outlineLevel="0" collapsed="false">
      <c r="A5" s="141" t="s">
        <v>699</v>
      </c>
      <c r="B5" s="142" t="s">
        <v>134</v>
      </c>
      <c r="C5" s="169" t="s">
        <v>703</v>
      </c>
      <c r="D5" s="169" t="s">
        <v>704</v>
      </c>
      <c r="E5" s="169" t="s">
        <v>705</v>
      </c>
      <c r="F5" s="169" t="s">
        <v>706</v>
      </c>
      <c r="G5" s="169" t="s">
        <v>707</v>
      </c>
      <c r="H5" s="169" t="s">
        <v>708</v>
      </c>
      <c r="I5" s="169" t="s">
        <v>709</v>
      </c>
      <c r="J5" s="169" t="s">
        <v>710</v>
      </c>
      <c r="K5" s="169" t="s">
        <v>711</v>
      </c>
      <c r="L5" s="169" t="s">
        <v>712</v>
      </c>
      <c r="M5" s="169" t="s">
        <v>713</v>
      </c>
      <c r="N5" s="169" t="s">
        <v>714</v>
      </c>
      <c r="O5" s="169" t="s">
        <v>715</v>
      </c>
      <c r="P5" s="169" t="s">
        <v>716</v>
      </c>
      <c r="Q5" s="169" t="s">
        <v>717</v>
      </c>
      <c r="R5" s="169" t="s">
        <v>718</v>
      </c>
      <c r="S5" s="169" t="s">
        <v>719</v>
      </c>
      <c r="T5" s="169" t="s">
        <v>720</v>
      </c>
      <c r="U5" s="169" t="s">
        <v>721</v>
      </c>
      <c r="V5" s="169" t="s">
        <v>722</v>
      </c>
      <c r="X5" s="169" t="s">
        <v>703</v>
      </c>
      <c r="Y5" s="169" t="s">
        <v>704</v>
      </c>
      <c r="Z5" s="169" t="s">
        <v>705</v>
      </c>
      <c r="AA5" s="169" t="s">
        <v>706</v>
      </c>
      <c r="AB5" s="169" t="s">
        <v>707</v>
      </c>
      <c r="AC5" s="169" t="s">
        <v>708</v>
      </c>
      <c r="AD5" s="169" t="s">
        <v>709</v>
      </c>
      <c r="AE5" s="169" t="s">
        <v>710</v>
      </c>
      <c r="AF5" s="169" t="s">
        <v>711</v>
      </c>
      <c r="AG5" s="169" t="s">
        <v>712</v>
      </c>
      <c r="AH5" s="169" t="s">
        <v>713</v>
      </c>
      <c r="AI5" s="169" t="s">
        <v>714</v>
      </c>
      <c r="AJ5" s="169" t="s">
        <v>715</v>
      </c>
      <c r="AK5" s="169" t="s">
        <v>716</v>
      </c>
      <c r="AL5" s="169" t="s">
        <v>717</v>
      </c>
      <c r="AM5" s="169" t="s">
        <v>718</v>
      </c>
      <c r="AN5" s="169" t="s">
        <v>719</v>
      </c>
      <c r="AO5" s="169" t="s">
        <v>720</v>
      </c>
      <c r="AP5" s="169" t="s">
        <v>721</v>
      </c>
      <c r="AQ5" s="169" t="s">
        <v>722</v>
      </c>
      <c r="AS5" s="141" t="s">
        <v>730</v>
      </c>
      <c r="AT5" s="141" t="s">
        <v>731</v>
      </c>
    </row>
    <row r="6" customFormat="false" ht="15" hidden="false" customHeight="true" outlineLevel="0" collapsed="false">
      <c r="C6" s="170" t="s">
        <v>113</v>
      </c>
      <c r="D6" s="170" t="s">
        <v>114</v>
      </c>
      <c r="E6" s="170" t="s">
        <v>115</v>
      </c>
      <c r="F6" s="170" t="s">
        <v>116</v>
      </c>
      <c r="G6" s="170" t="s">
        <v>117</v>
      </c>
      <c r="H6" s="170" t="s">
        <v>118</v>
      </c>
      <c r="I6" s="170" t="s">
        <v>119</v>
      </c>
      <c r="J6" s="170" t="s">
        <v>120</v>
      </c>
      <c r="K6" s="170" t="s">
        <v>121</v>
      </c>
      <c r="L6" s="170" t="s">
        <v>122</v>
      </c>
      <c r="M6" s="170" t="s">
        <v>123</v>
      </c>
      <c r="N6" s="170" t="s">
        <v>124</v>
      </c>
      <c r="O6" s="170" t="s">
        <v>125</v>
      </c>
      <c r="P6" s="170" t="s">
        <v>126</v>
      </c>
      <c r="Q6" s="170" t="s">
        <v>127</v>
      </c>
      <c r="R6" s="170" t="s">
        <v>128</v>
      </c>
      <c r="S6" s="170" t="s">
        <v>129</v>
      </c>
      <c r="T6" s="170" t="s">
        <v>130</v>
      </c>
      <c r="U6" s="170" t="s">
        <v>131</v>
      </c>
      <c r="V6" s="170" t="s">
        <v>132</v>
      </c>
      <c r="X6" s="170" t="s">
        <v>113</v>
      </c>
      <c r="Y6" s="170" t="s">
        <v>114</v>
      </c>
      <c r="Z6" s="170" t="s">
        <v>115</v>
      </c>
      <c r="AA6" s="170" t="s">
        <v>116</v>
      </c>
      <c r="AB6" s="170" t="s">
        <v>117</v>
      </c>
      <c r="AC6" s="170" t="s">
        <v>118</v>
      </c>
      <c r="AD6" s="170" t="s">
        <v>119</v>
      </c>
      <c r="AE6" s="170" t="s">
        <v>120</v>
      </c>
      <c r="AF6" s="170" t="s">
        <v>121</v>
      </c>
      <c r="AG6" s="170" t="s">
        <v>122</v>
      </c>
      <c r="AH6" s="170" t="s">
        <v>123</v>
      </c>
      <c r="AI6" s="170" t="s">
        <v>124</v>
      </c>
      <c r="AJ6" s="170" t="s">
        <v>125</v>
      </c>
      <c r="AK6" s="170" t="s">
        <v>126</v>
      </c>
      <c r="AL6" s="170" t="s">
        <v>127</v>
      </c>
      <c r="AM6" s="170" t="s">
        <v>128</v>
      </c>
      <c r="AN6" s="170" t="s">
        <v>129</v>
      </c>
      <c r="AO6" s="170" t="s">
        <v>130</v>
      </c>
      <c r="AP6" s="170" t="s">
        <v>131</v>
      </c>
      <c r="AQ6" s="170" t="s">
        <v>132</v>
      </c>
    </row>
    <row r="7" customFormat="false" ht="15" hidden="false" customHeight="true" outlineLevel="0" collapsed="false">
      <c r="A7" s="162" t="str">
        <f aca="false">'Program List'!A2</f>
        <v>1550C</v>
      </c>
      <c r="B7" s="163" t="str">
        <f aca="false">'Program List'!B2</f>
        <v>Certificate in Population Health</v>
      </c>
      <c r="C7" s="164" t="s">
        <v>282</v>
      </c>
      <c r="D7" s="164" t="s">
        <v>282</v>
      </c>
      <c r="E7" s="164" t="s">
        <v>282</v>
      </c>
      <c r="F7" s="164" t="s">
        <v>282</v>
      </c>
      <c r="G7" s="164" t="s">
        <v>282</v>
      </c>
      <c r="H7" s="164" t="s">
        <v>282</v>
      </c>
      <c r="I7" s="164" t="s">
        <v>282</v>
      </c>
      <c r="J7" s="164" t="s">
        <v>282</v>
      </c>
      <c r="K7" s="164" t="s">
        <v>282</v>
      </c>
      <c r="L7" s="164" t="s">
        <v>282</v>
      </c>
      <c r="M7" s="164" t="s">
        <v>282</v>
      </c>
      <c r="N7" s="164" t="s">
        <v>282</v>
      </c>
      <c r="O7" s="164" t="s">
        <v>282</v>
      </c>
      <c r="P7" s="164" t="s">
        <v>282</v>
      </c>
      <c r="Q7" s="164" t="s">
        <v>282</v>
      </c>
      <c r="R7" s="164" t="s">
        <v>282</v>
      </c>
      <c r="S7" s="164" t="s">
        <v>282</v>
      </c>
      <c r="T7" s="164" t="s">
        <v>282</v>
      </c>
      <c r="U7" s="164" t="s">
        <v>282</v>
      </c>
      <c r="V7" s="164" t="s">
        <v>282</v>
      </c>
      <c r="X7" s="164" t="s">
        <v>282</v>
      </c>
      <c r="Y7" s="164" t="s">
        <v>282</v>
      </c>
      <c r="Z7" s="164" t="s">
        <v>282</v>
      </c>
      <c r="AA7" s="164" t="s">
        <v>282</v>
      </c>
      <c r="AB7" s="164" t="s">
        <v>282</v>
      </c>
      <c r="AC7" s="164" t="s">
        <v>282</v>
      </c>
      <c r="AD7" s="164" t="s">
        <v>282</v>
      </c>
      <c r="AE7" s="164" t="s">
        <v>282</v>
      </c>
      <c r="AF7" s="164" t="s">
        <v>282</v>
      </c>
      <c r="AG7" s="164" t="s">
        <v>282</v>
      </c>
      <c r="AH7" s="164" t="s">
        <v>282</v>
      </c>
      <c r="AI7" s="164" t="s">
        <v>282</v>
      </c>
      <c r="AJ7" s="164" t="s">
        <v>282</v>
      </c>
      <c r="AK7" s="164" t="s">
        <v>282</v>
      </c>
      <c r="AL7" s="164" t="s">
        <v>282</v>
      </c>
      <c r="AM7" s="164" t="s">
        <v>282</v>
      </c>
      <c r="AN7" s="164" t="s">
        <v>282</v>
      </c>
      <c r="AO7" s="164" t="s">
        <v>282</v>
      </c>
      <c r="AP7" s="164" t="s">
        <v>282</v>
      </c>
      <c r="AQ7" s="164" t="s">
        <v>282</v>
      </c>
      <c r="AS7" s="147" t="str">
        <f aca="false">IF('HC by Program-Term'!$Y7="","—",SUM(C7:V7))</f>
        <v>—</v>
      </c>
      <c r="AT7" s="147" t="str">
        <f aca="false">IF('HC by Program-Term'!$Y7="","—",SUM(X7:AQ7))</f>
        <v>—</v>
      </c>
    </row>
    <row r="8" customFormat="false" ht="15" hidden="false" customHeight="true" outlineLevel="0" collapsed="false">
      <c r="A8" s="165" t="str">
        <f aca="false">'Program List'!A3</f>
        <v>D318</v>
      </c>
      <c r="B8" s="166" t="str">
        <f aca="false">'Program List'!B3</f>
        <v>Ed.D. in Education Administration</v>
      </c>
      <c r="C8" s="167" t="s">
        <v>282</v>
      </c>
      <c r="D8" s="167" t="s">
        <v>282</v>
      </c>
      <c r="E8" s="167" t="s">
        <v>282</v>
      </c>
      <c r="F8" s="167" t="s">
        <v>282</v>
      </c>
      <c r="G8" s="167" t="s">
        <v>282</v>
      </c>
      <c r="H8" s="167" t="s">
        <v>282</v>
      </c>
      <c r="I8" s="167" t="s">
        <v>282</v>
      </c>
      <c r="J8" s="167" t="s">
        <v>282</v>
      </c>
      <c r="K8" s="167" t="s">
        <v>282</v>
      </c>
      <c r="L8" s="167" t="s">
        <v>282</v>
      </c>
      <c r="M8" s="167" t="s">
        <v>282</v>
      </c>
      <c r="N8" s="167" t="s">
        <v>282</v>
      </c>
      <c r="O8" s="167" t="s">
        <v>282</v>
      </c>
      <c r="P8" s="167" t="s">
        <v>282</v>
      </c>
      <c r="Q8" s="167" t="s">
        <v>282</v>
      </c>
      <c r="R8" s="167" t="s">
        <v>282</v>
      </c>
      <c r="S8" s="167" t="s">
        <v>282</v>
      </c>
      <c r="T8" s="167" t="s">
        <v>282</v>
      </c>
      <c r="U8" s="167" t="s">
        <v>282</v>
      </c>
      <c r="V8" s="167" t="s">
        <v>282</v>
      </c>
      <c r="W8" s="168"/>
      <c r="X8" s="167" t="s">
        <v>282</v>
      </c>
      <c r="Y8" s="167" t="s">
        <v>282</v>
      </c>
      <c r="Z8" s="167" t="s">
        <v>282</v>
      </c>
      <c r="AA8" s="167" t="s">
        <v>282</v>
      </c>
      <c r="AB8" s="167" t="s">
        <v>282</v>
      </c>
      <c r="AC8" s="167" t="s">
        <v>282</v>
      </c>
      <c r="AD8" s="167" t="s">
        <v>282</v>
      </c>
      <c r="AE8" s="167" t="s">
        <v>282</v>
      </c>
      <c r="AF8" s="167" t="s">
        <v>282</v>
      </c>
      <c r="AG8" s="167" t="s">
        <v>282</v>
      </c>
      <c r="AH8" s="167" t="s">
        <v>282</v>
      </c>
      <c r="AI8" s="167" t="s">
        <v>282</v>
      </c>
      <c r="AJ8" s="167" t="s">
        <v>282</v>
      </c>
      <c r="AK8" s="167" t="s">
        <v>282</v>
      </c>
      <c r="AL8" s="167" t="s">
        <v>282</v>
      </c>
      <c r="AM8" s="167" t="s">
        <v>282</v>
      </c>
      <c r="AN8" s="167" t="s">
        <v>282</v>
      </c>
      <c r="AO8" s="167" t="s">
        <v>282</v>
      </c>
      <c r="AP8" s="167" t="s">
        <v>282</v>
      </c>
      <c r="AQ8" s="167" t="s">
        <v>282</v>
      </c>
      <c r="AR8" s="168"/>
      <c r="AS8" s="151" t="str">
        <f aca="false">IF('HC by Program-Term'!$Y8="","—",SUM(C8:V8))</f>
        <v>—</v>
      </c>
      <c r="AT8" s="151" t="str">
        <f aca="false">IF('HC by Program-Term'!$Y8="","—",SUM(X8:AQ8))</f>
        <v>—</v>
      </c>
    </row>
    <row r="9" customFormat="false" ht="15" hidden="false" customHeight="true" outlineLevel="0" collapsed="false">
      <c r="A9" s="162" t="str">
        <f aca="false">'Program List'!A4</f>
        <v>M366</v>
      </c>
      <c r="B9" s="163" t="str">
        <f aca="false">'Program List'!B4</f>
        <v>Executive MBA in Energy</v>
      </c>
      <c r="C9" s="164" t="n">
        <f aca="false">IF('HC by Program-Term'!$Y9="","—",SUMIFS('Program LTR Retention'!B$10:B$26,'Program LTR Retention'!$A$10:$A$26,"201930"))</f>
        <v>0</v>
      </c>
      <c r="D9" s="164" t="n">
        <f aca="false">IF('HC by Program-Term'!$Y9="","—",SUMIFS('Program LTR Retention'!C$10:C$26,'Program LTR Retention'!$A$10:$A$26,"202010"))</f>
        <v>17</v>
      </c>
      <c r="E9" s="164" t="n">
        <f aca="false">IF('HC by Program-Term'!$Y9="","—",SUMIFS('Program LTR Retention'!D$10:D$26,'Program LTR Retention'!$A$10:$A$26,"202020"))</f>
        <v>10</v>
      </c>
      <c r="F9" s="164" t="n">
        <f aca="false">IF('HC by Program-Term'!$Y9="","—",SUMIFS('Program LTR Retention'!E$10:E$26,'Program LTR Retention'!$A$10:$A$26,"202030"))</f>
        <v>11</v>
      </c>
      <c r="G9" s="164" t="n">
        <f aca="false">IF('HC by Program-Term'!$Y9="","—",SUMIFS('Program LTR Retention'!F$10:F$26,'Program LTR Retention'!$A$10:$A$26,"202110"))</f>
        <v>9</v>
      </c>
      <c r="H9" s="164" t="n">
        <f aca="false">IF('HC by Program-Term'!$Y9="","—",SUMIFS('Program LTR Retention'!G$10:G$26,'Program LTR Retention'!$A$10:$A$26,"202120"))</f>
        <v>0</v>
      </c>
      <c r="I9" s="164" t="n">
        <f aca="false">IF('HC by Program-Term'!$Y9="","—",SUMIFS('Program LTR Retention'!H$10:H$26,'Program LTR Retention'!$A$10:$A$26,"202130"))</f>
        <v>20</v>
      </c>
      <c r="J9" s="164" t="n">
        <f aca="false">IF('HC by Program-Term'!$Y9="","—",SUMIFS('Program LTR Retention'!I$10:I$26,'Program LTR Retention'!$A$10:$A$26,"202210"))</f>
        <v>18</v>
      </c>
      <c r="K9" s="164" t="n">
        <f aca="false">IF('HC by Program-Term'!$Y9="","—",SUMIFS('Program LTR Retention'!J$10:J$26,'Program LTR Retention'!$A$10:$A$26,"202220"))</f>
        <v>0</v>
      </c>
      <c r="L9" s="164" t="n">
        <f aca="false">IF('HC by Program-Term'!$Y9="","—",SUMIFS('Program LTR Retention'!K$10:K$26,'Program LTR Retention'!$A$10:$A$26,"202230"))</f>
        <v>12</v>
      </c>
      <c r="M9" s="164" t="n">
        <f aca="false">IF('HC by Program-Term'!$Y9="","—",SUMIFS('Program LTR Retention'!L$10:L$26,'Program LTR Retention'!$A$10:$A$26,"202310"))</f>
        <v>15</v>
      </c>
      <c r="N9" s="164" t="n">
        <f aca="false">IF('HC by Program-Term'!$Y9="","—",SUMIFS('Program LTR Retention'!M$10:M$26,'Program LTR Retention'!$A$10:$A$26,"202320"))</f>
        <v>0</v>
      </c>
      <c r="O9" s="164" t="n">
        <f aca="false">IF('HC by Program-Term'!$Y9="","—",SUMIFS('Program LTR Retention'!N$10:N$26,'Program LTR Retention'!$A$10:$A$26,"202330"))</f>
        <v>12</v>
      </c>
      <c r="P9" s="164" t="n">
        <f aca="false">IF('HC by Program-Term'!$Y9="","—",SUMIFS('Program LTR Retention'!O$10:O$26,'Program LTR Retention'!$A$10:$A$26,"202410"))</f>
        <v>12</v>
      </c>
      <c r="Q9" s="164" t="n">
        <f aca="false">IF('HC by Program-Term'!$Y9="","—",SUMIFS('Program LTR Retention'!P$10:P$26,'Program LTR Retention'!$A$10:$A$26,"202420"))</f>
        <v>0</v>
      </c>
      <c r="R9" s="164" t="n">
        <f aca="false">IF('HC by Program-Term'!$Y9="","—",SUMIFS('Program LTR Retention'!Q$10:Q$26,'Program LTR Retention'!$A$10:$A$26,"202430"))</f>
        <v>6</v>
      </c>
      <c r="S9" s="164" t="n">
        <f aca="false">IF('HC by Program-Term'!$Y9="","—",SUMIFS('Program LTR Retention'!R$10:R$26,'Program LTR Retention'!$A$10:$A$26,"202510"))</f>
        <v>9</v>
      </c>
      <c r="T9" s="164" t="n">
        <f aca="false">IF('HC by Program-Term'!$Y9="","—",SUMIFS('Program LTR Retention'!S$10:S$26,'Program LTR Retention'!$A$10:$A$26,"202520"))</f>
        <v>1</v>
      </c>
      <c r="U9" s="164" t="n">
        <f aca="false">IF('HC by Program-Term'!$Y9="","—",SUMIFS('Program LTR Retention'!T$10:T$26,'Program LTR Retention'!$A$10:$A$26,"202530"))</f>
        <v>5</v>
      </c>
      <c r="V9" s="164" t="n">
        <f aca="false">IF('HC by Program-Term'!$Y9="","—",SUMIFS('Program LTR Retention'!U$10:U$26,'Program LTR Retention'!$A$10:$A$26,"202610"))</f>
        <v>0</v>
      </c>
      <c r="X9" s="164" t="n">
        <f aca="false">IF('HC by Program-Term'!$Y9="","—",'HC by Program-Term'!C9-C9)</f>
        <v>0</v>
      </c>
      <c r="Y9" s="164" t="n">
        <f aca="false">IF('HC by Program-Term'!$Y9="","—",'HC by Program-Term'!D9-D9)</f>
        <v>0</v>
      </c>
      <c r="Z9" s="164" t="n">
        <f aca="false">IF('HC by Program-Term'!$Y9="","—",'HC by Program-Term'!E9-E9)</f>
        <v>17</v>
      </c>
      <c r="AA9" s="164" t="n">
        <f aca="false">IF('HC by Program-Term'!$Y9="","—",'HC by Program-Term'!F9-F9)</f>
        <v>27</v>
      </c>
      <c r="AB9" s="164" t="n">
        <f aca="false">IF('HC by Program-Term'!$Y9="","—",'HC by Program-Term'!G9-G9)</f>
        <v>38</v>
      </c>
      <c r="AC9" s="164" t="n">
        <f aca="false">IF('HC by Program-Term'!$Y9="","—",'HC by Program-Term'!H9-H9)</f>
        <v>29</v>
      </c>
      <c r="AD9" s="164" t="n">
        <f aca="false">IF('HC by Program-Term'!$Y9="","—",'HC by Program-Term'!I9-I9)</f>
        <v>19</v>
      </c>
      <c r="AE9" s="164" t="n">
        <f aca="false">IF('HC by Program-Term'!$Y9="","—",'HC by Program-Term'!J9-J9)</f>
        <v>37</v>
      </c>
      <c r="AF9" s="164" t="n">
        <f aca="false">IF('HC by Program-Term'!$Y9="","—",'HC by Program-Term'!K9-K9)</f>
        <v>46</v>
      </c>
      <c r="AG9" s="164" t="n">
        <f aca="false">IF('HC by Program-Term'!$Y9="","—",'HC by Program-Term'!L9-L9)</f>
        <v>37</v>
      </c>
      <c r="AH9" s="164" t="n">
        <f aca="false">IF('HC by Program-Term'!$Y9="","—",'HC by Program-Term'!M9-M9)</f>
        <v>48</v>
      </c>
      <c r="AI9" s="164" t="n">
        <f aca="false">IF('HC by Program-Term'!$Y9="","—",'HC by Program-Term'!N9-N9)</f>
        <v>44</v>
      </c>
      <c r="AJ9" s="164" t="n">
        <f aca="false">IF('HC by Program-Term'!$Y9="","—",'HC by Program-Term'!O9-O9)</f>
        <v>28</v>
      </c>
      <c r="AK9" s="164" t="n">
        <f aca="false">IF('HC by Program-Term'!$Y9="","—",'HC by Program-Term'!P9-P9)</f>
        <v>40</v>
      </c>
      <c r="AL9" s="164" t="n">
        <f aca="false">IF('HC by Program-Term'!$Y9="","—",'HC by Program-Term'!Q9-Q9)</f>
        <v>39</v>
      </c>
      <c r="AM9" s="164" t="n">
        <f aca="false">IF('HC by Program-Term'!$Y9="","—",'HC by Program-Term'!R9-R9)</f>
        <v>26</v>
      </c>
      <c r="AN9" s="164" t="n">
        <f aca="false">IF('HC by Program-Term'!$Y9="","—",'HC by Program-Term'!S9-S9)</f>
        <v>30</v>
      </c>
      <c r="AO9" s="164" t="n">
        <f aca="false">IF('HC by Program-Term'!$Y9="","—",'HC by Program-Term'!T9-T9)</f>
        <v>28</v>
      </c>
      <c r="AP9" s="164" t="n">
        <f aca="false">IF('HC by Program-Term'!$Y9="","—",'HC by Program-Term'!U9-U9)</f>
        <v>15</v>
      </c>
      <c r="AQ9" s="164" t="n">
        <f aca="false">IF('HC by Program-Term'!$Y9="","—",'HC by Program-Term'!V9-V9)</f>
        <v>21</v>
      </c>
      <c r="AS9" s="147" t="n">
        <f aca="false">IF('HC by Program-Term'!$Y9="","—",SUM(C9:V9))</f>
        <v>157</v>
      </c>
      <c r="AT9" s="147" t="n">
        <f aca="false">IF('HC by Program-Term'!$Y9="","—",SUM(X9:AQ9))</f>
        <v>569</v>
      </c>
    </row>
    <row r="10" customFormat="false" ht="15" hidden="false" customHeight="true" outlineLevel="0" collapsed="false">
      <c r="A10" s="165" t="str">
        <f aca="false">'Program List'!A5</f>
        <v>1231EX</v>
      </c>
      <c r="B10" s="166" t="str">
        <f aca="false">'Program List'!B5</f>
        <v>Executive Masters in Health Administration</v>
      </c>
      <c r="C10" s="167" t="s">
        <v>282</v>
      </c>
      <c r="D10" s="167" t="s">
        <v>282</v>
      </c>
      <c r="E10" s="167" t="s">
        <v>282</v>
      </c>
      <c r="F10" s="167" t="s">
        <v>282</v>
      </c>
      <c r="G10" s="167" t="s">
        <v>282</v>
      </c>
      <c r="H10" s="167" t="s">
        <v>282</v>
      </c>
      <c r="I10" s="167" t="s">
        <v>282</v>
      </c>
      <c r="J10" s="167" t="s">
        <v>282</v>
      </c>
      <c r="K10" s="167" t="s">
        <v>282</v>
      </c>
      <c r="L10" s="167" t="s">
        <v>282</v>
      </c>
      <c r="M10" s="167" t="s">
        <v>282</v>
      </c>
      <c r="N10" s="167" t="s">
        <v>282</v>
      </c>
      <c r="O10" s="167" t="s">
        <v>282</v>
      </c>
      <c r="P10" s="167" t="s">
        <v>282</v>
      </c>
      <c r="Q10" s="167" t="s">
        <v>282</v>
      </c>
      <c r="R10" s="167" t="s">
        <v>282</v>
      </c>
      <c r="S10" s="167" t="s">
        <v>282</v>
      </c>
      <c r="T10" s="167" t="s">
        <v>282</v>
      </c>
      <c r="U10" s="167" t="s">
        <v>282</v>
      </c>
      <c r="V10" s="167" t="s">
        <v>282</v>
      </c>
      <c r="W10" s="168"/>
      <c r="X10" s="167" t="s">
        <v>282</v>
      </c>
      <c r="Y10" s="167" t="s">
        <v>282</v>
      </c>
      <c r="Z10" s="167" t="s">
        <v>282</v>
      </c>
      <c r="AA10" s="167" t="s">
        <v>282</v>
      </c>
      <c r="AB10" s="167" t="s">
        <v>282</v>
      </c>
      <c r="AC10" s="167" t="s">
        <v>282</v>
      </c>
      <c r="AD10" s="167" t="s">
        <v>282</v>
      </c>
      <c r="AE10" s="167" t="s">
        <v>282</v>
      </c>
      <c r="AF10" s="167" t="s">
        <v>282</v>
      </c>
      <c r="AG10" s="167" t="s">
        <v>282</v>
      </c>
      <c r="AH10" s="167" t="s">
        <v>282</v>
      </c>
      <c r="AI10" s="167" t="s">
        <v>282</v>
      </c>
      <c r="AJ10" s="167" t="s">
        <v>282</v>
      </c>
      <c r="AK10" s="167" t="s">
        <v>282</v>
      </c>
      <c r="AL10" s="167" t="s">
        <v>282</v>
      </c>
      <c r="AM10" s="167" t="s">
        <v>282</v>
      </c>
      <c r="AN10" s="167" t="s">
        <v>282</v>
      </c>
      <c r="AO10" s="167" t="s">
        <v>282</v>
      </c>
      <c r="AP10" s="167" t="s">
        <v>282</v>
      </c>
      <c r="AQ10" s="167" t="s">
        <v>282</v>
      </c>
      <c r="AR10" s="168"/>
      <c r="AS10" s="151" t="str">
        <f aca="false">IF('HC by Program-Term'!$Y10="","—",SUM(C10:V10))</f>
        <v>—</v>
      </c>
      <c r="AT10" s="151" t="str">
        <f aca="false">IF('HC by Program-Term'!$Y10="","—",SUM(X10:AQ10))</f>
        <v>—</v>
      </c>
    </row>
    <row r="11" customFormat="false" ht="15" hidden="false" customHeight="true" outlineLevel="0" collapsed="false">
      <c r="A11" s="162" t="str">
        <f aca="false">'Program List'!A6</f>
        <v>M013</v>
      </c>
      <c r="B11" s="163" t="str">
        <f aca="false">'Program List'!B6</f>
        <v>Master of Accountancy</v>
      </c>
      <c r="C11" s="164" t="n">
        <f aca="false">IF('HC by Program-Term'!$Y11="","—",SUMIFS('Program LTR Retention'!B$31:B$53,'Program LTR Retention'!$A$31:$A$53,"201930"))</f>
        <v>8</v>
      </c>
      <c r="D11" s="164" t="n">
        <f aca="false">IF('HC by Program-Term'!$Y11="","—",SUMIFS('Program LTR Retention'!C$31:C$53,'Program LTR Retention'!$A$31:$A$53,"202010"))</f>
        <v>31</v>
      </c>
      <c r="E11" s="164" t="n">
        <f aca="false">IF('HC by Program-Term'!$Y11="","—",SUMIFS('Program LTR Retention'!D$31:D$53,'Program LTR Retention'!$A$31:$A$53,"202020"))</f>
        <v>41</v>
      </c>
      <c r="F11" s="164" t="n">
        <f aca="false">IF('HC by Program-Term'!$Y11="","—",SUMIFS('Program LTR Retention'!E$31:E$53,'Program LTR Retention'!$A$31:$A$53,"202030"))</f>
        <v>12</v>
      </c>
      <c r="G11" s="164" t="n">
        <f aca="false">IF('HC by Program-Term'!$Y11="","—",SUMIFS('Program LTR Retention'!F$31:F$53,'Program LTR Retention'!$A$31:$A$53,"202110"))</f>
        <v>28</v>
      </c>
      <c r="H11" s="164" t="n">
        <f aca="false">IF('HC by Program-Term'!$Y11="","—",SUMIFS('Program LTR Retention'!G$31:G$53,'Program LTR Retention'!$A$31:$A$53,"202120"))</f>
        <v>29</v>
      </c>
      <c r="I11" s="164" t="n">
        <f aca="false">IF('HC by Program-Term'!$Y11="","—",SUMIFS('Program LTR Retention'!H$31:H$53,'Program LTR Retention'!$A$31:$A$53,"202130"))</f>
        <v>7</v>
      </c>
      <c r="J11" s="164" t="n">
        <f aca="false">IF('HC by Program-Term'!$Y11="","—",SUMIFS('Program LTR Retention'!I$31:I$53,'Program LTR Retention'!$A$31:$A$53,"202210"))</f>
        <v>29</v>
      </c>
      <c r="K11" s="164" t="n">
        <f aca="false">IF('HC by Program-Term'!$Y11="","—",SUMIFS('Program LTR Retention'!J$31:J$53,'Program LTR Retention'!$A$31:$A$53,"202220"))</f>
        <v>16</v>
      </c>
      <c r="L11" s="164" t="n">
        <f aca="false">IF('HC by Program-Term'!$Y11="","—",SUMIFS('Program LTR Retention'!K$31:K$53,'Program LTR Retention'!$A$31:$A$53,"202230"))</f>
        <v>17</v>
      </c>
      <c r="M11" s="164" t="n">
        <f aca="false">IF('HC by Program-Term'!$Y11="","—",SUMIFS('Program LTR Retention'!L$31:L$53,'Program LTR Retention'!$A$31:$A$53,"202310"))</f>
        <v>30</v>
      </c>
      <c r="N11" s="164" t="n">
        <f aca="false">IF('HC by Program-Term'!$Y11="","—",SUMIFS('Program LTR Retention'!M$31:M$53,'Program LTR Retention'!$A$31:$A$53,"202320"))</f>
        <v>24</v>
      </c>
      <c r="O11" s="164" t="n">
        <f aca="false">IF('HC by Program-Term'!$Y11="","—",SUMIFS('Program LTR Retention'!N$31:N$53,'Program LTR Retention'!$A$31:$A$53,"202330"))</f>
        <v>9</v>
      </c>
      <c r="P11" s="164" t="n">
        <f aca="false">IF('HC by Program-Term'!$Y11="","—",SUMIFS('Program LTR Retention'!O$31:O$53,'Program LTR Retention'!$A$31:$A$53,"202410"))</f>
        <v>30</v>
      </c>
      <c r="Q11" s="164" t="n">
        <f aca="false">IF('HC by Program-Term'!$Y11="","—",SUMIFS('Program LTR Retention'!P$31:P$53,'Program LTR Retention'!$A$31:$A$53,"202420"))</f>
        <v>15</v>
      </c>
      <c r="R11" s="164" t="n">
        <f aca="false">IF('HC by Program-Term'!$Y11="","—",SUMIFS('Program LTR Retention'!Q$31:Q$53,'Program LTR Retention'!$A$31:$A$53,"202430"))</f>
        <v>14</v>
      </c>
      <c r="S11" s="164" t="n">
        <f aca="false">IF('HC by Program-Term'!$Y11="","—",SUMIFS('Program LTR Retention'!R$31:R$53,'Program LTR Retention'!$A$31:$A$53,"202510"))</f>
        <v>29</v>
      </c>
      <c r="T11" s="164" t="n">
        <f aca="false">IF('HC by Program-Term'!$Y11="","—",SUMIFS('Program LTR Retention'!S$31:S$53,'Program LTR Retention'!$A$31:$A$53,"202520"))</f>
        <v>23</v>
      </c>
      <c r="U11" s="164" t="n">
        <f aca="false">IF('HC by Program-Term'!$Y11="","—",SUMIFS('Program LTR Retention'!T$31:T$53,'Program LTR Retention'!$A$31:$A$53,"202530"))</f>
        <v>10</v>
      </c>
      <c r="V11" s="164" t="n">
        <f aca="false">IF('HC by Program-Term'!$Y11="","—",SUMIFS('Program LTR Retention'!U$31:U$53,'Program LTR Retention'!$A$31:$A$53,"202610"))</f>
        <v>24</v>
      </c>
      <c r="X11" s="164" t="n">
        <f aca="false">IF('HC by Program-Term'!$Y11="","—",'HC by Program-Term'!C11-C11)</f>
        <v>0</v>
      </c>
      <c r="Y11" s="164" t="n">
        <f aca="false">IF('HC by Program-Term'!$Y11="","—",'HC by Program-Term'!D11-D11)</f>
        <v>7</v>
      </c>
      <c r="Z11" s="164" t="n">
        <f aca="false">IF('HC by Program-Term'!$Y11="","—",'HC by Program-Term'!E11-E11)</f>
        <v>33</v>
      </c>
      <c r="AA11" s="164" t="n">
        <f aca="false">IF('HC by Program-Term'!$Y11="","—",'HC by Program-Term'!F11-F11)</f>
        <v>54</v>
      </c>
      <c r="AB11" s="164" t="n">
        <f aca="false">IF('HC by Program-Term'!$Y11="","—",'HC by Program-Term'!G11-G11)</f>
        <v>62</v>
      </c>
      <c r="AC11" s="164" t="n">
        <f aca="false">IF('HC by Program-Term'!$Y11="","—",'HC by Program-Term'!H11-H11)</f>
        <v>84</v>
      </c>
      <c r="AD11" s="164" t="n">
        <f aca="false">IF('HC by Program-Term'!$Y11="","—",'HC by Program-Term'!I11-I11)</f>
        <v>69</v>
      </c>
      <c r="AE11" s="164" t="n">
        <f aca="false">IF('HC by Program-Term'!$Y11="","—",'HC by Program-Term'!J11-J11)</f>
        <v>83</v>
      </c>
      <c r="AF11" s="164" t="n">
        <f aca="false">IF('HC by Program-Term'!$Y11="","—",'HC by Program-Term'!K11-K11)</f>
        <v>91</v>
      </c>
      <c r="AG11" s="164" t="n">
        <f aca="false">IF('HC by Program-Term'!$Y11="","—",'HC by Program-Term'!L11-L11)</f>
        <v>62</v>
      </c>
      <c r="AH11" s="164" t="n">
        <f aca="false">IF('HC by Program-Term'!$Y11="","—",'HC by Program-Term'!M11-M11)</f>
        <v>76</v>
      </c>
      <c r="AI11" s="164" t="n">
        <f aca="false">IF('HC by Program-Term'!$Y11="","—",'HC by Program-Term'!N11-N11)</f>
        <v>80</v>
      </c>
      <c r="AJ11" s="164" t="n">
        <f aca="false">IF('HC by Program-Term'!$Y11="","—",'HC by Program-Term'!O11-O11)</f>
        <v>67</v>
      </c>
      <c r="AK11" s="164" t="n">
        <f aca="false">IF('HC by Program-Term'!$Y11="","—",'HC by Program-Term'!P11-P11)</f>
        <v>78</v>
      </c>
      <c r="AL11" s="164" t="n">
        <f aca="false">IF('HC by Program-Term'!$Y11="","—",'HC by Program-Term'!Q11-Q11)</f>
        <v>81</v>
      </c>
      <c r="AM11" s="164" t="n">
        <f aca="false">IF('HC by Program-Term'!$Y11="","—",'HC by Program-Term'!R11-R11)</f>
        <v>56</v>
      </c>
      <c r="AN11" s="164" t="n">
        <f aca="false">IF('HC by Program-Term'!$Y11="","—",'HC by Program-Term'!S11-S11)</f>
        <v>86</v>
      </c>
      <c r="AO11" s="164" t="n">
        <f aca="false">IF('HC by Program-Term'!$Y11="","—",'HC by Program-Term'!T11-T11)</f>
        <v>83</v>
      </c>
      <c r="AP11" s="164" t="n">
        <f aca="false">IF('HC by Program-Term'!$Y11="","—",'HC by Program-Term'!U11-U11)</f>
        <v>70</v>
      </c>
      <c r="AQ11" s="164" t="n">
        <f aca="false">IF('HC by Program-Term'!$Y11="","—",'HC by Program-Term'!V11-V11)</f>
        <v>72</v>
      </c>
      <c r="AS11" s="147" t="n">
        <f aca="false">IF('HC by Program-Term'!$Y11="","—",SUM(C11:V11))</f>
        <v>426</v>
      </c>
      <c r="AT11" s="147" t="n">
        <f aca="false">IF('HC by Program-Term'!$Y11="","—",SUM(X11:AQ11))</f>
        <v>1294</v>
      </c>
    </row>
    <row r="12" customFormat="false" ht="15" hidden="false" customHeight="true" outlineLevel="0" collapsed="false">
      <c r="A12" s="165" t="str">
        <f aca="false">'Program List'!A7</f>
        <v>M075</v>
      </c>
      <c r="B12" s="166" t="str">
        <f aca="false">'Program List'!B7</f>
        <v>Master of Arts in Art and Technology</v>
      </c>
      <c r="C12" s="167" t="n">
        <f aca="false">IF('HC by Program-Term'!$Y12="","—",SUMIFS('Program LTR Retention'!B$55:B$68,'Program LTR Retention'!$A$55:$A$68,"201930"))</f>
        <v>0</v>
      </c>
      <c r="D12" s="167" t="n">
        <f aca="false">IF('HC by Program-Term'!$Y12="","—",SUMIFS('Program LTR Retention'!C$55:C$68,'Program LTR Retention'!$A$55:$A$68,"202010"))</f>
        <v>0</v>
      </c>
      <c r="E12" s="167" t="n">
        <f aca="false">IF('HC by Program-Term'!$Y12="","—",SUMIFS('Program LTR Retention'!D$55:D$68,'Program LTR Retention'!$A$55:$A$68,"202020"))</f>
        <v>0</v>
      </c>
      <c r="F12" s="167" t="n">
        <f aca="false">IF('HC by Program-Term'!$Y12="","—",SUMIFS('Program LTR Retention'!E$55:E$68,'Program LTR Retention'!$A$55:$A$68,"202030"))</f>
        <v>0</v>
      </c>
      <c r="G12" s="167" t="n">
        <f aca="false">IF('HC by Program-Term'!$Y12="","—",SUMIFS('Program LTR Retention'!F$55:F$68,'Program LTR Retention'!$A$55:$A$68,"202110"))</f>
        <v>23</v>
      </c>
      <c r="H12" s="167" t="n">
        <f aca="false">IF('HC by Program-Term'!$Y12="","—",SUMIFS('Program LTR Retention'!G$55:G$68,'Program LTR Retention'!$A$55:$A$68,"202120"))</f>
        <v>27</v>
      </c>
      <c r="I12" s="167" t="n">
        <f aca="false">IF('HC by Program-Term'!$Y12="","—",SUMIFS('Program LTR Retention'!H$55:H$68,'Program LTR Retention'!$A$55:$A$68,"202130"))</f>
        <v>0</v>
      </c>
      <c r="J12" s="167" t="n">
        <f aca="false">IF('HC by Program-Term'!$Y12="","—",SUMIFS('Program LTR Retention'!I$55:I$68,'Program LTR Retention'!$A$55:$A$68,"202210"))</f>
        <v>31</v>
      </c>
      <c r="K12" s="167" t="n">
        <f aca="false">IF('HC by Program-Term'!$Y12="","—",SUMIFS('Program LTR Retention'!J$55:J$68,'Program LTR Retention'!$A$55:$A$68,"202220"))</f>
        <v>17</v>
      </c>
      <c r="L12" s="167" t="n">
        <f aca="false">IF('HC by Program-Term'!$Y12="","—",SUMIFS('Program LTR Retention'!K$55:K$68,'Program LTR Retention'!$A$55:$A$68,"202230"))</f>
        <v>0</v>
      </c>
      <c r="M12" s="167" t="n">
        <f aca="false">IF('HC by Program-Term'!$Y12="","—",SUMIFS('Program LTR Retention'!L$55:L$68,'Program LTR Retention'!$A$55:$A$68,"202310"))</f>
        <v>31</v>
      </c>
      <c r="N12" s="167" t="n">
        <f aca="false">IF('HC by Program-Term'!$Y12="","—",SUMIFS('Program LTR Retention'!M$55:M$68,'Program LTR Retention'!$A$55:$A$68,"202320"))</f>
        <v>17</v>
      </c>
      <c r="O12" s="167" t="n">
        <f aca="false">IF('HC by Program-Term'!$Y12="","—",SUMIFS('Program LTR Retention'!N$55:N$68,'Program LTR Retention'!$A$55:$A$68,"202330"))</f>
        <v>0</v>
      </c>
      <c r="P12" s="167" t="n">
        <f aca="false">IF('HC by Program-Term'!$Y12="","—",SUMIFS('Program LTR Retention'!O$55:O$68,'Program LTR Retention'!$A$55:$A$68,"202410"))</f>
        <v>30</v>
      </c>
      <c r="Q12" s="167" t="n">
        <f aca="false">IF('HC by Program-Term'!$Y12="","—",SUMIFS('Program LTR Retention'!P$55:P$68,'Program LTR Retention'!$A$55:$A$68,"202420"))</f>
        <v>15</v>
      </c>
      <c r="R12" s="167" t="n">
        <f aca="false">IF('HC by Program-Term'!$Y12="","—",SUMIFS('Program LTR Retention'!Q$55:Q$68,'Program LTR Retention'!$A$55:$A$68,"202430"))</f>
        <v>0</v>
      </c>
      <c r="S12" s="167" t="n">
        <f aca="false">IF('HC by Program-Term'!$Y12="","—",SUMIFS('Program LTR Retention'!R$55:R$68,'Program LTR Retention'!$A$55:$A$68,"202510"))</f>
        <v>18</v>
      </c>
      <c r="T12" s="167" t="n">
        <f aca="false">IF('HC by Program-Term'!$Y12="","—",SUMIFS('Program LTR Retention'!S$55:S$68,'Program LTR Retention'!$A$55:$A$68,"202520"))</f>
        <v>15</v>
      </c>
      <c r="U12" s="167" t="n">
        <f aca="false">IF('HC by Program-Term'!$Y12="","—",SUMIFS('Program LTR Retention'!T$55:T$68,'Program LTR Retention'!$A$55:$A$68,"202530"))</f>
        <v>0</v>
      </c>
      <c r="V12" s="167" t="n">
        <f aca="false">IF('HC by Program-Term'!$Y12="","—",SUMIFS('Program LTR Retention'!U$55:U$68,'Program LTR Retention'!$A$55:$A$68,"202610"))</f>
        <v>11</v>
      </c>
      <c r="W12" s="168"/>
      <c r="X12" s="167" t="n">
        <f aca="false">IF('HC by Program-Term'!$Y12="","—",'HC by Program-Term'!C12-C12)</f>
        <v>0</v>
      </c>
      <c r="Y12" s="167" t="n">
        <f aca="false">IF('HC by Program-Term'!$Y12="","—",'HC by Program-Term'!D12-D12)</f>
        <v>0</v>
      </c>
      <c r="Z12" s="167" t="n">
        <f aca="false">IF('HC by Program-Term'!$Y12="","—",'HC by Program-Term'!E12-E12)</f>
        <v>0</v>
      </c>
      <c r="AA12" s="167" t="n">
        <f aca="false">IF('HC by Program-Term'!$Y12="","—",'HC by Program-Term'!F12-F12)</f>
        <v>0</v>
      </c>
      <c r="AB12" s="167" t="n">
        <f aca="false">IF('HC by Program-Term'!$Y12="","—",'HC by Program-Term'!G12-G12)</f>
        <v>0</v>
      </c>
      <c r="AC12" s="167" t="n">
        <f aca="false">IF('HC by Program-Term'!$Y12="","—",'HC by Program-Term'!H12-H12)</f>
        <v>20</v>
      </c>
      <c r="AD12" s="167" t="n">
        <f aca="false">IF('HC by Program-Term'!$Y12="","—",'HC by Program-Term'!I12-I12)</f>
        <v>32</v>
      </c>
      <c r="AE12" s="167" t="n">
        <f aca="false">IF('HC by Program-Term'!$Y12="","—",'HC by Program-Term'!J12-J12)</f>
        <v>34</v>
      </c>
      <c r="AF12" s="167" t="n">
        <f aca="false">IF('HC by Program-Term'!$Y12="","—",'HC by Program-Term'!K12-K12)</f>
        <v>56</v>
      </c>
      <c r="AG12" s="167" t="n">
        <f aca="false">IF('HC by Program-Term'!$Y12="","—",'HC by Program-Term'!L12-L12)</f>
        <v>51</v>
      </c>
      <c r="AH12" s="167" t="n">
        <f aca="false">IF('HC by Program-Term'!$Y12="","—",'HC by Program-Term'!M12-M12)</f>
        <v>37</v>
      </c>
      <c r="AI12" s="167" t="n">
        <f aca="false">IF('HC by Program-Term'!$Y12="","—",'HC by Program-Term'!N12-N12)</f>
        <v>63</v>
      </c>
      <c r="AJ12" s="167" t="n">
        <f aca="false">IF('HC by Program-Term'!$Y12="","—",'HC by Program-Term'!O12-O12)</f>
        <v>47</v>
      </c>
      <c r="AK12" s="167" t="n">
        <f aca="false">IF('HC by Program-Term'!$Y12="","—",'HC by Program-Term'!P12-P12)</f>
        <v>32</v>
      </c>
      <c r="AL12" s="167" t="n">
        <f aca="false">IF('HC by Program-Term'!$Y12="","—",'HC by Program-Term'!Q12-Q12)</f>
        <v>57</v>
      </c>
      <c r="AM12" s="167" t="n">
        <f aca="false">IF('HC by Program-Term'!$Y12="","—",'HC by Program-Term'!R12-R12)</f>
        <v>45</v>
      </c>
      <c r="AN12" s="167" t="n">
        <f aca="false">IF('HC by Program-Term'!$Y12="","—",'HC by Program-Term'!S12-S12)</f>
        <v>32</v>
      </c>
      <c r="AO12" s="167" t="n">
        <f aca="false">IF('HC by Program-Term'!$Y12="","—",'HC by Program-Term'!T12-T12)</f>
        <v>47</v>
      </c>
      <c r="AP12" s="167" t="n">
        <f aca="false">IF('HC by Program-Term'!$Y12="","—",'HC by Program-Term'!U12-U12)</f>
        <v>44</v>
      </c>
      <c r="AQ12" s="167" t="n">
        <f aca="false">IF('HC by Program-Term'!$Y12="","—",'HC by Program-Term'!V12-V12)</f>
        <v>32</v>
      </c>
      <c r="AR12" s="168"/>
      <c r="AS12" s="151" t="n">
        <f aca="false">IF('HC by Program-Term'!$Y12="","—",SUM(C12:V12))</f>
        <v>235</v>
      </c>
      <c r="AT12" s="151" t="n">
        <f aca="false">IF('HC by Program-Term'!$Y12="","—",SUM(X12:AQ12))</f>
        <v>629</v>
      </c>
    </row>
    <row r="13" customFormat="false" ht="15" hidden="false" customHeight="true" outlineLevel="0" collapsed="false">
      <c r="A13" s="162" t="str">
        <f aca="false">'Program List'!A8</f>
        <v>M073</v>
      </c>
      <c r="B13" s="163" t="str">
        <f aca="false">'Program List'!B8</f>
        <v>Master of Arts in Arts Management</v>
      </c>
      <c r="C13" s="164" t="n">
        <f aca="false">IF('HC by Program-Term'!$Y13="","—",SUMIFS('Program LTR Retention'!B$70:B$81,'Program LTR Retention'!$A$70:$A$81,"201930"))</f>
        <v>0</v>
      </c>
      <c r="D13" s="164" t="n">
        <f aca="false">IF('HC by Program-Term'!$Y13="","—",SUMIFS('Program LTR Retention'!C$70:C$81,'Program LTR Retention'!$A$70:$A$81,"202010"))</f>
        <v>0</v>
      </c>
      <c r="E13" s="164" t="n">
        <f aca="false">IF('HC by Program-Term'!$Y13="","—",SUMIFS('Program LTR Retention'!D$70:D$81,'Program LTR Retention'!$A$70:$A$81,"202020"))</f>
        <v>0</v>
      </c>
      <c r="F13" s="164" t="n">
        <f aca="false">IF('HC by Program-Term'!$Y13="","—",SUMIFS('Program LTR Retention'!E$70:E$81,'Program LTR Retention'!$A$70:$A$81,"202030"))</f>
        <v>0</v>
      </c>
      <c r="G13" s="164" t="n">
        <f aca="false">IF('HC by Program-Term'!$Y13="","—",SUMIFS('Program LTR Retention'!F$70:F$81,'Program LTR Retention'!$A$70:$A$81,"202110"))</f>
        <v>0</v>
      </c>
      <c r="H13" s="164" t="n">
        <f aca="false">IF('HC by Program-Term'!$Y13="","—",SUMIFS('Program LTR Retention'!G$70:G$81,'Program LTR Retention'!$A$70:$A$81,"202120"))</f>
        <v>0</v>
      </c>
      <c r="I13" s="164" t="n">
        <f aca="false">IF('HC by Program-Term'!$Y13="","—",SUMIFS('Program LTR Retention'!H$70:H$81,'Program LTR Retention'!$A$70:$A$81,"202130"))</f>
        <v>0</v>
      </c>
      <c r="J13" s="164" t="n">
        <f aca="false">IF('HC by Program-Term'!$Y13="","—",SUMIFS('Program LTR Retention'!I$70:I$81,'Program LTR Retention'!$A$70:$A$81,"202210"))</f>
        <v>0</v>
      </c>
      <c r="K13" s="164" t="n">
        <f aca="false">IF('HC by Program-Term'!$Y13="","—",SUMIFS('Program LTR Retention'!J$70:J$81,'Program LTR Retention'!$A$70:$A$81,"202220"))</f>
        <v>6</v>
      </c>
      <c r="L13" s="164" t="n">
        <f aca="false">IF('HC by Program-Term'!$Y13="","—",SUMIFS('Program LTR Retention'!K$70:K$81,'Program LTR Retention'!$A$70:$A$81,"202230"))</f>
        <v>1</v>
      </c>
      <c r="M13" s="164" t="n">
        <f aca="false">IF('HC by Program-Term'!$Y13="","—",SUMIFS('Program LTR Retention'!L$70:L$81,'Program LTR Retention'!$A$70:$A$81,"202310"))</f>
        <v>31</v>
      </c>
      <c r="N13" s="164" t="n">
        <f aca="false">IF('HC by Program-Term'!$Y13="","—",SUMIFS('Program LTR Retention'!M$70:M$81,'Program LTR Retention'!$A$70:$A$81,"202320"))</f>
        <v>42</v>
      </c>
      <c r="O13" s="164" t="n">
        <f aca="false">IF('HC by Program-Term'!$Y13="","—",SUMIFS('Program LTR Retention'!N$70:N$81,'Program LTR Retention'!$A$70:$A$81,"202330"))</f>
        <v>0</v>
      </c>
      <c r="P13" s="164" t="n">
        <f aca="false">IF('HC by Program-Term'!$Y13="","—",SUMIFS('Program LTR Retention'!O$70:O$81,'Program LTR Retention'!$A$70:$A$81,"202410"))</f>
        <v>28</v>
      </c>
      <c r="Q13" s="164" t="n">
        <f aca="false">IF('HC by Program-Term'!$Y13="","—",SUMIFS('Program LTR Retention'!P$70:P$81,'Program LTR Retention'!$A$70:$A$81,"202420"))</f>
        <v>31</v>
      </c>
      <c r="R13" s="164" t="n">
        <f aca="false">IF('HC by Program-Term'!$Y13="","—",SUMIFS('Program LTR Retention'!Q$70:Q$81,'Program LTR Retention'!$A$70:$A$81,"202430"))</f>
        <v>0</v>
      </c>
      <c r="S13" s="164" t="n">
        <f aca="false">IF('HC by Program-Term'!$Y13="","—",SUMIFS('Program LTR Retention'!R$70:R$81,'Program LTR Retention'!$A$70:$A$81,"202510"))</f>
        <v>39</v>
      </c>
      <c r="T13" s="164" t="n">
        <f aca="false">IF('HC by Program-Term'!$Y13="","—",SUMIFS('Program LTR Retention'!S$70:S$81,'Program LTR Retention'!$A$70:$A$81,"202520"))</f>
        <v>16</v>
      </c>
      <c r="U13" s="164" t="n">
        <f aca="false">IF('HC by Program-Term'!$Y13="","—",SUMIFS('Program LTR Retention'!T$70:T$81,'Program LTR Retention'!$A$70:$A$81,"202530"))</f>
        <v>0</v>
      </c>
      <c r="V13" s="164" t="n">
        <f aca="false">IF('HC by Program-Term'!$Y13="","—",SUMIFS('Program LTR Retention'!U$70:U$81,'Program LTR Retention'!$A$70:$A$81,"202610"))</f>
        <v>23</v>
      </c>
      <c r="X13" s="164" t="n">
        <f aca="false">IF('HC by Program-Term'!$Y13="","—",'HC by Program-Term'!C13-C13)</f>
        <v>0</v>
      </c>
      <c r="Y13" s="164" t="n">
        <f aca="false">IF('HC by Program-Term'!$Y13="","—",'HC by Program-Term'!D13-D13)</f>
        <v>0</v>
      </c>
      <c r="Z13" s="164" t="n">
        <f aca="false">IF('HC by Program-Term'!$Y13="","—",'HC by Program-Term'!E13-E13)</f>
        <v>0</v>
      </c>
      <c r="AA13" s="164" t="n">
        <f aca="false">IF('HC by Program-Term'!$Y13="","—",'HC by Program-Term'!F13-F13)</f>
        <v>0</v>
      </c>
      <c r="AB13" s="164" t="n">
        <f aca="false">IF('HC by Program-Term'!$Y13="","—",'HC by Program-Term'!G13-G13)</f>
        <v>0</v>
      </c>
      <c r="AC13" s="164" t="n">
        <f aca="false">IF('HC by Program-Term'!$Y13="","—",'HC by Program-Term'!H13-H13)</f>
        <v>0</v>
      </c>
      <c r="AD13" s="164" t="n">
        <f aca="false">IF('HC by Program-Term'!$Y13="","—",'HC by Program-Term'!I13-I13)</f>
        <v>0</v>
      </c>
      <c r="AE13" s="164" t="n">
        <f aca="false">IF('HC by Program-Term'!$Y13="","—",'HC by Program-Term'!J13-J13)</f>
        <v>0</v>
      </c>
      <c r="AF13" s="164" t="n">
        <f aca="false">IF('HC by Program-Term'!$Y13="","—",'HC by Program-Term'!K13-K13)</f>
        <v>0</v>
      </c>
      <c r="AG13" s="164" t="n">
        <f aca="false">IF('HC by Program-Term'!$Y13="","—",'HC by Program-Term'!L13-L13)</f>
        <v>6</v>
      </c>
      <c r="AH13" s="164" t="n">
        <f aca="false">IF('HC by Program-Term'!$Y13="","—",'HC by Program-Term'!M13-M13)</f>
        <v>7</v>
      </c>
      <c r="AI13" s="164" t="n">
        <f aca="false">IF('HC by Program-Term'!$Y13="","—",'HC by Program-Term'!N13-N13)</f>
        <v>33</v>
      </c>
      <c r="AJ13" s="164" t="n">
        <f aca="false">IF('HC by Program-Term'!$Y13="","—",'HC by Program-Term'!O13-O13)</f>
        <v>60</v>
      </c>
      <c r="AK13" s="164" t="n">
        <f aca="false">IF('HC by Program-Term'!$Y13="","—",'HC by Program-Term'!P13-P13)</f>
        <v>59</v>
      </c>
      <c r="AL13" s="164" t="n">
        <f aca="false">IF('HC by Program-Term'!$Y13="","—",'HC by Program-Term'!Q13-Q13)</f>
        <v>62</v>
      </c>
      <c r="AM13" s="164" t="n">
        <f aca="false">IF('HC by Program-Term'!$Y13="","—",'HC by Program-Term'!R13-R13)</f>
        <v>53</v>
      </c>
      <c r="AN13" s="164" t="n">
        <f aca="false">IF('HC by Program-Term'!$Y13="","—",'HC by Program-Term'!S13-S13)</f>
        <v>52</v>
      </c>
      <c r="AO13" s="164" t="n">
        <f aca="false">IF('HC by Program-Term'!$Y13="","—",'HC by Program-Term'!T13-T13)</f>
        <v>71</v>
      </c>
      <c r="AP13" s="164" t="n">
        <f aca="false">IF('HC by Program-Term'!$Y13="","—",'HC by Program-Term'!U13-U13)</f>
        <v>53</v>
      </c>
      <c r="AQ13" s="164" t="n">
        <f aca="false">IF('HC by Program-Term'!$Y13="","—",'HC by Program-Term'!V13-V13)</f>
        <v>48</v>
      </c>
      <c r="AS13" s="147" t="n">
        <f aca="false">IF('HC by Program-Term'!$Y13="","—",SUM(C13:V13))</f>
        <v>217</v>
      </c>
      <c r="AT13" s="147" t="n">
        <f aca="false">IF('HC by Program-Term'!$Y13="","—",SUM(X13:AQ13))</f>
        <v>504</v>
      </c>
    </row>
    <row r="14" customFormat="false" ht="15" hidden="false" customHeight="true" outlineLevel="0" collapsed="false">
      <c r="A14" s="165" t="str">
        <f aca="false">'Program List'!A9</f>
        <v>M494</v>
      </c>
      <c r="B14" s="166" t="str">
        <f aca="false">'Program List'!B9</f>
        <v>Master of Arts in Global Affairs</v>
      </c>
      <c r="C14" s="167" t="n">
        <f aca="false">IF('HC by Program-Term'!$Y14="","—",SUMIFS('Program LTR Retention'!B$83:B$105,'Program LTR Retention'!$A$83:$A$105,"201930"))</f>
        <v>4</v>
      </c>
      <c r="D14" s="167" t="n">
        <f aca="false">IF('HC by Program-Term'!$Y14="","—",SUMIFS('Program LTR Retention'!C$83:C$105,'Program LTR Retention'!$A$83:$A$105,"202010"))</f>
        <v>27</v>
      </c>
      <c r="E14" s="167" t="n">
        <f aca="false">IF('HC by Program-Term'!$Y14="","—",SUMIFS('Program LTR Retention'!D$83:D$105,'Program LTR Retention'!$A$83:$A$105,"202020"))</f>
        <v>25</v>
      </c>
      <c r="F14" s="167" t="n">
        <f aca="false">IF('HC by Program-Term'!$Y14="","—",SUMIFS('Program LTR Retention'!E$83:E$105,'Program LTR Retention'!$A$83:$A$105,"202030"))</f>
        <v>10</v>
      </c>
      <c r="G14" s="167" t="n">
        <f aca="false">IF('HC by Program-Term'!$Y14="","—",SUMIFS('Program LTR Retention'!F$83:F$105,'Program LTR Retention'!$A$83:$A$105,"202110"))</f>
        <v>21</v>
      </c>
      <c r="H14" s="167" t="n">
        <f aca="false">IF('HC by Program-Term'!$Y14="","—",SUMIFS('Program LTR Retention'!G$83:G$105,'Program LTR Retention'!$A$83:$A$105,"202120"))</f>
        <v>15</v>
      </c>
      <c r="I14" s="167" t="n">
        <f aca="false">IF('HC by Program-Term'!$Y14="","—",SUMIFS('Program LTR Retention'!H$83:H$105,'Program LTR Retention'!$A$83:$A$105,"202130"))</f>
        <v>5</v>
      </c>
      <c r="J14" s="167" t="n">
        <f aca="false">IF('HC by Program-Term'!$Y14="","—",SUMIFS('Program LTR Retention'!I$83:I$105,'Program LTR Retention'!$A$83:$A$105,"202210"))</f>
        <v>32</v>
      </c>
      <c r="K14" s="167" t="n">
        <f aca="false">IF('HC by Program-Term'!$Y14="","—",SUMIFS('Program LTR Retention'!J$83:J$105,'Program LTR Retention'!$A$83:$A$105,"202220"))</f>
        <v>25</v>
      </c>
      <c r="L14" s="167" t="n">
        <f aca="false">IF('HC by Program-Term'!$Y14="","—",SUMIFS('Program LTR Retention'!K$83:K$105,'Program LTR Retention'!$A$83:$A$105,"202230"))</f>
        <v>15</v>
      </c>
      <c r="M14" s="167" t="n">
        <f aca="false">IF('HC by Program-Term'!$Y14="","—",SUMIFS('Program LTR Retention'!L$83:L$105,'Program LTR Retention'!$A$83:$A$105,"202310"))</f>
        <v>27</v>
      </c>
      <c r="N14" s="167" t="n">
        <f aca="false">IF('HC by Program-Term'!$Y14="","—",SUMIFS('Program LTR Retention'!M$83:M$105,'Program LTR Retention'!$A$83:$A$105,"202320"))</f>
        <v>42</v>
      </c>
      <c r="O14" s="167" t="n">
        <f aca="false">IF('HC by Program-Term'!$Y14="","—",SUMIFS('Program LTR Retention'!N$83:N$105,'Program LTR Retention'!$A$83:$A$105,"202330"))</f>
        <v>11</v>
      </c>
      <c r="P14" s="167" t="n">
        <f aca="false">IF('HC by Program-Term'!$Y14="","—",SUMIFS('Program LTR Retention'!O$83:O$105,'Program LTR Retention'!$A$83:$A$105,"202410"))</f>
        <v>38</v>
      </c>
      <c r="Q14" s="167" t="n">
        <f aca="false">IF('HC by Program-Term'!$Y14="","—",SUMIFS('Program LTR Retention'!P$83:P$105,'Program LTR Retention'!$A$83:$A$105,"202420"))</f>
        <v>35</v>
      </c>
      <c r="R14" s="167" t="n">
        <f aca="false">IF('HC by Program-Term'!$Y14="","—",SUMIFS('Program LTR Retention'!Q$83:Q$105,'Program LTR Retention'!$A$83:$A$105,"202430"))</f>
        <v>8</v>
      </c>
      <c r="S14" s="167" t="n">
        <f aca="false">IF('HC by Program-Term'!$Y14="","—",SUMIFS('Program LTR Retention'!R$83:R$105,'Program LTR Retention'!$A$83:$A$105,"202510"))</f>
        <v>29</v>
      </c>
      <c r="T14" s="167" t="n">
        <f aca="false">IF('HC by Program-Term'!$Y14="","—",SUMIFS('Program LTR Retention'!S$83:S$105,'Program LTR Retention'!$A$83:$A$105,"202520"))</f>
        <v>21</v>
      </c>
      <c r="U14" s="167" t="n">
        <f aca="false">IF('HC by Program-Term'!$Y14="","—",SUMIFS('Program LTR Retention'!T$83:T$105,'Program LTR Retention'!$A$83:$A$105,"202530"))</f>
        <v>9</v>
      </c>
      <c r="V14" s="167" t="n">
        <f aca="false">IF('HC by Program-Term'!$Y14="","—",SUMIFS('Program LTR Retention'!U$83:U$105,'Program LTR Retention'!$A$83:$A$105,"202610"))</f>
        <v>13</v>
      </c>
      <c r="W14" s="168"/>
      <c r="X14" s="167" t="n">
        <f aca="false">IF('HC by Program-Term'!$Y14="","—",'HC by Program-Term'!C14-C14)</f>
        <v>0</v>
      </c>
      <c r="Y14" s="167" t="n">
        <f aca="false">IF('HC by Program-Term'!$Y14="","—",'HC by Program-Term'!D14-D14)</f>
        <v>2</v>
      </c>
      <c r="Z14" s="167" t="n">
        <f aca="false">IF('HC by Program-Term'!$Y14="","—",'HC by Program-Term'!E14-E14)</f>
        <v>22</v>
      </c>
      <c r="AA14" s="167" t="n">
        <f aca="false">IF('HC by Program-Term'!$Y14="","—",'HC by Program-Term'!F14-F14)</f>
        <v>16</v>
      </c>
      <c r="AB14" s="167" t="n">
        <f aca="false">IF('HC by Program-Term'!$Y14="","—",'HC by Program-Term'!G14-G14)</f>
        <v>45</v>
      </c>
      <c r="AC14" s="167" t="n">
        <f aca="false">IF('HC by Program-Term'!$Y14="","—",'HC by Program-Term'!H14-H14)</f>
        <v>55</v>
      </c>
      <c r="AD14" s="167" t="n">
        <f aca="false">IF('HC by Program-Term'!$Y14="","—",'HC by Program-Term'!I14-I14)</f>
        <v>39</v>
      </c>
      <c r="AE14" s="167" t="n">
        <f aca="false">IF('HC by Program-Term'!$Y14="","—",'HC by Program-Term'!J14-J14)</f>
        <v>58</v>
      </c>
      <c r="AF14" s="167" t="n">
        <f aca="false">IF('HC by Program-Term'!$Y14="","—",'HC by Program-Term'!K14-K14)</f>
        <v>71</v>
      </c>
      <c r="AG14" s="167" t="n">
        <f aca="false">IF('HC by Program-Term'!$Y14="","—",'HC by Program-Term'!L14-L14)</f>
        <v>53</v>
      </c>
      <c r="AH14" s="167" t="n">
        <f aca="false">IF('HC by Program-Term'!$Y14="","—",'HC by Program-Term'!M14-M14)</f>
        <v>70</v>
      </c>
      <c r="AI14" s="167" t="n">
        <f aca="false">IF('HC by Program-Term'!$Y14="","—",'HC by Program-Term'!N14-N14)</f>
        <v>83</v>
      </c>
      <c r="AJ14" s="167" t="n">
        <f aca="false">IF('HC by Program-Term'!$Y14="","—",'HC by Program-Term'!O14-O14)</f>
        <v>65</v>
      </c>
      <c r="AK14" s="167" t="n">
        <f aca="false">IF('HC by Program-Term'!$Y14="","—",'HC by Program-Term'!P14-P14)</f>
        <v>98</v>
      </c>
      <c r="AL14" s="167" t="n">
        <f aca="false">IF('HC by Program-Term'!$Y14="","—",'HC by Program-Term'!Q14-Q14)</f>
        <v>96</v>
      </c>
      <c r="AM14" s="167" t="n">
        <f aca="false">IF('HC by Program-Term'!$Y14="","—",'HC by Program-Term'!R14-R14)</f>
        <v>74</v>
      </c>
      <c r="AN14" s="167" t="n">
        <f aca="false">IF('HC by Program-Term'!$Y14="","—",'HC by Program-Term'!S14-S14)</f>
        <v>111</v>
      </c>
      <c r="AO14" s="167" t="n">
        <f aca="false">IF('HC by Program-Term'!$Y14="","—",'HC by Program-Term'!T14-T14)</f>
        <v>92</v>
      </c>
      <c r="AP14" s="167" t="n">
        <f aca="false">IF('HC by Program-Term'!$Y14="","—",'HC by Program-Term'!U14-U14)</f>
        <v>69</v>
      </c>
      <c r="AQ14" s="167" t="n">
        <f aca="false">IF('HC by Program-Term'!$Y14="","—",'HC by Program-Term'!V14-V14)</f>
        <v>87</v>
      </c>
      <c r="AR14" s="168"/>
      <c r="AS14" s="151" t="n">
        <f aca="false">IF('HC by Program-Term'!$Y14="","—",SUM(C14:V14))</f>
        <v>412</v>
      </c>
      <c r="AT14" s="151" t="n">
        <f aca="false">IF('HC by Program-Term'!$Y14="","—",SUM(X14:AQ14))</f>
        <v>1206</v>
      </c>
    </row>
    <row r="15" customFormat="false" ht="15" hidden="false" customHeight="true" outlineLevel="0" collapsed="false">
      <c r="A15" s="162" t="str">
        <f aca="false">'Program List'!A10</f>
        <v>M700</v>
      </c>
      <c r="B15" s="163" t="str">
        <f aca="false">'Program List'!B10</f>
        <v>Master of Arts in Museum Studies</v>
      </c>
      <c r="C15" s="164" t="n">
        <f aca="false">IF('HC by Program-Term'!$Y15="","—",SUMIFS('Program LTR Retention'!B$107:B$129,'Program LTR Retention'!$A$107:$A$129,"201930"))</f>
        <v>7</v>
      </c>
      <c r="D15" s="164" t="n">
        <f aca="false">IF('HC by Program-Term'!$Y15="","—",SUMIFS('Program LTR Retention'!C$107:C$129,'Program LTR Retention'!$A$107:$A$129,"202010"))</f>
        <v>20</v>
      </c>
      <c r="E15" s="164" t="n">
        <f aca="false">IF('HC by Program-Term'!$Y15="","—",SUMIFS('Program LTR Retention'!D$107:D$129,'Program LTR Retention'!$A$107:$A$129,"202020"))</f>
        <v>18</v>
      </c>
      <c r="F15" s="164" t="n">
        <f aca="false">IF('HC by Program-Term'!$Y15="","—",SUMIFS('Program LTR Retention'!E$107:E$129,'Program LTR Retention'!$A$107:$A$129,"202030"))</f>
        <v>7</v>
      </c>
      <c r="G15" s="164" t="n">
        <f aca="false">IF('HC by Program-Term'!$Y15="","—",SUMIFS('Program LTR Retention'!F$107:F$129,'Program LTR Retention'!$A$107:$A$129,"202110"))</f>
        <v>22</v>
      </c>
      <c r="H15" s="164" t="n">
        <f aca="false">IF('HC by Program-Term'!$Y15="","—",SUMIFS('Program LTR Retention'!G$107:G$129,'Program LTR Retention'!$A$107:$A$129,"202120"))</f>
        <v>35</v>
      </c>
      <c r="I15" s="164" t="n">
        <f aca="false">IF('HC by Program-Term'!$Y15="","—",SUMIFS('Program LTR Retention'!H$107:H$129,'Program LTR Retention'!$A$107:$A$129,"202130"))</f>
        <v>38</v>
      </c>
      <c r="J15" s="164" t="n">
        <f aca="false">IF('HC by Program-Term'!$Y15="","—",SUMIFS('Program LTR Retention'!I$107:I$129,'Program LTR Retention'!$A$107:$A$129,"202210"))</f>
        <v>63</v>
      </c>
      <c r="K15" s="164" t="n">
        <f aca="false">IF('HC by Program-Term'!$Y15="","—",SUMIFS('Program LTR Retention'!J$107:J$129,'Program LTR Retention'!$A$107:$A$129,"202220"))</f>
        <v>69</v>
      </c>
      <c r="L15" s="164" t="n">
        <f aca="false">IF('HC by Program-Term'!$Y15="","—",SUMIFS('Program LTR Retention'!K$107:K$129,'Program LTR Retention'!$A$107:$A$129,"202230"))</f>
        <v>45</v>
      </c>
      <c r="M15" s="164" t="n">
        <f aca="false">IF('HC by Program-Term'!$Y15="","—",SUMIFS('Program LTR Retention'!L$107:L$129,'Program LTR Retention'!$A$107:$A$129,"202310"))</f>
        <v>89</v>
      </c>
      <c r="N15" s="164" t="n">
        <f aca="false">IF('HC by Program-Term'!$Y15="","—",SUMIFS('Program LTR Retention'!M$107:M$129,'Program LTR Retention'!$A$107:$A$129,"202320"))</f>
        <v>61</v>
      </c>
      <c r="O15" s="164" t="n">
        <f aca="false">IF('HC by Program-Term'!$Y15="","—",SUMIFS('Program LTR Retention'!N$107:N$129,'Program LTR Retention'!$A$107:$A$129,"202330"))</f>
        <v>28</v>
      </c>
      <c r="P15" s="164" t="n">
        <f aca="false">IF('HC by Program-Term'!$Y15="","—",SUMIFS('Program LTR Retention'!O$107:O$129,'Program LTR Retention'!$A$107:$A$129,"202410"))</f>
        <v>71</v>
      </c>
      <c r="Q15" s="164" t="n">
        <f aca="false">IF('HC by Program-Term'!$Y15="","—",SUMIFS('Program LTR Retention'!P$107:P$129,'Program LTR Retention'!$A$107:$A$129,"202420"))</f>
        <v>63</v>
      </c>
      <c r="R15" s="164" t="n">
        <f aca="false">IF('HC by Program-Term'!$Y15="","—",SUMIFS('Program LTR Retention'!Q$107:Q$129,'Program LTR Retention'!$A$107:$A$129,"202430"))</f>
        <v>50</v>
      </c>
      <c r="S15" s="164" t="n">
        <f aca="false">IF('HC by Program-Term'!$Y15="","—",SUMIFS('Program LTR Retention'!R$107:R$129,'Program LTR Retention'!$A$107:$A$129,"202510"))</f>
        <v>68</v>
      </c>
      <c r="T15" s="164" t="n">
        <f aca="false">IF('HC by Program-Term'!$Y15="","—",SUMIFS('Program LTR Retention'!S$107:S$129,'Program LTR Retention'!$A$107:$A$129,"202520"))</f>
        <v>43</v>
      </c>
      <c r="U15" s="164" t="n">
        <f aca="false">IF('HC by Program-Term'!$Y15="","—",SUMIFS('Program LTR Retention'!T$107:T$129,'Program LTR Retention'!$A$107:$A$129,"202530"))</f>
        <v>22</v>
      </c>
      <c r="V15" s="164" t="n">
        <f aca="false">IF('HC by Program-Term'!$Y15="","—",SUMIFS('Program LTR Retention'!U$107:U$129,'Program LTR Retention'!$A$107:$A$129,"202610"))</f>
        <v>51</v>
      </c>
      <c r="X15" s="164" t="n">
        <f aca="false">IF('HC by Program-Term'!$Y15="","—",'HC by Program-Term'!C15-C15)</f>
        <v>0</v>
      </c>
      <c r="Y15" s="164" t="n">
        <f aca="false">IF('HC by Program-Term'!$Y15="","—",'HC by Program-Term'!D15-D15)</f>
        <v>6</v>
      </c>
      <c r="Z15" s="164" t="n">
        <f aca="false">IF('HC by Program-Term'!$Y15="","—",'HC by Program-Term'!E15-E15)</f>
        <v>25</v>
      </c>
      <c r="AA15" s="164" t="n">
        <f aca="false">IF('HC by Program-Term'!$Y15="","—",'HC by Program-Term'!F15-F15)</f>
        <v>24</v>
      </c>
      <c r="AB15" s="164" t="n">
        <f aca="false">IF('HC by Program-Term'!$Y15="","—",'HC by Program-Term'!G15-G15)</f>
        <v>40</v>
      </c>
      <c r="AC15" s="164" t="n">
        <f aca="false">IF('HC by Program-Term'!$Y15="","—",'HC by Program-Term'!H15-H15)</f>
        <v>54</v>
      </c>
      <c r="AD15" s="164" t="n">
        <f aca="false">IF('HC by Program-Term'!$Y15="","—",'HC by Program-Term'!I15-I15)</f>
        <v>52</v>
      </c>
      <c r="AE15" s="164" t="n">
        <f aca="false">IF('HC by Program-Term'!$Y15="","—",'HC by Program-Term'!J15-J15)</f>
        <v>92</v>
      </c>
      <c r="AF15" s="164" t="n">
        <f aca="false">IF('HC by Program-Term'!$Y15="","—",'HC by Program-Term'!K15-K15)</f>
        <v>121</v>
      </c>
      <c r="AG15" s="164" t="n">
        <f aca="false">IF('HC by Program-Term'!$Y15="","—",'HC by Program-Term'!L15-L15)</f>
        <v>134</v>
      </c>
      <c r="AH15" s="164" t="n">
        <f aca="false">IF('HC by Program-Term'!$Y15="","—",'HC by Program-Term'!M15-M15)</f>
        <v>192</v>
      </c>
      <c r="AI15" s="164" t="n">
        <f aca="false">IF('HC by Program-Term'!$Y15="","—",'HC by Program-Term'!N15-N15)</f>
        <v>239</v>
      </c>
      <c r="AJ15" s="164" t="n">
        <f aca="false">IF('HC by Program-Term'!$Y15="","—",'HC by Program-Term'!O15-O15)</f>
        <v>206</v>
      </c>
      <c r="AK15" s="164" t="n">
        <f aca="false">IF('HC by Program-Term'!$Y15="","—",'HC by Program-Term'!P15-P15)</f>
        <v>235</v>
      </c>
      <c r="AL15" s="164" t="n">
        <f aca="false">IF('HC by Program-Term'!$Y15="","—",'HC by Program-Term'!Q15-Q15)</f>
        <v>233</v>
      </c>
      <c r="AM15" s="164" t="n">
        <f aca="false">IF('HC by Program-Term'!$Y15="","—",'HC by Program-Term'!R15-R15)</f>
        <v>202</v>
      </c>
      <c r="AN15" s="164" t="n">
        <f aca="false">IF('HC by Program-Term'!$Y15="","—",'HC by Program-Term'!S15-S15)</f>
        <v>191</v>
      </c>
      <c r="AO15" s="164" t="n">
        <f aca="false">IF('HC by Program-Term'!$Y15="","—",'HC by Program-Term'!T15-T15)</f>
        <v>207</v>
      </c>
      <c r="AP15" s="164" t="n">
        <f aca="false">IF('HC by Program-Term'!$Y15="","—",'HC by Program-Term'!U15-U15)</f>
        <v>172</v>
      </c>
      <c r="AQ15" s="164" t="n">
        <f aca="false">IF('HC by Program-Term'!$Y15="","—",'HC by Program-Term'!V15-V15)</f>
        <v>170</v>
      </c>
      <c r="AS15" s="147" t="n">
        <f aca="false">IF('HC by Program-Term'!$Y15="","—",SUM(C15:V15))</f>
        <v>870</v>
      </c>
      <c r="AT15" s="147" t="n">
        <f aca="false">IF('HC by Program-Term'!$Y15="","—",SUM(X15:AQ15))</f>
        <v>2595</v>
      </c>
    </row>
    <row r="16" customFormat="false" ht="15" hidden="false" customHeight="true" outlineLevel="0" collapsed="false">
      <c r="A16" s="165" t="str">
        <f aca="false">'Program List'!A11</f>
        <v>M762</v>
      </c>
      <c r="B16" s="166" t="str">
        <f aca="false">'Program List'!B11</f>
        <v>Master of Arts in Organizational Leadership</v>
      </c>
      <c r="C16" s="167" t="n">
        <f aca="false">IF('HC by Program-Term'!$Y16="","—",SUMIFS('Program LTR Retention'!B$131:B$153,'Program LTR Retention'!$A$131:$A$153,"201930"))</f>
        <v>29</v>
      </c>
      <c r="D16" s="167" t="n">
        <f aca="false">IF('HC by Program-Term'!$Y16="","—",SUMIFS('Program LTR Retention'!C$131:C$153,'Program LTR Retention'!$A$131:$A$153,"202010"))</f>
        <v>43</v>
      </c>
      <c r="E16" s="167" t="n">
        <f aca="false">IF('HC by Program-Term'!$Y16="","—",SUMIFS('Program LTR Retention'!D$131:D$153,'Program LTR Retention'!$A$131:$A$153,"202020"))</f>
        <v>43</v>
      </c>
      <c r="F16" s="167" t="n">
        <f aca="false">IF('HC by Program-Term'!$Y16="","—",SUMIFS('Program LTR Retention'!E$131:E$153,'Program LTR Retention'!$A$131:$A$153,"202030"))</f>
        <v>22</v>
      </c>
      <c r="G16" s="167" t="n">
        <f aca="false">IF('HC by Program-Term'!$Y16="","—",SUMIFS('Program LTR Retention'!F$131:F$153,'Program LTR Retention'!$A$131:$A$153,"202110"))</f>
        <v>46</v>
      </c>
      <c r="H16" s="167" t="n">
        <f aca="false">IF('HC by Program-Term'!$Y16="","—",SUMIFS('Program LTR Retention'!G$131:G$153,'Program LTR Retention'!$A$131:$A$153,"202120"))</f>
        <v>63</v>
      </c>
      <c r="I16" s="167" t="n">
        <f aca="false">IF('HC by Program-Term'!$Y16="","—",SUMIFS('Program LTR Retention'!H$131:H$153,'Program LTR Retention'!$A$131:$A$153,"202130"))</f>
        <v>26</v>
      </c>
      <c r="J16" s="167" t="n">
        <f aca="false">IF('HC by Program-Term'!$Y16="","—",SUMIFS('Program LTR Retention'!I$131:I$153,'Program LTR Retention'!$A$131:$A$153,"202210"))</f>
        <v>36</v>
      </c>
      <c r="K16" s="167" t="n">
        <f aca="false">IF('HC by Program-Term'!$Y16="","—",SUMIFS('Program LTR Retention'!J$131:J$153,'Program LTR Retention'!$A$131:$A$153,"202220"))</f>
        <v>49</v>
      </c>
      <c r="L16" s="167" t="n">
        <f aca="false">IF('HC by Program-Term'!$Y16="","—",SUMIFS('Program LTR Retention'!K$131:K$153,'Program LTR Retention'!$A$131:$A$153,"202230"))</f>
        <v>25</v>
      </c>
      <c r="M16" s="167" t="n">
        <f aca="false">IF('HC by Program-Term'!$Y16="","—",SUMIFS('Program LTR Retention'!L$131:L$153,'Program LTR Retention'!$A$131:$A$153,"202310"))</f>
        <v>60</v>
      </c>
      <c r="N16" s="167" t="n">
        <f aca="false">IF('HC by Program-Term'!$Y16="","—",SUMIFS('Program LTR Retention'!M$131:M$153,'Program LTR Retention'!$A$131:$A$153,"202320"))</f>
        <v>63</v>
      </c>
      <c r="O16" s="167" t="n">
        <f aca="false">IF('HC by Program-Term'!$Y16="","—",SUMIFS('Program LTR Retention'!N$131:N$153,'Program LTR Retention'!$A$131:$A$153,"202330"))</f>
        <v>30</v>
      </c>
      <c r="P16" s="167" t="n">
        <f aca="false">IF('HC by Program-Term'!$Y16="","—",SUMIFS('Program LTR Retention'!O$131:O$153,'Program LTR Retention'!$A$131:$A$153,"202410"))</f>
        <v>55</v>
      </c>
      <c r="Q16" s="167" t="n">
        <f aca="false">IF('HC by Program-Term'!$Y16="","—",SUMIFS('Program LTR Retention'!P$131:P$153,'Program LTR Retention'!$A$131:$A$153,"202420"))</f>
        <v>28</v>
      </c>
      <c r="R16" s="167" t="n">
        <f aca="false">IF('HC by Program-Term'!$Y16="","—",SUMIFS('Program LTR Retention'!Q$131:Q$153,'Program LTR Retention'!$A$131:$A$153,"202430"))</f>
        <v>20</v>
      </c>
      <c r="S16" s="167" t="n">
        <f aca="false">IF('HC by Program-Term'!$Y16="","—",SUMIFS('Program LTR Retention'!R$131:R$153,'Program LTR Retention'!$A$131:$A$153,"202510"))</f>
        <v>40</v>
      </c>
      <c r="T16" s="167" t="n">
        <f aca="false">IF('HC by Program-Term'!$Y16="","—",SUMIFS('Program LTR Retention'!S$131:S$153,'Program LTR Retention'!$A$131:$A$153,"202520"))</f>
        <v>34</v>
      </c>
      <c r="U16" s="167" t="n">
        <f aca="false">IF('HC by Program-Term'!$Y16="","—",SUMIFS('Program LTR Retention'!T$131:T$153,'Program LTR Retention'!$A$131:$A$153,"202530"))</f>
        <v>22</v>
      </c>
      <c r="V16" s="167" t="n">
        <f aca="false">IF('HC by Program-Term'!$Y16="","—",SUMIFS('Program LTR Retention'!U$131:U$153,'Program LTR Retention'!$A$131:$A$153,"202610"))</f>
        <v>48</v>
      </c>
      <c r="W16" s="168"/>
      <c r="X16" s="167" t="n">
        <f aca="false">IF('HC by Program-Term'!$Y16="","—",'HC by Program-Term'!C16-C16)</f>
        <v>0</v>
      </c>
      <c r="Y16" s="167" t="n">
        <f aca="false">IF('HC by Program-Term'!$Y16="","—",'HC by Program-Term'!D16-D16)</f>
        <v>25</v>
      </c>
      <c r="Z16" s="167" t="n">
        <f aca="false">IF('HC by Program-Term'!$Y16="","—",'HC by Program-Term'!E16-E16)</f>
        <v>55</v>
      </c>
      <c r="AA16" s="167" t="n">
        <f aca="false">IF('HC by Program-Term'!$Y16="","—",'HC by Program-Term'!F16-F16)</f>
        <v>51</v>
      </c>
      <c r="AB16" s="167" t="n">
        <f aca="false">IF('HC by Program-Term'!$Y16="","—",'HC by Program-Term'!G16-G16)</f>
        <v>87</v>
      </c>
      <c r="AC16" s="167" t="n">
        <f aca="false">IF('HC by Program-Term'!$Y16="","—",'HC by Program-Term'!H16-H16)</f>
        <v>106</v>
      </c>
      <c r="AD16" s="167" t="n">
        <f aca="false">IF('HC by Program-Term'!$Y16="","—",'HC by Program-Term'!I16-I16)</f>
        <v>96</v>
      </c>
      <c r="AE16" s="167" t="n">
        <f aca="false">IF('HC by Program-Term'!$Y16="","—",'HC by Program-Term'!J16-J16)</f>
        <v>139</v>
      </c>
      <c r="AF16" s="167" t="n">
        <f aca="false">IF('HC by Program-Term'!$Y16="","—",'HC by Program-Term'!K16-K16)</f>
        <v>130</v>
      </c>
      <c r="AG16" s="167" t="n">
        <f aca="false">IF('HC by Program-Term'!$Y16="","—",'HC by Program-Term'!L16-L16)</f>
        <v>103</v>
      </c>
      <c r="AH16" s="167" t="n">
        <f aca="false">IF('HC by Program-Term'!$Y16="","—",'HC by Program-Term'!M16-M16)</f>
        <v>147</v>
      </c>
      <c r="AI16" s="167" t="n">
        <f aca="false">IF('HC by Program-Term'!$Y16="","—",'HC by Program-Term'!N16-N16)</f>
        <v>150</v>
      </c>
      <c r="AJ16" s="167" t="n">
        <f aca="false">IF('HC by Program-Term'!$Y16="","—",'HC by Program-Term'!O16-O16)</f>
        <v>122</v>
      </c>
      <c r="AK16" s="167" t="n">
        <f aca="false">IF('HC by Program-Term'!$Y16="","—",'HC by Program-Term'!P16-P16)</f>
        <v>175</v>
      </c>
      <c r="AL16" s="167" t="n">
        <f aca="false">IF('HC by Program-Term'!$Y16="","—",'HC by Program-Term'!Q16-Q16)</f>
        <v>168</v>
      </c>
      <c r="AM16" s="167" t="n">
        <f aca="false">IF('HC by Program-Term'!$Y16="","—",'HC by Program-Term'!R16-R16)</f>
        <v>112</v>
      </c>
      <c r="AN16" s="167" t="n">
        <f aca="false">IF('HC by Program-Term'!$Y16="","—",'HC by Program-Term'!S16-S16)</f>
        <v>137</v>
      </c>
      <c r="AO16" s="167" t="n">
        <f aca="false">IF('HC by Program-Term'!$Y16="","—",'HC by Program-Term'!T16-T16)</f>
        <v>125</v>
      </c>
      <c r="AP16" s="167" t="n">
        <f aca="false">IF('HC by Program-Term'!$Y16="","—",'HC by Program-Term'!U16-U16)</f>
        <v>94</v>
      </c>
      <c r="AQ16" s="167" t="n">
        <f aca="false">IF('HC by Program-Term'!$Y16="","—",'HC by Program-Term'!V16-V16)</f>
        <v>107</v>
      </c>
      <c r="AR16" s="168"/>
      <c r="AS16" s="151" t="n">
        <f aca="false">IF('HC by Program-Term'!$Y16="","—",SUM(C16:V16))</f>
        <v>782</v>
      </c>
      <c r="AT16" s="151" t="n">
        <f aca="false">IF('HC by Program-Term'!$Y16="","—",SUM(X16:AQ16))</f>
        <v>2129</v>
      </c>
    </row>
    <row r="17" customFormat="false" ht="15" hidden="false" customHeight="true" outlineLevel="0" collapsed="false">
      <c r="A17" s="162" t="str">
        <f aca="false">'Program List'!A12</f>
        <v>M859</v>
      </c>
      <c r="B17" s="163" t="str">
        <f aca="false">'Program List'!B12</f>
        <v>Master of Arts in Strategic Communication and Digital Strategy</v>
      </c>
      <c r="C17" s="164" t="n">
        <f aca="false">IF('HC by Program-Term'!$Y17="","—",SUMIFS('Program LTR Retention'!B$155:B$175,'Program LTR Retention'!$A$155:$A$175,"201930"))</f>
        <v>0</v>
      </c>
      <c r="D17" s="164" t="n">
        <f aca="false">IF('HC by Program-Term'!$Y17="","—",SUMIFS('Program LTR Retention'!C$155:C$175,'Program LTR Retention'!$A$155:$A$175,"202010"))</f>
        <v>0</v>
      </c>
      <c r="E17" s="164" t="n">
        <f aca="false">IF('HC by Program-Term'!$Y17="","—",SUMIFS('Program LTR Retention'!D$155:D$175,'Program LTR Retention'!$A$155:$A$175,"202020"))</f>
        <v>30</v>
      </c>
      <c r="F17" s="164" t="n">
        <f aca="false">IF('HC by Program-Term'!$Y17="","—",SUMIFS('Program LTR Retention'!E$155:E$175,'Program LTR Retention'!$A$155:$A$175,"202030"))</f>
        <v>32</v>
      </c>
      <c r="G17" s="164" t="n">
        <f aca="false">IF('HC by Program-Term'!$Y17="","—",SUMIFS('Program LTR Retention'!F$155:F$175,'Program LTR Retention'!$A$155:$A$175,"202110"))</f>
        <v>32</v>
      </c>
      <c r="H17" s="164" t="n">
        <f aca="false">IF('HC by Program-Term'!$Y17="","—",SUMIFS('Program LTR Retention'!G$155:G$175,'Program LTR Retention'!$A$155:$A$175,"202120"))</f>
        <v>32</v>
      </c>
      <c r="I17" s="164" t="n">
        <f aca="false">IF('HC by Program-Term'!$Y17="","—",SUMIFS('Program LTR Retention'!H$155:H$175,'Program LTR Retention'!$A$155:$A$175,"202130"))</f>
        <v>9</v>
      </c>
      <c r="J17" s="164" t="n">
        <f aca="false">IF('HC by Program-Term'!$Y17="","—",SUMIFS('Program LTR Retention'!I$155:I$175,'Program LTR Retention'!$A$155:$A$175,"202210"))</f>
        <v>27</v>
      </c>
      <c r="K17" s="164" t="n">
        <f aca="false">IF('HC by Program-Term'!$Y17="","—",SUMIFS('Program LTR Retention'!J$155:J$175,'Program LTR Retention'!$A$155:$A$175,"202220"))</f>
        <v>27</v>
      </c>
      <c r="L17" s="164" t="n">
        <f aca="false">IF('HC by Program-Term'!$Y17="","—",SUMIFS('Program LTR Retention'!K$155:K$175,'Program LTR Retention'!$A$155:$A$175,"202230"))</f>
        <v>12</v>
      </c>
      <c r="M17" s="164" t="n">
        <f aca="false">IF('HC by Program-Term'!$Y17="","—",SUMIFS('Program LTR Retention'!L$155:L$175,'Program LTR Retention'!$A$155:$A$175,"202310"))</f>
        <v>24</v>
      </c>
      <c r="N17" s="164" t="n">
        <f aca="false">IF('HC by Program-Term'!$Y17="","—",SUMIFS('Program LTR Retention'!M$155:M$175,'Program LTR Retention'!$A$155:$A$175,"202320"))</f>
        <v>31</v>
      </c>
      <c r="O17" s="164" t="n">
        <f aca="false">IF('HC by Program-Term'!$Y17="","—",SUMIFS('Program LTR Retention'!N$155:N$175,'Program LTR Retention'!$A$155:$A$175,"202330"))</f>
        <v>14</v>
      </c>
      <c r="P17" s="164" t="n">
        <f aca="false">IF('HC by Program-Term'!$Y17="","—",SUMIFS('Program LTR Retention'!O$155:O$175,'Program LTR Retention'!$A$155:$A$175,"202410"))</f>
        <v>26</v>
      </c>
      <c r="Q17" s="164" t="n">
        <f aca="false">IF('HC by Program-Term'!$Y17="","—",SUMIFS('Program LTR Retention'!P$155:P$175,'Program LTR Retention'!$A$155:$A$175,"202420"))</f>
        <v>25</v>
      </c>
      <c r="R17" s="164" t="n">
        <f aca="false">IF('HC by Program-Term'!$Y17="","—",SUMIFS('Program LTR Retention'!Q$155:Q$175,'Program LTR Retention'!$A$155:$A$175,"202430"))</f>
        <v>17</v>
      </c>
      <c r="S17" s="164" t="n">
        <f aca="false">IF('HC by Program-Term'!$Y17="","—",SUMIFS('Program LTR Retention'!R$155:R$175,'Program LTR Retention'!$A$155:$A$175,"202510"))</f>
        <v>21</v>
      </c>
      <c r="T17" s="164" t="n">
        <f aca="false">IF('HC by Program-Term'!$Y17="","—",SUMIFS('Program LTR Retention'!S$155:S$175,'Program LTR Retention'!$A$155:$A$175,"202520"))</f>
        <v>16</v>
      </c>
      <c r="U17" s="164" t="n">
        <f aca="false">IF('HC by Program-Term'!$Y17="","—",SUMIFS('Program LTR Retention'!T$155:T$175,'Program LTR Retention'!$A$155:$A$175,"202530"))</f>
        <v>10</v>
      </c>
      <c r="V17" s="164" t="n">
        <f aca="false">IF('HC by Program-Term'!$Y17="","—",SUMIFS('Program LTR Retention'!U$155:U$175,'Program LTR Retention'!$A$155:$A$175,"202610"))</f>
        <v>13</v>
      </c>
      <c r="X17" s="164" t="n">
        <f aca="false">IF('HC by Program-Term'!$Y17="","—",'HC by Program-Term'!C17-C17)</f>
        <v>0</v>
      </c>
      <c r="Y17" s="164" t="n">
        <f aca="false">IF('HC by Program-Term'!$Y17="","—",'HC by Program-Term'!D17-D17)</f>
        <v>0</v>
      </c>
      <c r="Z17" s="164" t="n">
        <f aca="false">IF('HC by Program-Term'!$Y17="","—",'HC by Program-Term'!E17-E17)</f>
        <v>0</v>
      </c>
      <c r="AA17" s="164" t="n">
        <f aca="false">IF('HC by Program-Term'!$Y17="","—",'HC by Program-Term'!F17-F17)</f>
        <v>28</v>
      </c>
      <c r="AB17" s="164" t="n">
        <f aca="false">IF('HC by Program-Term'!$Y17="","—",'HC by Program-Term'!G17-G17)</f>
        <v>57</v>
      </c>
      <c r="AC17" s="164" t="n">
        <f aca="false">IF('HC by Program-Term'!$Y17="","—",'HC by Program-Term'!H17-H17)</f>
        <v>86</v>
      </c>
      <c r="AD17" s="164" t="n">
        <f aca="false">IF('HC by Program-Term'!$Y17="","—",'HC by Program-Term'!I17-I17)</f>
        <v>100</v>
      </c>
      <c r="AE17" s="164" t="n">
        <f aca="false">IF('HC by Program-Term'!$Y17="","—",'HC by Program-Term'!J17-J17)</f>
        <v>88</v>
      </c>
      <c r="AF17" s="164" t="n">
        <f aca="false">IF('HC by Program-Term'!$Y17="","—",'HC by Program-Term'!K17-K17)</f>
        <v>84</v>
      </c>
      <c r="AG17" s="164" t="n">
        <f aca="false">IF('HC by Program-Term'!$Y17="","—",'HC by Program-Term'!L17-L17)</f>
        <v>79</v>
      </c>
      <c r="AH17" s="164" t="n">
        <f aca="false">IF('HC by Program-Term'!$Y17="","—",'HC by Program-Term'!M17-M17)</f>
        <v>75</v>
      </c>
      <c r="AI17" s="164" t="n">
        <f aca="false">IF('HC by Program-Term'!$Y17="","—",'HC by Program-Term'!N17-N17)</f>
        <v>85</v>
      </c>
      <c r="AJ17" s="164" t="n">
        <f aca="false">IF('HC by Program-Term'!$Y17="","—",'HC by Program-Term'!O17-O17)</f>
        <v>75</v>
      </c>
      <c r="AK17" s="164" t="n">
        <f aca="false">IF('HC by Program-Term'!$Y17="","—",'HC by Program-Term'!P17-P17)</f>
        <v>76</v>
      </c>
      <c r="AL17" s="164" t="n">
        <f aca="false">IF('HC by Program-Term'!$Y17="","—",'HC by Program-Term'!Q17-Q17)</f>
        <v>82</v>
      </c>
      <c r="AM17" s="164" t="n">
        <f aca="false">IF('HC by Program-Term'!$Y17="","—",'HC by Program-Term'!R17-R17)</f>
        <v>84</v>
      </c>
      <c r="AN17" s="164" t="n">
        <f aca="false">IF('HC by Program-Term'!$Y17="","—",'HC by Program-Term'!S17-S17)</f>
        <v>77</v>
      </c>
      <c r="AO17" s="164" t="n">
        <f aca="false">IF('HC by Program-Term'!$Y17="","—",'HC by Program-Term'!T17-T17)</f>
        <v>76</v>
      </c>
      <c r="AP17" s="164" t="n">
        <f aca="false">IF('HC by Program-Term'!$Y17="","—",'HC by Program-Term'!U17-U17)</f>
        <v>70</v>
      </c>
      <c r="AQ17" s="164" t="n">
        <f aca="false">IF('HC by Program-Term'!$Y17="","—",'HC by Program-Term'!V17-V17)</f>
        <v>67</v>
      </c>
      <c r="AS17" s="147" t="n">
        <f aca="false">IF('HC by Program-Term'!$Y17="","—",SUM(C17:V17))</f>
        <v>398</v>
      </c>
      <c r="AT17" s="147" t="n">
        <f aca="false">IF('HC by Program-Term'!$Y17="","—",SUM(X17:AQ17))</f>
        <v>1289</v>
      </c>
    </row>
    <row r="18" customFormat="false" ht="15" hidden="false" customHeight="true" outlineLevel="0" collapsed="false">
      <c r="A18" s="165" t="str">
        <f aca="false">'Program List'!A13</f>
        <v>M202</v>
      </c>
      <c r="B18" s="166" t="str">
        <f aca="false">'Program List'!B13</f>
        <v>Master of Clinical Mental Health Counseling</v>
      </c>
      <c r="C18" s="167" t="n">
        <f aca="false">IF('HC by Program-Term'!$Y18="","—",SUMIFS('Program LTR Retention'!B$177:B$194,'Program LTR Retention'!$A$177:$A$194,"201930"))</f>
        <v>0</v>
      </c>
      <c r="D18" s="167" t="n">
        <f aca="false">IF('HC by Program-Term'!$Y18="","—",SUMIFS('Program LTR Retention'!C$177:C$194,'Program LTR Retention'!$A$177:$A$194,"202010"))</f>
        <v>0</v>
      </c>
      <c r="E18" s="167" t="n">
        <f aca="false">IF('HC by Program-Term'!$Y18="","—",SUMIFS('Program LTR Retention'!D$177:D$194,'Program LTR Retention'!$A$177:$A$194,"202020"))</f>
        <v>0</v>
      </c>
      <c r="F18" s="167" t="n">
        <f aca="false">IF('HC by Program-Term'!$Y18="","—",SUMIFS('Program LTR Retention'!E$177:E$194,'Program LTR Retention'!$A$177:$A$194,"202030"))</f>
        <v>0</v>
      </c>
      <c r="G18" s="167" t="n">
        <f aca="false">IF('HC by Program-Term'!$Y18="","—",SUMIFS('Program LTR Retention'!F$177:F$194,'Program LTR Retention'!$A$177:$A$194,"202110"))</f>
        <v>30</v>
      </c>
      <c r="H18" s="167" t="n">
        <f aca="false">IF('HC by Program-Term'!$Y18="","—",SUMIFS('Program LTR Retention'!G$177:G$194,'Program LTR Retention'!$A$177:$A$194,"202120"))</f>
        <v>48</v>
      </c>
      <c r="I18" s="167" t="n">
        <f aca="false">IF('HC by Program-Term'!$Y18="","—",SUMIFS('Program LTR Retention'!H$177:H$194,'Program LTR Retention'!$A$177:$A$194,"202130"))</f>
        <v>25</v>
      </c>
      <c r="J18" s="167" t="n">
        <f aca="false">IF('HC by Program-Term'!$Y18="","—",SUMIFS('Program LTR Retention'!I$177:I$194,'Program LTR Retention'!$A$177:$A$194,"202210"))</f>
        <v>46</v>
      </c>
      <c r="K18" s="167" t="n">
        <f aca="false">IF('HC by Program-Term'!$Y18="","—",SUMIFS('Program LTR Retention'!J$177:J$194,'Program LTR Retention'!$A$177:$A$194,"202220"))</f>
        <v>20</v>
      </c>
      <c r="L18" s="167" t="n">
        <f aca="false">IF('HC by Program-Term'!$Y18="","—",SUMIFS('Program LTR Retention'!K$177:K$194,'Program LTR Retention'!$A$177:$A$194,"202230"))</f>
        <v>23</v>
      </c>
      <c r="M18" s="167" t="n">
        <f aca="false">IF('HC by Program-Term'!$Y18="","—",SUMIFS('Program LTR Retention'!L$177:L$194,'Program LTR Retention'!$A$177:$A$194,"202310"))</f>
        <v>30</v>
      </c>
      <c r="N18" s="167" t="n">
        <f aca="false">IF('HC by Program-Term'!$Y18="","—",SUMIFS('Program LTR Retention'!M$177:M$194,'Program LTR Retention'!$A$177:$A$194,"202320"))</f>
        <v>18</v>
      </c>
      <c r="O18" s="167" t="n">
        <f aca="false">IF('HC by Program-Term'!$Y18="","—",SUMIFS('Program LTR Retention'!N$177:N$194,'Program LTR Retention'!$A$177:$A$194,"202330"))</f>
        <v>18</v>
      </c>
      <c r="P18" s="167" t="n">
        <f aca="false">IF('HC by Program-Term'!$Y18="","—",SUMIFS('Program LTR Retention'!O$177:O$194,'Program LTR Retention'!$A$177:$A$194,"202410"))</f>
        <v>16</v>
      </c>
      <c r="Q18" s="167" t="n">
        <f aca="false">IF('HC by Program-Term'!$Y18="","—",SUMIFS('Program LTR Retention'!P$177:P$194,'Program LTR Retention'!$A$177:$A$194,"202420"))</f>
        <v>21</v>
      </c>
      <c r="R18" s="167" t="n">
        <f aca="false">IF('HC by Program-Term'!$Y18="","—",SUMIFS('Program LTR Retention'!Q$177:Q$194,'Program LTR Retention'!$A$177:$A$194,"202430"))</f>
        <v>0</v>
      </c>
      <c r="S18" s="167" t="n">
        <f aca="false">IF('HC by Program-Term'!$Y18="","—",SUMIFS('Program LTR Retention'!R$177:R$194,'Program LTR Retention'!$A$177:$A$194,"202510"))</f>
        <v>36</v>
      </c>
      <c r="T18" s="167" t="n">
        <f aca="false">IF('HC by Program-Term'!$Y18="","—",SUMIFS('Program LTR Retention'!S$177:S$194,'Program LTR Retention'!$A$177:$A$194,"202520"))</f>
        <v>43</v>
      </c>
      <c r="U18" s="167" t="n">
        <f aca="false">IF('HC by Program-Term'!$Y18="","—",SUMIFS('Program LTR Retention'!T$177:T$194,'Program LTR Retention'!$A$177:$A$194,"202530"))</f>
        <v>10</v>
      </c>
      <c r="V18" s="167" t="n">
        <f aca="false">IF('HC by Program-Term'!$Y18="","—",SUMIFS('Program LTR Retention'!U$177:U$194,'Program LTR Retention'!$A$177:$A$194,"202610"))</f>
        <v>51</v>
      </c>
      <c r="W18" s="168"/>
      <c r="X18" s="167" t="n">
        <f aca="false">IF('HC by Program-Term'!$Y18="","—",'HC by Program-Term'!C18-C18)</f>
        <v>0</v>
      </c>
      <c r="Y18" s="167" t="n">
        <f aca="false">IF('HC by Program-Term'!$Y18="","—",'HC by Program-Term'!D18-D18)</f>
        <v>0</v>
      </c>
      <c r="Z18" s="167" t="n">
        <f aca="false">IF('HC by Program-Term'!$Y18="","—",'HC by Program-Term'!E18-E18)</f>
        <v>0</v>
      </c>
      <c r="AA18" s="167" t="n">
        <f aca="false">IF('HC by Program-Term'!$Y18="","—",'HC by Program-Term'!F18-F18)</f>
        <v>0</v>
      </c>
      <c r="AB18" s="167" t="n">
        <f aca="false">IF('HC by Program-Term'!$Y18="","—",'HC by Program-Term'!G18-G18)</f>
        <v>0</v>
      </c>
      <c r="AC18" s="167" t="n">
        <f aca="false">IF('HC by Program-Term'!$Y18="","—",'HC by Program-Term'!H18-H18)</f>
        <v>23</v>
      </c>
      <c r="AD18" s="167" t="n">
        <f aca="false">IF('HC by Program-Term'!$Y18="","—",'HC by Program-Term'!I18-I18)</f>
        <v>57</v>
      </c>
      <c r="AE18" s="167" t="n">
        <f aca="false">IF('HC by Program-Term'!$Y18="","—",'HC by Program-Term'!J18-J18)</f>
        <v>75</v>
      </c>
      <c r="AF18" s="167" t="n">
        <f aca="false">IF('HC by Program-Term'!$Y18="","—",'HC by Program-Term'!K18-K18)</f>
        <v>111</v>
      </c>
      <c r="AG18" s="167" t="n">
        <f aca="false">IF('HC by Program-Term'!$Y18="","—",'HC by Program-Term'!L18-L18)</f>
        <v>113</v>
      </c>
      <c r="AH18" s="167" t="n">
        <f aca="false">IF('HC by Program-Term'!$Y18="","—",'HC by Program-Term'!M18-M18)</f>
        <v>139</v>
      </c>
      <c r="AI18" s="167" t="n">
        <f aca="false">IF('HC by Program-Term'!$Y18="","—",'HC by Program-Term'!N18-N18)</f>
        <v>158</v>
      </c>
      <c r="AJ18" s="167" t="n">
        <f aca="false">IF('HC by Program-Term'!$Y18="","—",'HC by Program-Term'!O18-O18)</f>
        <v>158</v>
      </c>
      <c r="AK18" s="167" t="n">
        <f aca="false">IF('HC by Program-Term'!$Y18="","—",'HC by Program-Term'!P18-P18)</f>
        <v>145</v>
      </c>
      <c r="AL18" s="167" t="n">
        <f aca="false">IF('HC by Program-Term'!$Y18="","—",'HC by Program-Term'!Q18-Q18)</f>
        <v>144</v>
      </c>
      <c r="AM18" s="167" t="n">
        <f aca="false">IF('HC by Program-Term'!$Y18="","—",'HC by Program-Term'!R18-R18)</f>
        <v>131</v>
      </c>
      <c r="AN18" s="167" t="n">
        <f aca="false">IF('HC by Program-Term'!$Y18="","—",'HC by Program-Term'!S18-S18)</f>
        <v>115</v>
      </c>
      <c r="AO18" s="167" t="n">
        <f aca="false">IF('HC by Program-Term'!$Y18="","—",'HC by Program-Term'!T18-T18)</f>
        <v>127</v>
      </c>
      <c r="AP18" s="167" t="n">
        <f aca="false">IF('HC by Program-Term'!$Y18="","—",'HC by Program-Term'!U18-U18)</f>
        <v>126</v>
      </c>
      <c r="AQ18" s="167" t="n">
        <f aca="false">IF('HC by Program-Term'!$Y18="","—",'HC by Program-Term'!V18-V18)</f>
        <v>123</v>
      </c>
      <c r="AR18" s="168"/>
      <c r="AS18" s="151" t="n">
        <f aca="false">IF('HC by Program-Term'!$Y18="","—",SUM(C18:V18))</f>
        <v>435</v>
      </c>
      <c r="AT18" s="151" t="n">
        <f aca="false">IF('HC by Program-Term'!$Y18="","—",SUM(X18:AQ18))</f>
        <v>1745</v>
      </c>
    </row>
    <row r="19" customFormat="false" ht="15" hidden="false" customHeight="true" outlineLevel="0" collapsed="false">
      <c r="A19" s="162" t="str">
        <f aca="false">'Program List'!A14</f>
        <v>M246</v>
      </c>
      <c r="B19" s="163" t="str">
        <f aca="false">'Program List'!B14</f>
        <v>Master of Construction Business</v>
      </c>
      <c r="C19" s="164" t="n">
        <f aca="false">IF('HC by Program-Term'!$Y19="","—",SUMIFS('Program LTR Retention'!B$196:B$209,'Program LTR Retention'!$A$196:$A$209,"201930"))</f>
        <v>0</v>
      </c>
      <c r="D19" s="164" t="n">
        <f aca="false">IF('HC by Program-Term'!$Y19="","—",SUMIFS('Program LTR Retention'!C$196:C$209,'Program LTR Retention'!$A$196:$A$209,"202010"))</f>
        <v>0</v>
      </c>
      <c r="E19" s="164" t="n">
        <f aca="false">IF('HC by Program-Term'!$Y19="","—",SUMIFS('Program LTR Retention'!D$196:D$209,'Program LTR Retention'!$A$196:$A$209,"202020"))</f>
        <v>0</v>
      </c>
      <c r="F19" s="164" t="n">
        <f aca="false">IF('HC by Program-Term'!$Y19="","—",SUMIFS('Program LTR Retention'!E$196:E$209,'Program LTR Retention'!$A$196:$A$209,"202030"))</f>
        <v>0</v>
      </c>
      <c r="G19" s="164" t="n">
        <f aca="false">IF('HC by Program-Term'!$Y19="","—",SUMIFS('Program LTR Retention'!F$196:F$209,'Program LTR Retention'!$A$196:$A$209,"202110"))</f>
        <v>22</v>
      </c>
      <c r="H19" s="164" t="n">
        <f aca="false">IF('HC by Program-Term'!$Y19="","—",SUMIFS('Program LTR Retention'!G$196:G$209,'Program LTR Retention'!$A$196:$A$209,"202120"))</f>
        <v>19</v>
      </c>
      <c r="I19" s="164" t="n">
        <f aca="false">IF('HC by Program-Term'!$Y19="","—",SUMIFS('Program LTR Retention'!H$196:H$209,'Program LTR Retention'!$A$196:$A$209,"202130"))</f>
        <v>0</v>
      </c>
      <c r="J19" s="164" t="n">
        <f aca="false">IF('HC by Program-Term'!$Y19="","—",SUMIFS('Program LTR Retention'!I$196:I$209,'Program LTR Retention'!$A$196:$A$209,"202210"))</f>
        <v>22</v>
      </c>
      <c r="K19" s="164" t="n">
        <f aca="false">IF('HC by Program-Term'!$Y19="","—",SUMIFS('Program LTR Retention'!J$196:J$209,'Program LTR Retention'!$A$196:$A$209,"202220"))</f>
        <v>18</v>
      </c>
      <c r="L19" s="164" t="n">
        <f aca="false">IF('HC by Program-Term'!$Y19="","—",SUMIFS('Program LTR Retention'!K$196:K$209,'Program LTR Retention'!$A$196:$A$209,"202230"))</f>
        <v>0</v>
      </c>
      <c r="M19" s="164" t="n">
        <f aca="false">IF('HC by Program-Term'!$Y19="","—",SUMIFS('Program LTR Retention'!L$196:L$209,'Program LTR Retention'!$A$196:$A$209,"202310"))</f>
        <v>23</v>
      </c>
      <c r="N19" s="164" t="n">
        <f aca="false">IF('HC by Program-Term'!$Y19="","—",SUMIFS('Program LTR Retention'!M$196:M$209,'Program LTR Retention'!$A$196:$A$209,"202320"))</f>
        <v>11</v>
      </c>
      <c r="O19" s="164" t="n">
        <f aca="false">IF('HC by Program-Term'!$Y19="","—",SUMIFS('Program LTR Retention'!N$196:N$209,'Program LTR Retention'!$A$196:$A$209,"202330"))</f>
        <v>0</v>
      </c>
      <c r="P19" s="164" t="n">
        <f aca="false">IF('HC by Program-Term'!$Y19="","—",SUMIFS('Program LTR Retention'!O$196:O$209,'Program LTR Retention'!$A$196:$A$209,"202410"))</f>
        <v>21</v>
      </c>
      <c r="Q19" s="164" t="n">
        <f aca="false">IF('HC by Program-Term'!$Y19="","—",SUMIFS('Program LTR Retention'!P$196:P$209,'Program LTR Retention'!$A$196:$A$209,"202420"))</f>
        <v>13</v>
      </c>
      <c r="R19" s="164" t="n">
        <f aca="false">IF('HC by Program-Term'!$Y19="","—",SUMIFS('Program LTR Retention'!Q$196:Q$209,'Program LTR Retention'!$A$196:$A$209,"202430"))</f>
        <v>0</v>
      </c>
      <c r="S19" s="164" t="n">
        <f aca="false">IF('HC by Program-Term'!$Y19="","—",SUMIFS('Program LTR Retention'!R$196:R$209,'Program LTR Retention'!$A$196:$A$209,"202510"))</f>
        <v>16</v>
      </c>
      <c r="T19" s="164" t="n">
        <f aca="false">IF('HC by Program-Term'!$Y19="","—",SUMIFS('Program LTR Retention'!S$196:S$209,'Program LTR Retention'!$A$196:$A$209,"202520"))</f>
        <v>13</v>
      </c>
      <c r="U19" s="164" t="n">
        <f aca="false">IF('HC by Program-Term'!$Y19="","—",SUMIFS('Program LTR Retention'!T$196:T$209,'Program LTR Retention'!$A$196:$A$209,"202530"))</f>
        <v>0</v>
      </c>
      <c r="V19" s="164" t="n">
        <f aca="false">IF('HC by Program-Term'!$Y19="","—",SUMIFS('Program LTR Retention'!U$196:U$209,'Program LTR Retention'!$A$196:$A$209,"202610"))</f>
        <v>14</v>
      </c>
      <c r="X19" s="164" t="n">
        <f aca="false">IF('HC by Program-Term'!$Y19="","—",'HC by Program-Term'!C19-C19)</f>
        <v>0</v>
      </c>
      <c r="Y19" s="164" t="n">
        <f aca="false">IF('HC by Program-Term'!$Y19="","—",'HC by Program-Term'!D19-D19)</f>
        <v>0</v>
      </c>
      <c r="Z19" s="164" t="n">
        <f aca="false">IF('HC by Program-Term'!$Y19="","—",'HC by Program-Term'!E19-E19)</f>
        <v>0</v>
      </c>
      <c r="AA19" s="164" t="n">
        <f aca="false">IF('HC by Program-Term'!$Y19="","—",'HC by Program-Term'!F19-F19)</f>
        <v>0</v>
      </c>
      <c r="AB19" s="164" t="n">
        <f aca="false">IF('HC by Program-Term'!$Y19="","—",'HC by Program-Term'!G19-G19)</f>
        <v>0</v>
      </c>
      <c r="AC19" s="164" t="n">
        <f aca="false">IF('HC by Program-Term'!$Y19="","—",'HC by Program-Term'!H19-H19)</f>
        <v>20</v>
      </c>
      <c r="AD19" s="164" t="n">
        <f aca="false">IF('HC by Program-Term'!$Y19="","—",'HC by Program-Term'!I19-I19)</f>
        <v>35</v>
      </c>
      <c r="AE19" s="164" t="n">
        <f aca="false">IF('HC by Program-Term'!$Y19="","—",'HC by Program-Term'!J19-J19)</f>
        <v>32</v>
      </c>
      <c r="AF19" s="164" t="n">
        <f aca="false">IF('HC by Program-Term'!$Y19="","—",'HC by Program-Term'!K19-K19)</f>
        <v>45</v>
      </c>
      <c r="AG19" s="164" t="n">
        <f aca="false">IF('HC by Program-Term'!$Y19="","—",'HC by Program-Term'!L19-L19)</f>
        <v>45</v>
      </c>
      <c r="AH19" s="164" t="n">
        <f aca="false">IF('HC by Program-Term'!$Y19="","—",'HC by Program-Term'!M19-M19)</f>
        <v>43</v>
      </c>
      <c r="AI19" s="164" t="n">
        <f aca="false">IF('HC by Program-Term'!$Y19="","—",'HC by Program-Term'!N19-N19)</f>
        <v>42</v>
      </c>
      <c r="AJ19" s="164" t="n">
        <f aca="false">IF('HC by Program-Term'!$Y19="","—",'HC by Program-Term'!O19-O19)</f>
        <v>36</v>
      </c>
      <c r="AK19" s="164" t="n">
        <f aca="false">IF('HC by Program-Term'!$Y19="","—",'HC by Program-Term'!P19-P19)</f>
        <v>37</v>
      </c>
      <c r="AL19" s="164" t="n">
        <f aca="false">IF('HC by Program-Term'!$Y19="","—",'HC by Program-Term'!Q19-Q19)</f>
        <v>41</v>
      </c>
      <c r="AM19" s="164" t="n">
        <f aca="false">IF('HC by Program-Term'!$Y19="","—",'HC by Program-Term'!R19-R19)</f>
        <v>40</v>
      </c>
      <c r="AN19" s="164" t="n">
        <f aca="false">IF('HC by Program-Term'!$Y19="","—",'HC by Program-Term'!S19-S19)</f>
        <v>39</v>
      </c>
      <c r="AO19" s="164" t="n">
        <f aca="false">IF('HC by Program-Term'!$Y19="","—",'HC by Program-Term'!T19-T19)</f>
        <v>37</v>
      </c>
      <c r="AP19" s="164" t="n">
        <f aca="false">IF('HC by Program-Term'!$Y19="","—",'HC by Program-Term'!U19-U19)</f>
        <v>27</v>
      </c>
      <c r="AQ19" s="164" t="n">
        <f aca="false">IF('HC by Program-Term'!$Y19="","—",'HC by Program-Term'!V19-V19)</f>
        <v>31</v>
      </c>
      <c r="AS19" s="147" t="n">
        <f aca="false">IF('HC by Program-Term'!$Y19="","—",SUM(C19:V19))</f>
        <v>192</v>
      </c>
      <c r="AT19" s="147" t="n">
        <f aca="false">IF('HC by Program-Term'!$Y19="","—",SUM(X19:AQ19))</f>
        <v>550</v>
      </c>
    </row>
    <row r="20" customFormat="false" ht="15" hidden="false" customHeight="true" outlineLevel="0" collapsed="false">
      <c r="A20" s="165" t="str">
        <f aca="false">'Program List'!A15</f>
        <v>M297</v>
      </c>
      <c r="B20" s="166" t="str">
        <f aca="false">'Program List'!B15</f>
        <v>Master of Econometrics</v>
      </c>
      <c r="C20" s="167" t="s">
        <v>282</v>
      </c>
      <c r="D20" s="167" t="s">
        <v>282</v>
      </c>
      <c r="E20" s="167" t="s">
        <v>282</v>
      </c>
      <c r="F20" s="167" t="s">
        <v>282</v>
      </c>
      <c r="G20" s="167" t="s">
        <v>282</v>
      </c>
      <c r="H20" s="167" t="s">
        <v>282</v>
      </c>
      <c r="I20" s="167" t="s">
        <v>282</v>
      </c>
      <c r="J20" s="167" t="s">
        <v>282</v>
      </c>
      <c r="K20" s="167" t="s">
        <v>282</v>
      </c>
      <c r="L20" s="167" t="s">
        <v>282</v>
      </c>
      <c r="M20" s="167" t="s">
        <v>282</v>
      </c>
      <c r="N20" s="167" t="s">
        <v>282</v>
      </c>
      <c r="O20" s="167" t="s">
        <v>282</v>
      </c>
      <c r="P20" s="167" t="s">
        <v>282</v>
      </c>
      <c r="Q20" s="167" t="s">
        <v>282</v>
      </c>
      <c r="R20" s="167" t="s">
        <v>282</v>
      </c>
      <c r="S20" s="167" t="s">
        <v>282</v>
      </c>
      <c r="T20" s="167" t="s">
        <v>282</v>
      </c>
      <c r="U20" s="167" t="s">
        <v>282</v>
      </c>
      <c r="V20" s="167" t="s">
        <v>282</v>
      </c>
      <c r="W20" s="168"/>
      <c r="X20" s="167" t="s">
        <v>282</v>
      </c>
      <c r="Y20" s="167" t="s">
        <v>282</v>
      </c>
      <c r="Z20" s="167" t="s">
        <v>282</v>
      </c>
      <c r="AA20" s="167" t="s">
        <v>282</v>
      </c>
      <c r="AB20" s="167" t="s">
        <v>282</v>
      </c>
      <c r="AC20" s="167" t="s">
        <v>282</v>
      </c>
      <c r="AD20" s="167" t="s">
        <v>282</v>
      </c>
      <c r="AE20" s="167" t="s">
        <v>282</v>
      </c>
      <c r="AF20" s="167" t="s">
        <v>282</v>
      </c>
      <c r="AG20" s="167" t="s">
        <v>282</v>
      </c>
      <c r="AH20" s="167" t="s">
        <v>282</v>
      </c>
      <c r="AI20" s="167" t="s">
        <v>282</v>
      </c>
      <c r="AJ20" s="167" t="s">
        <v>282</v>
      </c>
      <c r="AK20" s="167" t="s">
        <v>282</v>
      </c>
      <c r="AL20" s="167" t="s">
        <v>282</v>
      </c>
      <c r="AM20" s="167" t="s">
        <v>282</v>
      </c>
      <c r="AN20" s="167" t="s">
        <v>282</v>
      </c>
      <c r="AO20" s="167" t="s">
        <v>282</v>
      </c>
      <c r="AP20" s="167" t="s">
        <v>282</v>
      </c>
      <c r="AQ20" s="167" t="s">
        <v>282</v>
      </c>
      <c r="AR20" s="168"/>
      <c r="AS20" s="151" t="str">
        <f aca="false">IF('HC by Program-Term'!$Y20="","—",SUM(C20:V20))</f>
        <v>—</v>
      </c>
      <c r="AT20" s="151" t="str">
        <f aca="false">IF('HC by Program-Term'!$Y20="","—",SUM(X20:AQ20))</f>
        <v>—</v>
      </c>
    </row>
    <row r="21" customFormat="false" ht="15" hidden="false" customHeight="true" outlineLevel="0" collapsed="false">
      <c r="A21" s="162" t="str">
        <f aca="false">'Program List'!A16</f>
        <v>M383</v>
      </c>
      <c r="B21" s="163" t="str">
        <f aca="false">'Program List'!B16</f>
        <v>Master of Entrepreneurship &amp; Innovation</v>
      </c>
      <c r="C21" s="164" t="s">
        <v>282</v>
      </c>
      <c r="D21" s="164" t="s">
        <v>282</v>
      </c>
      <c r="E21" s="164" t="s">
        <v>282</v>
      </c>
      <c r="F21" s="164" t="s">
        <v>282</v>
      </c>
      <c r="G21" s="164" t="s">
        <v>282</v>
      </c>
      <c r="H21" s="164" t="s">
        <v>282</v>
      </c>
      <c r="I21" s="164" t="s">
        <v>282</v>
      </c>
      <c r="J21" s="164" t="s">
        <v>282</v>
      </c>
      <c r="K21" s="164" t="s">
        <v>282</v>
      </c>
      <c r="L21" s="164" t="s">
        <v>282</v>
      </c>
      <c r="M21" s="164" t="s">
        <v>282</v>
      </c>
      <c r="N21" s="164" t="s">
        <v>282</v>
      </c>
      <c r="O21" s="164" t="s">
        <v>282</v>
      </c>
      <c r="P21" s="164" t="s">
        <v>282</v>
      </c>
      <c r="Q21" s="164" t="s">
        <v>282</v>
      </c>
      <c r="R21" s="164" t="s">
        <v>282</v>
      </c>
      <c r="S21" s="164" t="s">
        <v>282</v>
      </c>
      <c r="T21" s="164" t="s">
        <v>282</v>
      </c>
      <c r="U21" s="164" t="s">
        <v>282</v>
      </c>
      <c r="V21" s="164" t="s">
        <v>282</v>
      </c>
      <c r="X21" s="164" t="s">
        <v>282</v>
      </c>
      <c r="Y21" s="164" t="s">
        <v>282</v>
      </c>
      <c r="Z21" s="164" t="s">
        <v>282</v>
      </c>
      <c r="AA21" s="164" t="s">
        <v>282</v>
      </c>
      <c r="AB21" s="164" t="s">
        <v>282</v>
      </c>
      <c r="AC21" s="164" t="s">
        <v>282</v>
      </c>
      <c r="AD21" s="164" t="s">
        <v>282</v>
      </c>
      <c r="AE21" s="164" t="s">
        <v>282</v>
      </c>
      <c r="AF21" s="164" t="s">
        <v>282</v>
      </c>
      <c r="AG21" s="164" t="s">
        <v>282</v>
      </c>
      <c r="AH21" s="164" t="s">
        <v>282</v>
      </c>
      <c r="AI21" s="164" t="s">
        <v>282</v>
      </c>
      <c r="AJ21" s="164" t="s">
        <v>282</v>
      </c>
      <c r="AK21" s="164" t="s">
        <v>282</v>
      </c>
      <c r="AL21" s="164" t="s">
        <v>282</v>
      </c>
      <c r="AM21" s="164" t="s">
        <v>282</v>
      </c>
      <c r="AN21" s="164" t="s">
        <v>282</v>
      </c>
      <c r="AO21" s="164" t="s">
        <v>282</v>
      </c>
      <c r="AP21" s="164" t="s">
        <v>282</v>
      </c>
      <c r="AQ21" s="164" t="s">
        <v>282</v>
      </c>
      <c r="AS21" s="147" t="str">
        <f aca="false">IF('HC by Program-Term'!$Y21="","—",SUM(C21:V21))</f>
        <v>—</v>
      </c>
      <c r="AT21" s="147" t="str">
        <f aca="false">IF('HC by Program-Term'!$Y21="","—",SUM(X21:AQ21))</f>
        <v>—</v>
      </c>
    </row>
    <row r="22" customFormat="false" ht="15" hidden="false" customHeight="true" outlineLevel="0" collapsed="false">
      <c r="A22" s="165" t="str">
        <f aca="false">'Program List'!A17</f>
        <v>M518</v>
      </c>
      <c r="B22" s="166" t="str">
        <f aca="false">'Program List'!B17</f>
        <v>Master of Environmental Science: Hydrology and Water Security</v>
      </c>
      <c r="C22" s="167" t="n">
        <f aca="false">IF('HC by Program-Term'!$Y22="","—",SUMIFS('Program LTR Retention'!B$217:B$235,'Program LTR Retention'!$A$217:$A$235,"201930"))</f>
        <v>0</v>
      </c>
      <c r="D22" s="167" t="n">
        <f aca="false">IF('HC by Program-Term'!$Y22="","—",SUMIFS('Program LTR Retention'!C$217:C$235,'Program LTR Retention'!$A$217:$A$235,"202010"))</f>
        <v>53</v>
      </c>
      <c r="E22" s="167" t="n">
        <f aca="false">IF('HC by Program-Term'!$Y22="","—",SUMIFS('Program LTR Retention'!D$217:D$235,'Program LTR Retention'!$A$217:$A$235,"202020"))</f>
        <v>44</v>
      </c>
      <c r="F22" s="167" t="n">
        <f aca="false">IF('HC by Program-Term'!$Y22="","—",SUMIFS('Program LTR Retention'!E$217:E$235,'Program LTR Retention'!$A$217:$A$235,"202030"))</f>
        <v>2</v>
      </c>
      <c r="G22" s="167" t="n">
        <f aca="false">IF('HC by Program-Term'!$Y22="","—",SUMIFS('Program LTR Retention'!F$217:F$235,'Program LTR Retention'!$A$217:$A$235,"202110"))</f>
        <v>38</v>
      </c>
      <c r="H22" s="167" t="n">
        <f aca="false">IF('HC by Program-Term'!$Y22="","—",SUMIFS('Program LTR Retention'!G$217:G$235,'Program LTR Retention'!$A$217:$A$235,"202120"))</f>
        <v>18</v>
      </c>
      <c r="I22" s="167" t="n">
        <f aca="false">IF('HC by Program-Term'!$Y22="","—",SUMIFS('Program LTR Retention'!H$217:H$235,'Program LTR Retention'!$A$217:$A$235,"202130"))</f>
        <v>4</v>
      </c>
      <c r="J22" s="167" t="n">
        <f aca="false">IF('HC by Program-Term'!$Y22="","—",SUMIFS('Program LTR Retention'!I$217:I$235,'Program LTR Retention'!$A$217:$A$235,"202210"))</f>
        <v>19</v>
      </c>
      <c r="K22" s="167" t="n">
        <f aca="false">IF('HC by Program-Term'!$Y22="","—",SUMIFS('Program LTR Retention'!J$217:J$235,'Program LTR Retention'!$A$217:$A$235,"202220"))</f>
        <v>21</v>
      </c>
      <c r="L22" s="167" t="n">
        <f aca="false">IF('HC by Program-Term'!$Y22="","—",SUMIFS('Program LTR Retention'!K$217:K$235,'Program LTR Retention'!$A$217:$A$235,"202230"))</f>
        <v>7</v>
      </c>
      <c r="M22" s="167" t="n">
        <f aca="false">IF('HC by Program-Term'!$Y22="","—",SUMIFS('Program LTR Retention'!L$217:L$235,'Program LTR Retention'!$A$217:$A$235,"202310"))</f>
        <v>28</v>
      </c>
      <c r="N22" s="167" t="n">
        <f aca="false">IF('HC by Program-Term'!$Y22="","—",SUMIFS('Program LTR Retention'!M$217:M$235,'Program LTR Retention'!$A$217:$A$235,"202320"))</f>
        <v>20</v>
      </c>
      <c r="O22" s="167" t="n">
        <f aca="false">IF('HC by Program-Term'!$Y22="","—",SUMIFS('Program LTR Retention'!N$217:N$235,'Program LTR Retention'!$A$217:$A$235,"202330"))</f>
        <v>0</v>
      </c>
      <c r="P22" s="167" t="n">
        <f aca="false">IF('HC by Program-Term'!$Y22="","—",SUMIFS('Program LTR Retention'!O$217:O$235,'Program LTR Retention'!$A$217:$A$235,"202410"))</f>
        <v>33</v>
      </c>
      <c r="Q22" s="167" t="n">
        <f aca="false">IF('HC by Program-Term'!$Y22="","—",SUMIFS('Program LTR Retention'!P$217:P$235,'Program LTR Retention'!$A$217:$A$235,"202420"))</f>
        <v>22</v>
      </c>
      <c r="R22" s="167" t="n">
        <f aca="false">IF('HC by Program-Term'!$Y22="","—",SUMIFS('Program LTR Retention'!Q$217:Q$235,'Program LTR Retention'!$A$217:$A$235,"202430"))</f>
        <v>0</v>
      </c>
      <c r="S22" s="167" t="n">
        <f aca="false">IF('HC by Program-Term'!$Y22="","—",SUMIFS('Program LTR Retention'!R$217:R$235,'Program LTR Retention'!$A$217:$A$235,"202510"))</f>
        <v>39</v>
      </c>
      <c r="T22" s="167" t="n">
        <f aca="false">IF('HC by Program-Term'!$Y22="","—",SUMIFS('Program LTR Retention'!S$217:S$235,'Program LTR Retention'!$A$217:$A$235,"202520"))</f>
        <v>18</v>
      </c>
      <c r="U22" s="167" t="n">
        <f aca="false">IF('HC by Program-Term'!$Y22="","—",SUMIFS('Program LTR Retention'!T$217:T$235,'Program LTR Retention'!$A$217:$A$235,"202530"))</f>
        <v>0</v>
      </c>
      <c r="V22" s="167" t="n">
        <f aca="false">IF('HC by Program-Term'!$Y22="","—",SUMIFS('Program LTR Retention'!U$217:U$235,'Program LTR Retention'!$A$217:$A$235,"202610"))</f>
        <v>32</v>
      </c>
      <c r="W22" s="168"/>
      <c r="X22" s="167" t="n">
        <f aca="false">IF('HC by Program-Term'!$Y22="","—",'HC by Program-Term'!C22-C22)</f>
        <v>0</v>
      </c>
      <c r="Y22" s="167" t="n">
        <f aca="false">IF('HC by Program-Term'!$Y22="","—",'HC by Program-Term'!D22-D22)</f>
        <v>0</v>
      </c>
      <c r="Z22" s="167" t="n">
        <f aca="false">IF('HC by Program-Term'!$Y22="","—",'HC by Program-Term'!E22-E22)</f>
        <v>40</v>
      </c>
      <c r="AA22" s="167" t="n">
        <f aca="false">IF('HC by Program-Term'!$Y22="","—",'HC by Program-Term'!F22-F22)</f>
        <v>75</v>
      </c>
      <c r="AB22" s="167" t="n">
        <f aca="false">IF('HC by Program-Term'!$Y22="","—",'HC by Program-Term'!G22-G22)</f>
        <v>77</v>
      </c>
      <c r="AC22" s="167" t="n">
        <f aca="false">IF('HC by Program-Term'!$Y22="","—",'HC by Program-Term'!H22-H22)</f>
        <v>104</v>
      </c>
      <c r="AD22" s="167" t="n">
        <f aca="false">IF('HC by Program-Term'!$Y22="","—",'HC by Program-Term'!I22-I22)</f>
        <v>80</v>
      </c>
      <c r="AE22" s="167" t="n">
        <f aca="false">IF('HC by Program-Term'!$Y22="","—",'HC by Program-Term'!J22-J22)</f>
        <v>57</v>
      </c>
      <c r="AF22" s="167" t="n">
        <f aca="false">IF('HC by Program-Term'!$Y22="","—",'HC by Program-Term'!K22-K22)</f>
        <v>70</v>
      </c>
      <c r="AG22" s="167" t="n">
        <f aca="false">IF('HC by Program-Term'!$Y22="","—",'HC by Program-Term'!L22-L22)</f>
        <v>44</v>
      </c>
      <c r="AH22" s="167" t="n">
        <f aca="false">IF('HC by Program-Term'!$Y22="","—",'HC by Program-Term'!M22-M22)</f>
        <v>47</v>
      </c>
      <c r="AI22" s="167" t="n">
        <f aca="false">IF('HC by Program-Term'!$Y22="","—",'HC by Program-Term'!N22-N22)</f>
        <v>76</v>
      </c>
      <c r="AJ22" s="167" t="n">
        <f aca="false">IF('HC by Program-Term'!$Y22="","—",'HC by Program-Term'!O22-O22)</f>
        <v>58</v>
      </c>
      <c r="AK22" s="167" t="n">
        <f aca="false">IF('HC by Program-Term'!$Y22="","—",'HC by Program-Term'!P22-P22)</f>
        <v>56</v>
      </c>
      <c r="AL22" s="167" t="n">
        <f aca="false">IF('HC by Program-Term'!$Y22="","—",'HC by Program-Term'!Q22-Q22)</f>
        <v>82</v>
      </c>
      <c r="AM22" s="167" t="n">
        <f aca="false">IF('HC by Program-Term'!$Y22="","—",'HC by Program-Term'!R22-R22)</f>
        <v>67</v>
      </c>
      <c r="AN22" s="167" t="n">
        <f aca="false">IF('HC by Program-Term'!$Y22="","—",'HC by Program-Term'!S22-S22)</f>
        <v>58</v>
      </c>
      <c r="AO22" s="167" t="n">
        <f aca="false">IF('HC by Program-Term'!$Y22="","—",'HC by Program-Term'!T22-T22)</f>
        <v>90</v>
      </c>
      <c r="AP22" s="167" t="n">
        <f aca="false">IF('HC by Program-Term'!$Y22="","—",'HC by Program-Term'!U22-U22)</f>
        <v>71</v>
      </c>
      <c r="AQ22" s="167" t="n">
        <f aca="false">IF('HC by Program-Term'!$Y22="","—",'HC by Program-Term'!V22-V22)</f>
        <v>62</v>
      </c>
      <c r="AR22" s="168"/>
      <c r="AS22" s="151" t="n">
        <f aca="false">IF('HC by Program-Term'!$Y22="","—",SUM(C22:V22))</f>
        <v>398</v>
      </c>
      <c r="AT22" s="151" t="n">
        <f aca="false">IF('HC by Program-Term'!$Y22="","—",SUM(X22:AQ22))</f>
        <v>1214</v>
      </c>
    </row>
    <row r="23" customFormat="false" ht="15" hidden="false" customHeight="true" outlineLevel="0" collapsed="false">
      <c r="A23" s="162" t="str">
        <f aca="false">'Program List'!A18</f>
        <v>M368</v>
      </c>
      <c r="B23" s="163" t="str">
        <f aca="false">'Program List'!B18</f>
        <v>Master of Legal Studies - Energy</v>
      </c>
      <c r="C23" s="164" t="n">
        <f aca="false">IF('HC by Program-Term'!$Y23="","—",SUMIFS('Program LTR Retention'!B$237:B$251,'Program LTR Retention'!$A$237:$A$251,"201930"))</f>
        <v>0</v>
      </c>
      <c r="D23" s="164" t="n">
        <f aca="false">IF('HC by Program-Term'!$Y23="","—",SUMIFS('Program LTR Retention'!C$237:C$251,'Program LTR Retention'!$A$237:$A$251,"202010"))</f>
        <v>0</v>
      </c>
      <c r="E23" s="164" t="n">
        <f aca="false">IF('HC by Program-Term'!$Y23="","—",SUMIFS('Program LTR Retention'!D$237:D$251,'Program LTR Retention'!$A$237:$A$251,"202020"))</f>
        <v>0</v>
      </c>
      <c r="F23" s="164" t="n">
        <f aca="false">IF('HC by Program-Term'!$Y23="","—",SUMIFS('Program LTR Retention'!E$237:E$251,'Program LTR Retention'!$A$237:$A$251,"202030"))</f>
        <v>10</v>
      </c>
      <c r="G23" s="164" t="n">
        <f aca="false">IF('HC by Program-Term'!$Y23="","—",SUMIFS('Program LTR Retention'!F$237:F$251,'Program LTR Retention'!$A$237:$A$251,"202110"))</f>
        <v>12</v>
      </c>
      <c r="H23" s="164" t="n">
        <f aca="false">IF('HC by Program-Term'!$Y23="","—",SUMIFS('Program LTR Retention'!G$237:G$251,'Program LTR Retention'!$A$237:$A$251,"202120"))</f>
        <v>13</v>
      </c>
      <c r="I23" s="164" t="n">
        <f aca="false">IF('HC by Program-Term'!$Y23="","—",SUMIFS('Program LTR Retention'!H$237:H$251,'Program LTR Retention'!$A$237:$A$251,"202130"))</f>
        <v>0</v>
      </c>
      <c r="J23" s="164" t="n">
        <f aca="false">IF('HC by Program-Term'!$Y23="","—",SUMIFS('Program LTR Retention'!I$237:I$251,'Program LTR Retention'!$A$237:$A$251,"202210"))</f>
        <v>17</v>
      </c>
      <c r="K23" s="164" t="n">
        <f aca="false">IF('HC by Program-Term'!$Y23="","—",SUMIFS('Program LTR Retention'!J$237:J$251,'Program LTR Retention'!$A$237:$A$251,"202220"))</f>
        <v>9</v>
      </c>
      <c r="L23" s="164" t="n">
        <f aca="false">IF('HC by Program-Term'!$Y23="","—",SUMIFS('Program LTR Retention'!K$237:K$251,'Program LTR Retention'!$A$237:$A$251,"202230"))</f>
        <v>0</v>
      </c>
      <c r="M23" s="164" t="n">
        <f aca="false">IF('HC by Program-Term'!$Y23="","—",SUMIFS('Program LTR Retention'!L$237:L$251,'Program LTR Retention'!$A$237:$A$251,"202310"))</f>
        <v>15</v>
      </c>
      <c r="N23" s="164" t="n">
        <f aca="false">IF('HC by Program-Term'!$Y23="","—",SUMIFS('Program LTR Retention'!M$237:M$251,'Program LTR Retention'!$A$237:$A$251,"202320"))</f>
        <v>6</v>
      </c>
      <c r="O23" s="164" t="n">
        <f aca="false">IF('HC by Program-Term'!$Y23="","—",SUMIFS('Program LTR Retention'!N$237:N$251,'Program LTR Retention'!$A$237:$A$251,"202330"))</f>
        <v>0</v>
      </c>
      <c r="P23" s="164" t="n">
        <f aca="false">IF('HC by Program-Term'!$Y23="","—",SUMIFS('Program LTR Retention'!O$237:O$251,'Program LTR Retention'!$A$237:$A$251,"202410"))</f>
        <v>9</v>
      </c>
      <c r="Q23" s="164" t="n">
        <f aca="false">IF('HC by Program-Term'!$Y23="","—",SUMIFS('Program LTR Retention'!P$237:P$251,'Program LTR Retention'!$A$237:$A$251,"202420"))</f>
        <v>8</v>
      </c>
      <c r="R23" s="164" t="n">
        <f aca="false">IF('HC by Program-Term'!$Y23="","—",SUMIFS('Program LTR Retention'!Q$237:Q$251,'Program LTR Retention'!$A$237:$A$251,"202430"))</f>
        <v>0</v>
      </c>
      <c r="S23" s="164" t="n">
        <f aca="false">IF('HC by Program-Term'!$Y23="","—",SUMIFS('Program LTR Retention'!R$237:R$251,'Program LTR Retention'!$A$237:$A$251,"202510"))</f>
        <v>9</v>
      </c>
      <c r="T23" s="164" t="n">
        <f aca="false">IF('HC by Program-Term'!$Y23="","—",SUMIFS('Program LTR Retention'!S$237:S$251,'Program LTR Retention'!$A$237:$A$251,"202520"))</f>
        <v>7</v>
      </c>
      <c r="U23" s="164" t="n">
        <f aca="false">IF('HC by Program-Term'!$Y23="","—",SUMIFS('Program LTR Retention'!T$237:T$251,'Program LTR Retention'!$A$237:$A$251,"202530"))</f>
        <v>0</v>
      </c>
      <c r="V23" s="164" t="n">
        <f aca="false">IF('HC by Program-Term'!$Y23="","—",SUMIFS('Program LTR Retention'!U$237:U$251,'Program LTR Retention'!$A$237:$A$251,"202610"))</f>
        <v>18</v>
      </c>
      <c r="X23" s="164" t="n">
        <f aca="false">IF('HC by Program-Term'!$Y23="","—",'HC by Program-Term'!C23-C23)</f>
        <v>0</v>
      </c>
      <c r="Y23" s="164" t="n">
        <f aca="false">IF('HC by Program-Term'!$Y23="","—",'HC by Program-Term'!D23-D23)</f>
        <v>0</v>
      </c>
      <c r="Z23" s="164" t="n">
        <f aca="false">IF('HC by Program-Term'!$Y23="","—",'HC by Program-Term'!E23-E23)</f>
        <v>0</v>
      </c>
      <c r="AA23" s="164" t="n">
        <f aca="false">IF('HC by Program-Term'!$Y23="","—",'HC by Program-Term'!F23-F23)</f>
        <v>0</v>
      </c>
      <c r="AB23" s="164" t="n">
        <f aca="false">IF('HC by Program-Term'!$Y23="","—",'HC by Program-Term'!G23-G23)</f>
        <v>10</v>
      </c>
      <c r="AC23" s="164" t="n">
        <f aca="false">IF('HC by Program-Term'!$Y23="","—",'HC by Program-Term'!H23-H23)</f>
        <v>18</v>
      </c>
      <c r="AD23" s="164" t="n">
        <f aca="false">IF('HC by Program-Term'!$Y23="","—",'HC by Program-Term'!I23-I23)</f>
        <v>23</v>
      </c>
      <c r="AE23" s="164" t="n">
        <f aca="false">IF('HC by Program-Term'!$Y23="","—",'HC by Program-Term'!J23-J23)</f>
        <v>17</v>
      </c>
      <c r="AF23" s="164" t="n">
        <f aca="false">IF('HC by Program-Term'!$Y23="","—",'HC by Program-Term'!K23-K23)</f>
        <v>22</v>
      </c>
      <c r="AG23" s="164" t="n">
        <f aca="false">IF('HC by Program-Term'!$Y23="","—",'HC by Program-Term'!L23-L23)</f>
        <v>20</v>
      </c>
      <c r="AH23" s="164" t="n">
        <f aca="false">IF('HC by Program-Term'!$Y23="","—",'HC by Program-Term'!M23-M23)</f>
        <v>19</v>
      </c>
      <c r="AI23" s="164" t="n">
        <f aca="false">IF('HC by Program-Term'!$Y23="","—",'HC by Program-Term'!N23-N23)</f>
        <v>18</v>
      </c>
      <c r="AJ23" s="164" t="n">
        <f aca="false">IF('HC by Program-Term'!$Y23="","—",'HC by Program-Term'!O23-O23)</f>
        <v>17</v>
      </c>
      <c r="AK23" s="164" t="n">
        <f aca="false">IF('HC by Program-Term'!$Y23="","—",'HC by Program-Term'!P23-P23)</f>
        <v>18</v>
      </c>
      <c r="AL23" s="164" t="n">
        <f aca="false">IF('HC by Program-Term'!$Y23="","—",'HC by Program-Term'!Q23-Q23)</f>
        <v>16</v>
      </c>
      <c r="AM23" s="164" t="n">
        <f aca="false">IF('HC by Program-Term'!$Y23="","—",'HC by Program-Term'!R23-R23)</f>
        <v>17</v>
      </c>
      <c r="AN23" s="164" t="n">
        <f aca="false">IF('HC by Program-Term'!$Y23="","—",'HC by Program-Term'!S23-S23)</f>
        <v>18</v>
      </c>
      <c r="AO23" s="164" t="n">
        <f aca="false">IF('HC by Program-Term'!$Y23="","—",'HC by Program-Term'!T23-T23)</f>
        <v>16</v>
      </c>
      <c r="AP23" s="164" t="n">
        <f aca="false">IF('HC by Program-Term'!$Y23="","—",'HC by Program-Term'!U23-U23)</f>
        <v>16</v>
      </c>
      <c r="AQ23" s="164" t="n">
        <f aca="false">IF('HC by Program-Term'!$Y23="","—",'HC by Program-Term'!V23-V23)</f>
        <v>18</v>
      </c>
      <c r="AS23" s="147" t="n">
        <f aca="false">IF('HC by Program-Term'!$Y23="","—",SUM(C23:V23))</f>
        <v>133</v>
      </c>
      <c r="AT23" s="147" t="n">
        <f aca="false">IF('HC by Program-Term'!$Y23="","—",SUM(X23:AQ23))</f>
        <v>283</v>
      </c>
    </row>
    <row r="24" customFormat="false" ht="15" hidden="false" customHeight="true" outlineLevel="0" collapsed="false">
      <c r="A24" s="165" t="str">
        <f aca="false">'Program List'!A19</f>
        <v>M636</v>
      </c>
      <c r="B24" s="166" t="str">
        <f aca="false">'Program List'!B19</f>
        <v>Master of Legal Studies - General</v>
      </c>
      <c r="C24" s="167" t="s">
        <v>282</v>
      </c>
      <c r="D24" s="167" t="s">
        <v>282</v>
      </c>
      <c r="E24" s="167" t="s">
        <v>282</v>
      </c>
      <c r="F24" s="167" t="s">
        <v>282</v>
      </c>
      <c r="G24" s="167" t="s">
        <v>282</v>
      </c>
      <c r="H24" s="167" t="s">
        <v>282</v>
      </c>
      <c r="I24" s="167" t="s">
        <v>282</v>
      </c>
      <c r="J24" s="167" t="s">
        <v>282</v>
      </c>
      <c r="K24" s="167" t="s">
        <v>282</v>
      </c>
      <c r="L24" s="167" t="s">
        <v>282</v>
      </c>
      <c r="M24" s="167" t="s">
        <v>282</v>
      </c>
      <c r="N24" s="167" t="s">
        <v>282</v>
      </c>
      <c r="O24" s="167" t="s">
        <v>282</v>
      </c>
      <c r="P24" s="167" t="s">
        <v>282</v>
      </c>
      <c r="Q24" s="167" t="s">
        <v>282</v>
      </c>
      <c r="R24" s="167" t="s">
        <v>282</v>
      </c>
      <c r="S24" s="167" t="s">
        <v>282</v>
      </c>
      <c r="T24" s="167" t="s">
        <v>282</v>
      </c>
      <c r="U24" s="167" t="s">
        <v>282</v>
      </c>
      <c r="V24" s="167" t="s">
        <v>282</v>
      </c>
      <c r="W24" s="168"/>
      <c r="X24" s="167" t="s">
        <v>282</v>
      </c>
      <c r="Y24" s="167" t="s">
        <v>282</v>
      </c>
      <c r="Z24" s="167" t="s">
        <v>282</v>
      </c>
      <c r="AA24" s="167" t="s">
        <v>282</v>
      </c>
      <c r="AB24" s="167" t="s">
        <v>282</v>
      </c>
      <c r="AC24" s="167" t="s">
        <v>282</v>
      </c>
      <c r="AD24" s="167" t="s">
        <v>282</v>
      </c>
      <c r="AE24" s="167" t="s">
        <v>282</v>
      </c>
      <c r="AF24" s="167" t="s">
        <v>282</v>
      </c>
      <c r="AG24" s="167" t="s">
        <v>282</v>
      </c>
      <c r="AH24" s="167" t="s">
        <v>282</v>
      </c>
      <c r="AI24" s="167" t="s">
        <v>282</v>
      </c>
      <c r="AJ24" s="167" t="s">
        <v>282</v>
      </c>
      <c r="AK24" s="167" t="s">
        <v>282</v>
      </c>
      <c r="AL24" s="167" t="s">
        <v>282</v>
      </c>
      <c r="AM24" s="167" t="s">
        <v>282</v>
      </c>
      <c r="AN24" s="167" t="s">
        <v>282</v>
      </c>
      <c r="AO24" s="167" t="s">
        <v>282</v>
      </c>
      <c r="AP24" s="167" t="s">
        <v>282</v>
      </c>
      <c r="AQ24" s="167" t="s">
        <v>282</v>
      </c>
      <c r="AR24" s="168"/>
      <c r="AS24" s="151" t="str">
        <f aca="false">IF('HC by Program-Term'!$Y24="","—",SUM(C24:V24))</f>
        <v>—</v>
      </c>
      <c r="AT24" s="151" t="str">
        <f aca="false">IF('HC by Program-Term'!$Y24="","—",SUM(X24:AQ24))</f>
        <v>—</v>
      </c>
    </row>
    <row r="25" customFormat="false" ht="15" hidden="false" customHeight="true" outlineLevel="0" collapsed="false">
      <c r="A25" s="162" t="str">
        <f aca="false">'Program List'!A20</f>
        <v>M503</v>
      </c>
      <c r="B25" s="163" t="str">
        <f aca="false">'Program List'!B20</f>
        <v>Master of Legal Studies - Healthcare Law</v>
      </c>
      <c r="C25" s="164" t="n">
        <f aca="false">IF('HC by Program-Term'!$Y25="","—",SUMIFS('Program LTR Retention'!B$256:B$278,'Program LTR Retention'!$A$256:$A$278,"201930"))</f>
        <v>31</v>
      </c>
      <c r="D25" s="164" t="n">
        <f aca="false">IF('HC by Program-Term'!$Y25="","—",SUMIFS('Program LTR Retention'!C$256:C$278,'Program LTR Retention'!$A$256:$A$278,"202010"))</f>
        <v>38</v>
      </c>
      <c r="E25" s="164" t="n">
        <f aca="false">IF('HC by Program-Term'!$Y25="","—",SUMIFS('Program LTR Retention'!D$256:D$278,'Program LTR Retention'!$A$256:$A$278,"202020"))</f>
        <v>38</v>
      </c>
      <c r="F25" s="164" t="n">
        <f aca="false">IF('HC by Program-Term'!$Y25="","—",SUMIFS('Program LTR Retention'!E$256:E$278,'Program LTR Retention'!$A$256:$A$278,"202030"))</f>
        <v>23</v>
      </c>
      <c r="G25" s="164" t="n">
        <f aca="false">IF('HC by Program-Term'!$Y25="","—",SUMIFS('Program LTR Retention'!F$256:F$278,'Program LTR Retention'!$A$256:$A$278,"202110"))</f>
        <v>42</v>
      </c>
      <c r="H25" s="164" t="n">
        <f aca="false">IF('HC by Program-Term'!$Y25="","—",SUMIFS('Program LTR Retention'!G$256:G$278,'Program LTR Retention'!$A$256:$A$278,"202120"))</f>
        <v>56</v>
      </c>
      <c r="I25" s="164" t="n">
        <f aca="false">IF('HC by Program-Term'!$Y25="","—",SUMIFS('Program LTR Retention'!H$256:H$278,'Program LTR Retention'!$A$256:$A$278,"202130"))</f>
        <v>28</v>
      </c>
      <c r="J25" s="164" t="n">
        <f aca="false">IF('HC by Program-Term'!$Y25="","—",SUMIFS('Program LTR Retention'!I$256:I$278,'Program LTR Retention'!$A$256:$A$278,"202210"))</f>
        <v>51</v>
      </c>
      <c r="K25" s="164" t="n">
        <f aca="false">IF('HC by Program-Term'!$Y25="","—",SUMIFS('Program LTR Retention'!J$256:J$278,'Program LTR Retention'!$A$256:$A$278,"202220"))</f>
        <v>35</v>
      </c>
      <c r="L25" s="164" t="n">
        <f aca="false">IF('HC by Program-Term'!$Y25="","—",SUMIFS('Program LTR Retention'!K$256:K$278,'Program LTR Retention'!$A$256:$A$278,"202230"))</f>
        <v>26</v>
      </c>
      <c r="M25" s="164" t="n">
        <f aca="false">IF('HC by Program-Term'!$Y25="","—",SUMIFS('Program LTR Retention'!L$256:L$278,'Program LTR Retention'!$A$256:$A$278,"202310"))</f>
        <v>36</v>
      </c>
      <c r="N25" s="164" t="n">
        <f aca="false">IF('HC by Program-Term'!$Y25="","—",SUMIFS('Program LTR Retention'!M$256:M$278,'Program LTR Retention'!$A$256:$A$278,"202320"))</f>
        <v>24</v>
      </c>
      <c r="O25" s="164" t="n">
        <f aca="false">IF('HC by Program-Term'!$Y25="","—",SUMIFS('Program LTR Retention'!N$256:N$278,'Program LTR Retention'!$A$256:$A$278,"202330"))</f>
        <v>14</v>
      </c>
      <c r="P25" s="164" t="n">
        <f aca="false">IF('HC by Program-Term'!$Y25="","—",SUMIFS('Program LTR Retention'!O$256:O$278,'Program LTR Retention'!$A$256:$A$278,"202410"))</f>
        <v>27</v>
      </c>
      <c r="Q25" s="164" t="n">
        <f aca="false">IF('HC by Program-Term'!$Y25="","—",SUMIFS('Program LTR Retention'!P$256:P$278,'Program LTR Retention'!$A$256:$A$278,"202420"))</f>
        <v>17</v>
      </c>
      <c r="R25" s="164" t="n">
        <f aca="false">IF('HC by Program-Term'!$Y25="","—",SUMIFS('Program LTR Retention'!Q$256:Q$278,'Program LTR Retention'!$A$256:$A$278,"202430"))</f>
        <v>10</v>
      </c>
      <c r="S25" s="164" t="n">
        <f aca="false">IF('HC by Program-Term'!$Y25="","—",SUMIFS('Program LTR Retention'!R$256:R$278,'Program LTR Retention'!$A$256:$A$278,"202510"))</f>
        <v>28</v>
      </c>
      <c r="T25" s="164" t="n">
        <f aca="false">IF('HC by Program-Term'!$Y25="","—",SUMIFS('Program LTR Retention'!S$256:S$278,'Program LTR Retention'!$A$256:$A$278,"202520"))</f>
        <v>17</v>
      </c>
      <c r="U25" s="164" t="n">
        <f aca="false">IF('HC by Program-Term'!$Y25="","—",SUMIFS('Program LTR Retention'!T$256:T$278,'Program LTR Retention'!$A$256:$A$278,"202530"))</f>
        <v>19</v>
      </c>
      <c r="V25" s="164" t="n">
        <f aca="false">IF('HC by Program-Term'!$Y25="","—",SUMIFS('Program LTR Retention'!U$256:U$278,'Program LTR Retention'!$A$256:$A$278,"202610"))</f>
        <v>20</v>
      </c>
      <c r="X25" s="164" t="n">
        <f aca="false">IF('HC by Program-Term'!$Y25="","—",'HC by Program-Term'!C25-C25)</f>
        <v>0</v>
      </c>
      <c r="Y25" s="164" t="n">
        <f aca="false">IF('HC by Program-Term'!$Y25="","—",'HC by Program-Term'!D25-D25)</f>
        <v>27</v>
      </c>
      <c r="Z25" s="164" t="n">
        <f aca="false">IF('HC by Program-Term'!$Y25="","—",'HC by Program-Term'!E25-E25)</f>
        <v>59</v>
      </c>
      <c r="AA25" s="164" t="n">
        <f aca="false">IF('HC by Program-Term'!$Y25="","—",'HC by Program-Term'!F25-F25)</f>
        <v>79</v>
      </c>
      <c r="AB25" s="164" t="n">
        <f aca="false">IF('HC by Program-Term'!$Y25="","—",'HC by Program-Term'!G25-G25)</f>
        <v>81</v>
      </c>
      <c r="AC25" s="164" t="n">
        <f aca="false">IF('HC by Program-Term'!$Y25="","—",'HC by Program-Term'!H25-H25)</f>
        <v>88</v>
      </c>
      <c r="AD25" s="164" t="n">
        <f aca="false">IF('HC by Program-Term'!$Y25="","—",'HC by Program-Term'!I25-I25)</f>
        <v>99</v>
      </c>
      <c r="AE25" s="164" t="n">
        <f aca="false">IF('HC by Program-Term'!$Y25="","—",'HC by Program-Term'!J25-J25)</f>
        <v>109</v>
      </c>
      <c r="AF25" s="164" t="n">
        <f aca="false">IF('HC by Program-Term'!$Y25="","—",'HC by Program-Term'!K25-K25)</f>
        <v>121</v>
      </c>
      <c r="AG25" s="164" t="n">
        <f aca="false">IF('HC by Program-Term'!$Y25="","—",'HC by Program-Term'!L25-L25)</f>
        <v>94</v>
      </c>
      <c r="AH25" s="164" t="n">
        <f aca="false">IF('HC by Program-Term'!$Y25="","—",'HC by Program-Term'!M25-M25)</f>
        <v>94</v>
      </c>
      <c r="AI25" s="164" t="n">
        <f aca="false">IF('HC by Program-Term'!$Y25="","—",'HC by Program-Term'!N25-N25)</f>
        <v>91</v>
      </c>
      <c r="AJ25" s="164" t="n">
        <f aca="false">IF('HC by Program-Term'!$Y25="","—",'HC by Program-Term'!O25-O25)</f>
        <v>70</v>
      </c>
      <c r="AK25" s="164" t="n">
        <f aca="false">IF('HC by Program-Term'!$Y25="","—",'HC by Program-Term'!P25-P25)</f>
        <v>70</v>
      </c>
      <c r="AL25" s="164" t="n">
        <f aca="false">IF('HC by Program-Term'!$Y25="","—",'HC by Program-Term'!Q25-Q25)</f>
        <v>79</v>
      </c>
      <c r="AM25" s="164" t="n">
        <f aca="false">IF('HC by Program-Term'!$Y25="","—",'HC by Program-Term'!R25-R25)</f>
        <v>53</v>
      </c>
      <c r="AN25" s="164" t="n">
        <f aca="false">IF('HC by Program-Term'!$Y25="","—",'HC by Program-Term'!S25-S25)</f>
        <v>53</v>
      </c>
      <c r="AO25" s="164" t="n">
        <f aca="false">IF('HC by Program-Term'!$Y25="","—",'HC by Program-Term'!T25-T25)</f>
        <v>53</v>
      </c>
      <c r="AP25" s="164" t="n">
        <f aca="false">IF('HC by Program-Term'!$Y25="","—",'HC by Program-Term'!U25-U25)</f>
        <v>48</v>
      </c>
      <c r="AQ25" s="164" t="n">
        <f aca="false">IF('HC by Program-Term'!$Y25="","—",'HC by Program-Term'!V25-V25)</f>
        <v>61</v>
      </c>
      <c r="AS25" s="147" t="n">
        <f aca="false">IF('HC by Program-Term'!$Y25="","—",SUM(C25:V25))</f>
        <v>580</v>
      </c>
      <c r="AT25" s="147" t="n">
        <f aca="false">IF('HC by Program-Term'!$Y25="","—",SUM(X25:AQ25))</f>
        <v>1429</v>
      </c>
    </row>
    <row r="26" customFormat="false" ht="15" hidden="false" customHeight="true" outlineLevel="0" collapsed="false">
      <c r="A26" s="165" t="str">
        <f aca="false">'Program List'!A21</f>
        <v>M522</v>
      </c>
      <c r="B26" s="166" t="str">
        <f aca="false">'Program List'!B21</f>
        <v>Master of Legal Studies - Indigenous Peoples Law</v>
      </c>
      <c r="C26" s="167" t="n">
        <f aca="false">IF('HC by Program-Term'!$Y26="","—",SUMIFS('Program LTR Retention'!B$280:B$302,'Program LTR Retention'!$A$280:$A$302,"201930"))</f>
        <v>22</v>
      </c>
      <c r="D26" s="167" t="n">
        <f aca="false">IF('HC by Program-Term'!$Y26="","—",SUMIFS('Program LTR Retention'!C$280:C$302,'Program LTR Retention'!$A$280:$A$302,"202010"))</f>
        <v>61</v>
      </c>
      <c r="E26" s="167" t="n">
        <f aca="false">IF('HC by Program-Term'!$Y26="","—",SUMIFS('Program LTR Retention'!D$280:D$302,'Program LTR Retention'!$A$280:$A$302,"202020"))</f>
        <v>68</v>
      </c>
      <c r="F26" s="167" t="n">
        <f aca="false">IF('HC by Program-Term'!$Y26="","—",SUMIFS('Program LTR Retention'!E$280:E$302,'Program LTR Retention'!$A$280:$A$302,"202030"))</f>
        <v>32</v>
      </c>
      <c r="G26" s="167" t="n">
        <f aca="false">IF('HC by Program-Term'!$Y26="","—",SUMIFS('Program LTR Retention'!F$280:F$302,'Program LTR Retention'!$A$280:$A$302,"202110"))</f>
        <v>79</v>
      </c>
      <c r="H26" s="167" t="n">
        <f aca="false">IF('HC by Program-Term'!$Y26="","—",SUMIFS('Program LTR Retention'!G$280:G$302,'Program LTR Retention'!$A$280:$A$302,"202120"))</f>
        <v>53</v>
      </c>
      <c r="I26" s="167" t="n">
        <f aca="false">IF('HC by Program-Term'!$Y26="","—",SUMIFS('Program LTR Retention'!H$280:H$302,'Program LTR Retention'!$A$280:$A$302,"202130"))</f>
        <v>29</v>
      </c>
      <c r="J26" s="167" t="n">
        <f aca="false">IF('HC by Program-Term'!$Y26="","—",SUMIFS('Program LTR Retention'!I$280:I$302,'Program LTR Retention'!$A$280:$A$302,"202210"))</f>
        <v>53</v>
      </c>
      <c r="K26" s="167" t="n">
        <f aca="false">IF('HC by Program-Term'!$Y26="","—",SUMIFS('Program LTR Retention'!J$280:J$302,'Program LTR Retention'!$A$280:$A$302,"202220"))</f>
        <v>44</v>
      </c>
      <c r="L26" s="167" t="n">
        <f aca="false">IF('HC by Program-Term'!$Y26="","—",SUMIFS('Program LTR Retention'!K$280:K$302,'Program LTR Retention'!$A$280:$A$302,"202230"))</f>
        <v>20</v>
      </c>
      <c r="M26" s="167" t="n">
        <f aca="false">IF('HC by Program-Term'!$Y26="","—",SUMIFS('Program LTR Retention'!L$280:L$302,'Program LTR Retention'!$A$280:$A$302,"202310"))</f>
        <v>61</v>
      </c>
      <c r="N26" s="167" t="n">
        <f aca="false">IF('HC by Program-Term'!$Y26="","—",SUMIFS('Program LTR Retention'!M$280:M$302,'Program LTR Retention'!$A$280:$A$302,"202320"))</f>
        <v>44</v>
      </c>
      <c r="O26" s="167" t="n">
        <f aca="false">IF('HC by Program-Term'!$Y26="","—",SUMIFS('Program LTR Retention'!N$280:N$302,'Program LTR Retention'!$A$280:$A$302,"202330"))</f>
        <v>19</v>
      </c>
      <c r="P26" s="167" t="n">
        <f aca="false">IF('HC by Program-Term'!$Y26="","—",SUMIFS('Program LTR Retention'!O$280:O$302,'Program LTR Retention'!$A$280:$A$302,"202410"))</f>
        <v>46</v>
      </c>
      <c r="Q26" s="167" t="n">
        <f aca="false">IF('HC by Program-Term'!$Y26="","—",SUMIFS('Program LTR Retention'!P$280:P$302,'Program LTR Retention'!$A$280:$A$302,"202420"))</f>
        <v>30</v>
      </c>
      <c r="R26" s="167" t="n">
        <f aca="false">IF('HC by Program-Term'!$Y26="","—",SUMIFS('Program LTR Retention'!Q$280:Q$302,'Program LTR Retention'!$A$280:$A$302,"202430"))</f>
        <v>13</v>
      </c>
      <c r="S26" s="167" t="n">
        <f aca="false">IF('HC by Program-Term'!$Y26="","—",SUMIFS('Program LTR Retention'!R$280:R$302,'Program LTR Retention'!$A$280:$A$302,"202510"))</f>
        <v>34</v>
      </c>
      <c r="T26" s="167" t="n">
        <f aca="false">IF('HC by Program-Term'!$Y26="","—",SUMIFS('Program LTR Retention'!S$280:S$302,'Program LTR Retention'!$A$280:$A$302,"202520"))</f>
        <v>23</v>
      </c>
      <c r="U26" s="167" t="n">
        <f aca="false">IF('HC by Program-Term'!$Y26="","—",SUMIFS('Program LTR Retention'!T$280:T$302,'Program LTR Retention'!$A$280:$A$302,"202530"))</f>
        <v>13</v>
      </c>
      <c r="V26" s="167" t="n">
        <f aca="false">IF('HC by Program-Term'!$Y26="","—",SUMIFS('Program LTR Retention'!U$280:U$302,'Program LTR Retention'!$A$280:$A$302,"202610"))</f>
        <v>24</v>
      </c>
      <c r="W26" s="168"/>
      <c r="X26" s="167" t="n">
        <f aca="false">IF('HC by Program-Term'!$Y26="","—",'HC by Program-Term'!C26-C26)</f>
        <v>0</v>
      </c>
      <c r="Y26" s="167" t="n">
        <f aca="false">IF('HC by Program-Term'!$Y26="","—",'HC by Program-Term'!D26-D26)</f>
        <v>17</v>
      </c>
      <c r="Z26" s="167" t="n">
        <f aca="false">IF('HC by Program-Term'!$Y26="","—",'HC by Program-Term'!E26-E26)</f>
        <v>69</v>
      </c>
      <c r="AA26" s="167" t="n">
        <f aca="false">IF('HC by Program-Term'!$Y26="","—",'HC by Program-Term'!F26-F26)</f>
        <v>113</v>
      </c>
      <c r="AB26" s="167" t="n">
        <f aca="false">IF('HC by Program-Term'!$Y26="","—",'HC by Program-Term'!G26-G26)</f>
        <v>132</v>
      </c>
      <c r="AC26" s="167" t="n">
        <f aca="false">IF('HC by Program-Term'!$Y26="","—",'HC by Program-Term'!H26-H26)</f>
        <v>158</v>
      </c>
      <c r="AD26" s="167" t="n">
        <f aca="false">IF('HC by Program-Term'!$Y26="","—",'HC by Program-Term'!I26-I26)</f>
        <v>117</v>
      </c>
      <c r="AE26" s="167" t="n">
        <f aca="false">IF('HC by Program-Term'!$Y26="","—",'HC by Program-Term'!J26-J26)</f>
        <v>124</v>
      </c>
      <c r="AF26" s="167" t="n">
        <f aca="false">IF('HC by Program-Term'!$Y26="","—",'HC by Program-Term'!K26-K26)</f>
        <v>116</v>
      </c>
      <c r="AG26" s="167" t="n">
        <f aca="false">IF('HC by Program-Term'!$Y26="","—",'HC by Program-Term'!L26-L26)</f>
        <v>93</v>
      </c>
      <c r="AH26" s="167" t="n">
        <f aca="false">IF('HC by Program-Term'!$Y26="","—",'HC by Program-Term'!M26-M26)</f>
        <v>98</v>
      </c>
      <c r="AI26" s="167" t="n">
        <f aca="false">IF('HC by Program-Term'!$Y26="","—",'HC by Program-Term'!N26-N26)</f>
        <v>122</v>
      </c>
      <c r="AJ26" s="167" t="n">
        <f aca="false">IF('HC by Program-Term'!$Y26="","—",'HC by Program-Term'!O26-O26)</f>
        <v>97</v>
      </c>
      <c r="AK26" s="167" t="n">
        <f aca="false">IF('HC by Program-Term'!$Y26="","—",'HC by Program-Term'!P26-P26)</f>
        <v>95</v>
      </c>
      <c r="AL26" s="167" t="n">
        <f aca="false">IF('HC by Program-Term'!$Y26="","—",'HC by Program-Term'!Q26-Q26)</f>
        <v>92</v>
      </c>
      <c r="AM26" s="167" t="n">
        <f aca="false">IF('HC by Program-Term'!$Y26="","—",'HC by Program-Term'!R26-R26)</f>
        <v>79</v>
      </c>
      <c r="AN26" s="167" t="n">
        <f aca="false">IF('HC by Program-Term'!$Y26="","—",'HC by Program-Term'!S26-S26)</f>
        <v>93</v>
      </c>
      <c r="AO26" s="167" t="n">
        <f aca="false">IF('HC by Program-Term'!$Y26="","—",'HC by Program-Term'!T26-T26)</f>
        <v>84</v>
      </c>
      <c r="AP26" s="167" t="n">
        <f aca="false">IF('HC by Program-Term'!$Y26="","—",'HC by Program-Term'!U26-U26)</f>
        <v>59</v>
      </c>
      <c r="AQ26" s="167" t="n">
        <f aca="false">IF('HC by Program-Term'!$Y26="","—",'HC by Program-Term'!V26-V26)</f>
        <v>66</v>
      </c>
      <c r="AR26" s="168"/>
      <c r="AS26" s="151" t="n">
        <f aca="false">IF('HC by Program-Term'!$Y26="","—",SUM(C26:V26))</f>
        <v>768</v>
      </c>
      <c r="AT26" s="151" t="n">
        <f aca="false">IF('HC by Program-Term'!$Y26="","—",SUM(X26:AQ26))</f>
        <v>1824</v>
      </c>
    </row>
    <row r="27" customFormat="false" ht="15" hidden="false" customHeight="true" outlineLevel="0" collapsed="false">
      <c r="A27" s="162" t="str">
        <f aca="false">'Program List'!A22</f>
        <v>M589</v>
      </c>
      <c r="B27" s="163" t="str">
        <f aca="false">'Program List'!B22</f>
        <v>Master of Legal Studies - International Business</v>
      </c>
      <c r="C27" s="164" t="n">
        <f aca="false">IF('HC by Program-Term'!$Y27="","—",SUMIFS('Program LTR Retention'!B$304:B$317,'Program LTR Retention'!$A$304:$A$317,"201930"))</f>
        <v>0</v>
      </c>
      <c r="D27" s="164" t="n">
        <f aca="false">IF('HC by Program-Term'!$Y27="","—",SUMIFS('Program LTR Retention'!C$304:C$317,'Program LTR Retention'!$A$304:$A$317,"202010"))</f>
        <v>14</v>
      </c>
      <c r="E27" s="164" t="n">
        <f aca="false">IF('HC by Program-Term'!$Y27="","—",SUMIFS('Program LTR Retention'!D$304:D$317,'Program LTR Retention'!$A$304:$A$317,"202020"))</f>
        <v>14</v>
      </c>
      <c r="F27" s="164" t="n">
        <f aca="false">IF('HC by Program-Term'!$Y27="","—",SUMIFS('Program LTR Retention'!E$304:E$317,'Program LTR Retention'!$A$304:$A$317,"202030"))</f>
        <v>0</v>
      </c>
      <c r="G27" s="164" t="n">
        <f aca="false">IF('HC by Program-Term'!$Y27="","—",SUMIFS('Program LTR Retention'!F$304:F$317,'Program LTR Retention'!$A$304:$A$317,"202110"))</f>
        <v>11</v>
      </c>
      <c r="H27" s="164" t="n">
        <f aca="false">IF('HC by Program-Term'!$Y27="","—",SUMIFS('Program LTR Retention'!G$304:G$317,'Program LTR Retention'!$A$304:$A$317,"202120"))</f>
        <v>5</v>
      </c>
      <c r="I27" s="164" t="n">
        <f aca="false">IF('HC by Program-Term'!$Y27="","—",SUMIFS('Program LTR Retention'!H$304:H$317,'Program LTR Retention'!$A$304:$A$317,"202130"))</f>
        <v>0</v>
      </c>
      <c r="J27" s="164" t="n">
        <f aca="false">IF('HC by Program-Term'!$Y27="","—",SUMIFS('Program LTR Retention'!I$304:I$317,'Program LTR Retention'!$A$304:$A$317,"202210"))</f>
        <v>6</v>
      </c>
      <c r="K27" s="164" t="n">
        <f aca="false">IF('HC by Program-Term'!$Y27="","—",SUMIFS('Program LTR Retention'!J$304:J$317,'Program LTR Retention'!$A$304:$A$317,"202220"))</f>
        <v>4</v>
      </c>
      <c r="L27" s="164" t="n">
        <f aca="false">IF('HC by Program-Term'!$Y27="","—",SUMIFS('Program LTR Retention'!K$304:K$317,'Program LTR Retention'!$A$304:$A$317,"202230"))</f>
        <v>0</v>
      </c>
      <c r="M27" s="164" t="n">
        <f aca="false">IF('HC by Program-Term'!$Y27="","—",SUMIFS('Program LTR Retention'!L$304:L$317,'Program LTR Retention'!$A$304:$A$317,"202310"))</f>
        <v>8</v>
      </c>
      <c r="N27" s="164" t="n">
        <f aca="false">IF('HC by Program-Term'!$Y27="","—",SUMIFS('Program LTR Retention'!M$304:M$317,'Program LTR Retention'!$A$304:$A$317,"202320"))</f>
        <v>6</v>
      </c>
      <c r="O27" s="164" t="n">
        <f aca="false">IF('HC by Program-Term'!$Y27="","—",SUMIFS('Program LTR Retention'!N$304:N$317,'Program LTR Retention'!$A$304:$A$317,"202330"))</f>
        <v>0</v>
      </c>
      <c r="P27" s="164" t="n">
        <f aca="false">IF('HC by Program-Term'!$Y27="","—",SUMIFS('Program LTR Retention'!O$304:O$317,'Program LTR Retention'!$A$304:$A$317,"202410"))</f>
        <v>0</v>
      </c>
      <c r="Q27" s="164" t="n">
        <f aca="false">IF('HC by Program-Term'!$Y27="","—",SUMIFS('Program LTR Retention'!P$304:P$317,'Program LTR Retention'!$A$304:$A$317,"202420"))</f>
        <v>0</v>
      </c>
      <c r="R27" s="164" t="n">
        <f aca="false">IF('HC by Program-Term'!$Y27="","—",SUMIFS('Program LTR Retention'!Q$304:Q$317,'Program LTR Retention'!$A$304:$A$317,"202430"))</f>
        <v>0</v>
      </c>
      <c r="S27" s="164" t="n">
        <f aca="false">IF('HC by Program-Term'!$Y27="","—",SUMIFS('Program LTR Retention'!R$304:R$317,'Program LTR Retention'!$A$304:$A$317,"202510"))</f>
        <v>5</v>
      </c>
      <c r="T27" s="164" t="n">
        <f aca="false">IF('HC by Program-Term'!$Y27="","—",SUMIFS('Program LTR Retention'!S$304:S$317,'Program LTR Retention'!$A$304:$A$317,"202520"))</f>
        <v>2</v>
      </c>
      <c r="U27" s="164" t="n">
        <f aca="false">IF('HC by Program-Term'!$Y27="","—",SUMIFS('Program LTR Retention'!T$304:T$317,'Program LTR Retention'!$A$304:$A$317,"202530"))</f>
        <v>0</v>
      </c>
      <c r="V27" s="164" t="n">
        <f aca="false">IF('HC by Program-Term'!$Y27="","—",SUMIFS('Program LTR Retention'!U$304:U$317,'Program LTR Retention'!$A$304:$A$317,"202610"))</f>
        <v>5</v>
      </c>
      <c r="X27" s="164" t="n">
        <f aca="false">IF('HC by Program-Term'!$Y27="","—",'HC by Program-Term'!C27-C27)</f>
        <v>0</v>
      </c>
      <c r="Y27" s="164" t="n">
        <f aca="false">IF('HC by Program-Term'!$Y27="","—",'HC by Program-Term'!D27-D27)</f>
        <v>0</v>
      </c>
      <c r="Z27" s="164" t="n">
        <f aca="false">IF('HC by Program-Term'!$Y27="","—",'HC by Program-Term'!E27-E27)</f>
        <v>12</v>
      </c>
      <c r="AA27" s="164" t="n">
        <f aca="false">IF('HC by Program-Term'!$Y27="","—",'HC by Program-Term'!F27-F27)</f>
        <v>23</v>
      </c>
      <c r="AB27" s="164" t="n">
        <f aca="false">IF('HC by Program-Term'!$Y27="","—",'HC by Program-Term'!G27-G27)</f>
        <v>22</v>
      </c>
      <c r="AC27" s="164" t="n">
        <f aca="false">IF('HC by Program-Term'!$Y27="","—",'HC by Program-Term'!H27-H27)</f>
        <v>20</v>
      </c>
      <c r="AD27" s="164" t="n">
        <f aca="false">IF('HC by Program-Term'!$Y27="","—",'HC by Program-Term'!I27-I27)</f>
        <v>16</v>
      </c>
      <c r="AE27" s="164" t="n">
        <f aca="false">IF('HC by Program-Term'!$Y27="","—",'HC by Program-Term'!J27-J27)</f>
        <v>13</v>
      </c>
      <c r="AF27" s="164" t="n">
        <f aca="false">IF('HC by Program-Term'!$Y27="","—",'HC by Program-Term'!K27-K27)</f>
        <v>9</v>
      </c>
      <c r="AG27" s="164" t="n">
        <f aca="false">IF('HC by Program-Term'!$Y27="","—",'HC by Program-Term'!L27-L27)</f>
        <v>8</v>
      </c>
      <c r="AH27" s="164" t="n">
        <f aca="false">IF('HC by Program-Term'!$Y27="","—",'HC by Program-Term'!M27-M27)</f>
        <v>9</v>
      </c>
      <c r="AI27" s="164" t="n">
        <f aca="false">IF('HC by Program-Term'!$Y27="","—",'HC by Program-Term'!N27-N27)</f>
        <v>9</v>
      </c>
      <c r="AJ27" s="164" t="n">
        <f aca="false">IF('HC by Program-Term'!$Y27="","—",'HC by Program-Term'!O27-O27)</f>
        <v>9</v>
      </c>
      <c r="AK27" s="164" t="n">
        <f aca="false">IF('HC by Program-Term'!$Y27="","—",'HC by Program-Term'!P27-P27)</f>
        <v>10</v>
      </c>
      <c r="AL27" s="164" t="n">
        <f aca="false">IF('HC by Program-Term'!$Y27="","—",'HC by Program-Term'!Q27-Q27)</f>
        <v>6</v>
      </c>
      <c r="AM27" s="164" t="n">
        <f aca="false">IF('HC by Program-Term'!$Y27="","—",'HC by Program-Term'!R27-R27)</f>
        <v>2</v>
      </c>
      <c r="AN27" s="164" t="n">
        <f aca="false">IF('HC by Program-Term'!$Y27="","—",'HC by Program-Term'!S27-S27)</f>
        <v>2</v>
      </c>
      <c r="AO27" s="164" t="n">
        <f aca="false">IF('HC by Program-Term'!$Y27="","—",'HC by Program-Term'!T27-T27)</f>
        <v>5</v>
      </c>
      <c r="AP27" s="164" t="n">
        <f aca="false">IF('HC by Program-Term'!$Y27="","—",'HC by Program-Term'!U27-U27)</f>
        <v>6</v>
      </c>
      <c r="AQ27" s="164" t="n">
        <f aca="false">IF('HC by Program-Term'!$Y27="","—",'HC by Program-Term'!V27-V27)</f>
        <v>7</v>
      </c>
      <c r="AS27" s="147" t="n">
        <f aca="false">IF('HC by Program-Term'!$Y27="","—",SUM(C27:V27))</f>
        <v>80</v>
      </c>
      <c r="AT27" s="147" t="n">
        <f aca="false">IF('HC by Program-Term'!$Y27="","—",SUM(X27:AQ27))</f>
        <v>188</v>
      </c>
    </row>
    <row r="28" customFormat="false" ht="15" hidden="false" customHeight="true" outlineLevel="0" collapsed="false">
      <c r="A28" s="165" t="str">
        <f aca="false">'Program List'!A23</f>
        <v>M029</v>
      </c>
      <c r="B28" s="166" t="str">
        <f aca="false">'Program List'!B23</f>
        <v>Master of Science in Applied Computing</v>
      </c>
      <c r="C28" s="167" t="s">
        <v>282</v>
      </c>
      <c r="D28" s="167" t="s">
        <v>282</v>
      </c>
      <c r="E28" s="167" t="s">
        <v>282</v>
      </c>
      <c r="F28" s="167" t="s">
        <v>282</v>
      </c>
      <c r="G28" s="167" t="s">
        <v>282</v>
      </c>
      <c r="H28" s="167" t="s">
        <v>282</v>
      </c>
      <c r="I28" s="167" t="s">
        <v>282</v>
      </c>
      <c r="J28" s="167" t="s">
        <v>282</v>
      </c>
      <c r="K28" s="167" t="s">
        <v>282</v>
      </c>
      <c r="L28" s="167" t="s">
        <v>282</v>
      </c>
      <c r="M28" s="167" t="s">
        <v>282</v>
      </c>
      <c r="N28" s="167" t="s">
        <v>282</v>
      </c>
      <c r="O28" s="167" t="s">
        <v>282</v>
      </c>
      <c r="P28" s="167" t="s">
        <v>282</v>
      </c>
      <c r="Q28" s="167" t="s">
        <v>282</v>
      </c>
      <c r="R28" s="167" t="s">
        <v>282</v>
      </c>
      <c r="S28" s="167" t="s">
        <v>282</v>
      </c>
      <c r="T28" s="167" t="s">
        <v>282</v>
      </c>
      <c r="U28" s="167" t="s">
        <v>282</v>
      </c>
      <c r="V28" s="167" t="s">
        <v>282</v>
      </c>
      <c r="W28" s="168"/>
      <c r="X28" s="167" t="s">
        <v>282</v>
      </c>
      <c r="Y28" s="167" t="s">
        <v>282</v>
      </c>
      <c r="Z28" s="167" t="s">
        <v>282</v>
      </c>
      <c r="AA28" s="167" t="s">
        <v>282</v>
      </c>
      <c r="AB28" s="167" t="s">
        <v>282</v>
      </c>
      <c r="AC28" s="167" t="s">
        <v>282</v>
      </c>
      <c r="AD28" s="167" t="s">
        <v>282</v>
      </c>
      <c r="AE28" s="167" t="s">
        <v>282</v>
      </c>
      <c r="AF28" s="167" t="s">
        <v>282</v>
      </c>
      <c r="AG28" s="167" t="s">
        <v>282</v>
      </c>
      <c r="AH28" s="167" t="s">
        <v>282</v>
      </c>
      <c r="AI28" s="167" t="s">
        <v>282</v>
      </c>
      <c r="AJ28" s="167" t="s">
        <v>282</v>
      </c>
      <c r="AK28" s="167" t="s">
        <v>282</v>
      </c>
      <c r="AL28" s="167" t="s">
        <v>282</v>
      </c>
      <c r="AM28" s="167" t="s">
        <v>282</v>
      </c>
      <c r="AN28" s="167" t="s">
        <v>282</v>
      </c>
      <c r="AO28" s="167" t="s">
        <v>282</v>
      </c>
      <c r="AP28" s="167" t="s">
        <v>282</v>
      </c>
      <c r="AQ28" s="167" t="s">
        <v>282</v>
      </c>
      <c r="AR28" s="168"/>
      <c r="AS28" s="151" t="str">
        <f aca="false">IF('HC by Program-Term'!$Y28="","—",SUM(C28:V28))</f>
        <v>—</v>
      </c>
      <c r="AT28" s="151" t="str">
        <f aca="false">IF('HC by Program-Term'!$Y28="","—",SUM(X28:AQ28))</f>
        <v>—</v>
      </c>
    </row>
    <row r="29" customFormat="false" ht="15" hidden="false" customHeight="true" outlineLevel="0" collapsed="false">
      <c r="A29" s="162" t="str">
        <f aca="false">'Program List'!A24</f>
        <v>M035</v>
      </c>
      <c r="B29" s="163" t="str">
        <f aca="false">'Program List'!B24</f>
        <v>Master of Science in Applied Statistics</v>
      </c>
      <c r="C29" s="164" t="n">
        <f aca="false">IF('HC by Program-Term'!$Y29="","—",SUMIFS('Program LTR Retention'!B$322:B$333,'Program LTR Retention'!$A$322:$A$333,"201930"))</f>
        <v>0</v>
      </c>
      <c r="D29" s="164" t="n">
        <f aca="false">IF('HC by Program-Term'!$Y29="","—",SUMIFS('Program LTR Retention'!C$322:C$333,'Program LTR Retention'!$A$322:$A$333,"202010"))</f>
        <v>0</v>
      </c>
      <c r="E29" s="164" t="n">
        <f aca="false">IF('HC by Program-Term'!$Y29="","—",SUMIFS('Program LTR Retention'!D$322:D$333,'Program LTR Retention'!$A$322:$A$333,"202020"))</f>
        <v>0</v>
      </c>
      <c r="F29" s="164" t="n">
        <f aca="false">IF('HC by Program-Term'!$Y29="","—",SUMIFS('Program LTR Retention'!E$322:E$333,'Program LTR Retention'!$A$322:$A$333,"202030"))</f>
        <v>0</v>
      </c>
      <c r="G29" s="164" t="n">
        <f aca="false">IF('HC by Program-Term'!$Y29="","—",SUMIFS('Program LTR Retention'!F$322:F$333,'Program LTR Retention'!$A$322:$A$333,"202110"))</f>
        <v>0</v>
      </c>
      <c r="H29" s="164" t="n">
        <f aca="false">IF('HC by Program-Term'!$Y29="","—",SUMIFS('Program LTR Retention'!G$322:G$333,'Program LTR Retention'!$A$322:$A$333,"202120"))</f>
        <v>0</v>
      </c>
      <c r="I29" s="164" t="n">
        <f aca="false">IF('HC by Program-Term'!$Y29="","—",SUMIFS('Program LTR Retention'!H$322:H$333,'Program LTR Retention'!$A$322:$A$333,"202130"))</f>
        <v>0</v>
      </c>
      <c r="J29" s="164" t="n">
        <f aca="false">IF('HC by Program-Term'!$Y29="","—",SUMIFS('Program LTR Retention'!I$322:I$333,'Program LTR Retention'!$A$322:$A$333,"202210"))</f>
        <v>0</v>
      </c>
      <c r="K29" s="164" t="n">
        <f aca="false">IF('HC by Program-Term'!$Y29="","—",SUMIFS('Program LTR Retention'!J$322:J$333,'Program LTR Retention'!$A$322:$A$333,"202220"))</f>
        <v>0</v>
      </c>
      <c r="L29" s="164" t="n">
        <f aca="false">IF('HC by Program-Term'!$Y29="","—",SUMIFS('Program LTR Retention'!K$322:K$333,'Program LTR Retention'!$A$322:$A$333,"202230"))</f>
        <v>0</v>
      </c>
      <c r="M29" s="164" t="n">
        <f aca="false">IF('HC by Program-Term'!$Y29="","—",SUMIFS('Program LTR Retention'!L$322:L$333,'Program LTR Retention'!$A$322:$A$333,"202310"))</f>
        <v>22</v>
      </c>
      <c r="N29" s="164" t="n">
        <f aca="false">IF('HC by Program-Term'!$Y29="","—",SUMIFS('Program LTR Retention'!M$322:M$333,'Program LTR Retention'!$A$322:$A$333,"202320"))</f>
        <v>27</v>
      </c>
      <c r="O29" s="164" t="n">
        <f aca="false">IF('HC by Program-Term'!$Y29="","—",SUMIFS('Program LTR Retention'!N$322:N$333,'Program LTR Retention'!$A$322:$A$333,"202330"))</f>
        <v>26</v>
      </c>
      <c r="P29" s="164" t="n">
        <f aca="false">IF('HC by Program-Term'!$Y29="","—",SUMIFS('Program LTR Retention'!O$322:O$333,'Program LTR Retention'!$A$322:$A$333,"202410"))</f>
        <v>28</v>
      </c>
      <c r="Q29" s="164" t="n">
        <f aca="false">IF('HC by Program-Term'!$Y29="","—",SUMIFS('Program LTR Retention'!P$322:P$333,'Program LTR Retention'!$A$322:$A$333,"202420"))</f>
        <v>19</v>
      </c>
      <c r="R29" s="164" t="n">
        <f aca="false">IF('HC by Program-Term'!$Y29="","—",SUMIFS('Program LTR Retention'!Q$322:Q$333,'Program LTR Retention'!$A$322:$A$333,"202430"))</f>
        <v>0</v>
      </c>
      <c r="S29" s="164" t="n">
        <f aca="false">IF('HC by Program-Term'!$Y29="","—",SUMIFS('Program LTR Retention'!R$322:R$333,'Program LTR Retention'!$A$322:$A$333,"202510"))</f>
        <v>26</v>
      </c>
      <c r="T29" s="164" t="n">
        <f aca="false">IF('HC by Program-Term'!$Y29="","—",SUMIFS('Program LTR Retention'!S$322:S$333,'Program LTR Retention'!$A$322:$A$333,"202520"))</f>
        <v>4</v>
      </c>
      <c r="U29" s="164" t="n">
        <f aca="false">IF('HC by Program-Term'!$Y29="","—",SUMIFS('Program LTR Retention'!T$322:T$333,'Program LTR Retention'!$A$322:$A$333,"202530"))</f>
        <v>5</v>
      </c>
      <c r="V29" s="164" t="n">
        <f aca="false">IF('HC by Program-Term'!$Y29="","—",SUMIFS('Program LTR Retention'!U$322:U$333,'Program LTR Retention'!$A$322:$A$333,"202610"))</f>
        <v>1</v>
      </c>
      <c r="X29" s="164" t="n">
        <f aca="false">IF('HC by Program-Term'!$Y29="","—",'HC by Program-Term'!C29-C29)</f>
        <v>0</v>
      </c>
      <c r="Y29" s="164" t="n">
        <f aca="false">IF('HC by Program-Term'!$Y29="","—",'HC by Program-Term'!D29-D29)</f>
        <v>0</v>
      </c>
      <c r="Z29" s="164" t="n">
        <f aca="false">IF('HC by Program-Term'!$Y29="","—",'HC by Program-Term'!E29-E29)</f>
        <v>0</v>
      </c>
      <c r="AA29" s="164" t="n">
        <f aca="false">IF('HC by Program-Term'!$Y29="","—",'HC by Program-Term'!F29-F29)</f>
        <v>0</v>
      </c>
      <c r="AB29" s="164" t="n">
        <f aca="false">IF('HC by Program-Term'!$Y29="","—",'HC by Program-Term'!G29-G29)</f>
        <v>0</v>
      </c>
      <c r="AC29" s="164" t="n">
        <f aca="false">IF('HC by Program-Term'!$Y29="","—",'HC by Program-Term'!H29-H29)</f>
        <v>0</v>
      </c>
      <c r="AD29" s="164" t="n">
        <f aca="false">IF('HC by Program-Term'!$Y29="","—",'HC by Program-Term'!I29-I29)</f>
        <v>0</v>
      </c>
      <c r="AE29" s="164" t="n">
        <f aca="false">IF('HC by Program-Term'!$Y29="","—",'HC by Program-Term'!J29-J29)</f>
        <v>0</v>
      </c>
      <c r="AF29" s="164" t="n">
        <f aca="false">IF('HC by Program-Term'!$Y29="","—",'HC by Program-Term'!K29-K29)</f>
        <v>0</v>
      </c>
      <c r="AG29" s="164" t="n">
        <f aca="false">IF('HC by Program-Term'!$Y29="","—",'HC by Program-Term'!L29-L29)</f>
        <v>0</v>
      </c>
      <c r="AH29" s="164" t="n">
        <f aca="false">IF('HC by Program-Term'!$Y29="","—",'HC by Program-Term'!M29-M29)</f>
        <v>0</v>
      </c>
      <c r="AI29" s="164" t="n">
        <f aca="false">IF('HC by Program-Term'!$Y29="","—",'HC by Program-Term'!N29-N29)</f>
        <v>11</v>
      </c>
      <c r="AJ29" s="164" t="n">
        <f aca="false">IF('HC by Program-Term'!$Y29="","—",'HC by Program-Term'!O29-O29)</f>
        <v>25</v>
      </c>
      <c r="AK29" s="164" t="n">
        <f aca="false">IF('HC by Program-Term'!$Y29="","—",'HC by Program-Term'!P29-P29)</f>
        <v>38</v>
      </c>
      <c r="AL29" s="164" t="n">
        <f aca="false">IF('HC by Program-Term'!$Y29="","—",'HC by Program-Term'!Q29-Q29)</f>
        <v>55</v>
      </c>
      <c r="AM29" s="164" t="n">
        <f aca="false">IF('HC by Program-Term'!$Y29="","—",'HC by Program-Term'!R29-R29)</f>
        <v>58</v>
      </c>
      <c r="AN29" s="164" t="n">
        <f aca="false">IF('HC by Program-Term'!$Y29="","—",'HC by Program-Term'!S29-S29)</f>
        <v>52</v>
      </c>
      <c r="AO29" s="164" t="n">
        <f aca="false">IF('HC by Program-Term'!$Y29="","—",'HC by Program-Term'!T29-T29)</f>
        <v>59</v>
      </c>
      <c r="AP29" s="164" t="n">
        <f aca="false">IF('HC by Program-Term'!$Y29="","—",'HC by Program-Term'!U29-U29)</f>
        <v>34</v>
      </c>
      <c r="AQ29" s="164" t="n">
        <f aca="false">IF('HC by Program-Term'!$Y29="","—",'HC by Program-Term'!V29-V29)</f>
        <v>31</v>
      </c>
      <c r="AS29" s="147" t="n">
        <f aca="false">IF('HC by Program-Term'!$Y29="","—",SUM(C29:V29))</f>
        <v>158</v>
      </c>
      <c r="AT29" s="147" t="n">
        <f aca="false">IF('HC by Program-Term'!$Y29="","—",SUM(X29:AQ29))</f>
        <v>363</v>
      </c>
    </row>
    <row r="30" customFormat="false" ht="15" hidden="false" customHeight="true" outlineLevel="0" collapsed="false">
      <c r="A30" s="165" t="str">
        <f aca="false">'Program List'!A25</f>
        <v>M145</v>
      </c>
      <c r="B30" s="166" t="str">
        <f aca="false">'Program List'!B25</f>
        <v>Master of Science in Business Analytics</v>
      </c>
      <c r="C30" s="167" t="n">
        <f aca="false">IF('HC by Program-Term'!$Y30="","—",SUMIFS('Program LTR Retention'!B$335:B$347,'Program LTR Retention'!$A$335:$A$347,"201930"))</f>
        <v>0</v>
      </c>
      <c r="D30" s="167" t="n">
        <f aca="false">IF('HC by Program-Term'!$Y30="","—",SUMIFS('Program LTR Retention'!C$335:C$347,'Program LTR Retention'!$A$335:$A$347,"202010"))</f>
        <v>0</v>
      </c>
      <c r="E30" s="167" t="n">
        <f aca="false">IF('HC by Program-Term'!$Y30="","—",SUMIFS('Program LTR Retention'!D$335:D$347,'Program LTR Retention'!$A$335:$A$347,"202020"))</f>
        <v>0</v>
      </c>
      <c r="F30" s="167" t="n">
        <f aca="false">IF('HC by Program-Term'!$Y30="","—",SUMIFS('Program LTR Retention'!E$335:E$347,'Program LTR Retention'!$A$335:$A$347,"202030"))</f>
        <v>0</v>
      </c>
      <c r="G30" s="167" t="n">
        <f aca="false">IF('HC by Program-Term'!$Y30="","—",SUMIFS('Program LTR Retention'!F$335:F$347,'Program LTR Retention'!$A$335:$A$347,"202110"))</f>
        <v>0</v>
      </c>
      <c r="H30" s="167" t="n">
        <f aca="false">IF('HC by Program-Term'!$Y30="","—",SUMIFS('Program LTR Retention'!G$335:G$347,'Program LTR Retention'!$A$335:$A$347,"202120"))</f>
        <v>0</v>
      </c>
      <c r="I30" s="167" t="n">
        <f aca="false">IF('HC by Program-Term'!$Y30="","—",SUMIFS('Program LTR Retention'!H$335:H$347,'Program LTR Retention'!$A$335:$A$347,"202130"))</f>
        <v>0</v>
      </c>
      <c r="J30" s="167" t="n">
        <f aca="false">IF('HC by Program-Term'!$Y30="","—",SUMIFS('Program LTR Retention'!I$335:I$347,'Program LTR Retention'!$A$335:$A$347,"202210"))</f>
        <v>17</v>
      </c>
      <c r="K30" s="167" t="n">
        <f aca="false">IF('HC by Program-Term'!$Y30="","—",SUMIFS('Program LTR Retention'!J$335:J$347,'Program LTR Retention'!$A$335:$A$347,"202220"))</f>
        <v>18</v>
      </c>
      <c r="L30" s="167" t="n">
        <f aca="false">IF('HC by Program-Term'!$Y30="","—",SUMIFS('Program LTR Retention'!K$335:K$347,'Program LTR Retention'!$A$335:$A$347,"202230"))</f>
        <v>1</v>
      </c>
      <c r="M30" s="167" t="n">
        <f aca="false">IF('HC by Program-Term'!$Y30="","—",SUMIFS('Program LTR Retention'!L$335:L$347,'Program LTR Retention'!$A$335:$A$347,"202310"))</f>
        <v>25</v>
      </c>
      <c r="N30" s="167" t="n">
        <f aca="false">IF('HC by Program-Term'!$Y30="","—",SUMIFS('Program LTR Retention'!M$335:M$347,'Program LTR Retention'!$A$335:$A$347,"202320"))</f>
        <v>16</v>
      </c>
      <c r="O30" s="167" t="n">
        <f aca="false">IF('HC by Program-Term'!$Y30="","—",SUMIFS('Program LTR Retention'!N$335:N$347,'Program LTR Retention'!$A$335:$A$347,"202330"))</f>
        <v>0</v>
      </c>
      <c r="P30" s="167" t="n">
        <f aca="false">IF('HC by Program-Term'!$Y30="","—",SUMIFS('Program LTR Retention'!O$335:O$347,'Program LTR Retention'!$A$335:$A$347,"202410"))</f>
        <v>12</v>
      </c>
      <c r="Q30" s="167" t="n">
        <f aca="false">IF('HC by Program-Term'!$Y30="","—",SUMIFS('Program LTR Retention'!P$335:P$347,'Program LTR Retention'!$A$335:$A$347,"202420"))</f>
        <v>12</v>
      </c>
      <c r="R30" s="167" t="n">
        <f aca="false">IF('HC by Program-Term'!$Y30="","—",SUMIFS('Program LTR Retention'!Q$335:Q$347,'Program LTR Retention'!$A$335:$A$347,"202430"))</f>
        <v>0</v>
      </c>
      <c r="S30" s="167" t="n">
        <f aca="false">IF('HC by Program-Term'!$Y30="","—",SUMIFS('Program LTR Retention'!R$335:R$347,'Program LTR Retention'!$A$335:$A$347,"202510"))</f>
        <v>27</v>
      </c>
      <c r="T30" s="167" t="n">
        <f aca="false">IF('HC by Program-Term'!$Y30="","—",SUMIFS('Program LTR Retention'!S$335:S$347,'Program LTR Retention'!$A$335:$A$347,"202520"))</f>
        <v>13</v>
      </c>
      <c r="U30" s="167" t="n">
        <f aca="false">IF('HC by Program-Term'!$Y30="","—",SUMIFS('Program LTR Retention'!T$335:T$347,'Program LTR Retention'!$A$335:$A$347,"202530"))</f>
        <v>0</v>
      </c>
      <c r="V30" s="167" t="n">
        <f aca="false">IF('HC by Program-Term'!$Y30="","—",SUMIFS('Program LTR Retention'!U$335:U$347,'Program LTR Retention'!$A$335:$A$347,"202610"))</f>
        <v>12</v>
      </c>
      <c r="W30" s="168"/>
      <c r="X30" s="167" t="n">
        <f aca="false">IF('HC by Program-Term'!$Y30="","—",'HC by Program-Term'!C30-C30)</f>
        <v>0</v>
      </c>
      <c r="Y30" s="167" t="n">
        <f aca="false">IF('HC by Program-Term'!$Y30="","—",'HC by Program-Term'!D30-D30)</f>
        <v>0</v>
      </c>
      <c r="Z30" s="167" t="n">
        <f aca="false">IF('HC by Program-Term'!$Y30="","—",'HC by Program-Term'!E30-E30)</f>
        <v>0</v>
      </c>
      <c r="AA30" s="167" t="n">
        <f aca="false">IF('HC by Program-Term'!$Y30="","—",'HC by Program-Term'!F30-F30)</f>
        <v>0</v>
      </c>
      <c r="AB30" s="167" t="n">
        <f aca="false">IF('HC by Program-Term'!$Y30="","—",'HC by Program-Term'!G30-G30)</f>
        <v>0</v>
      </c>
      <c r="AC30" s="167" t="n">
        <f aca="false">IF('HC by Program-Term'!$Y30="","—",'HC by Program-Term'!H30-H30)</f>
        <v>0</v>
      </c>
      <c r="AD30" s="167" t="n">
        <f aca="false">IF('HC by Program-Term'!$Y30="","—",'HC by Program-Term'!I30-I30)</f>
        <v>0</v>
      </c>
      <c r="AE30" s="167" t="n">
        <f aca="false">IF('HC by Program-Term'!$Y30="","—",'HC by Program-Term'!J30-J30)</f>
        <v>0</v>
      </c>
      <c r="AF30" s="167" t="n">
        <f aca="false">IF('HC by Program-Term'!$Y30="","—",'HC by Program-Term'!K30-K30)</f>
        <v>13</v>
      </c>
      <c r="AG30" s="167" t="n">
        <f aca="false">IF('HC by Program-Term'!$Y30="","—",'HC by Program-Term'!L30-L30)</f>
        <v>26</v>
      </c>
      <c r="AH30" s="167" t="n">
        <f aca="false">IF('HC by Program-Term'!$Y30="","—",'HC by Program-Term'!M30-M30)</f>
        <v>24</v>
      </c>
      <c r="AI30" s="167" t="n">
        <f aca="false">IF('HC by Program-Term'!$Y30="","—",'HC by Program-Term'!N30-N30)</f>
        <v>38</v>
      </c>
      <c r="AJ30" s="167" t="n">
        <f aca="false">IF('HC by Program-Term'!$Y30="","—",'HC by Program-Term'!O30-O30)</f>
        <v>28</v>
      </c>
      <c r="AK30" s="167" t="n">
        <f aca="false">IF('HC by Program-Term'!$Y30="","—",'HC by Program-Term'!P30-P30)</f>
        <v>29</v>
      </c>
      <c r="AL30" s="167" t="n">
        <f aca="false">IF('HC by Program-Term'!$Y30="","—",'HC by Program-Term'!Q30-Q30)</f>
        <v>24</v>
      </c>
      <c r="AM30" s="167" t="n">
        <f aca="false">IF('HC by Program-Term'!$Y30="","—",'HC by Program-Term'!R30-R30)</f>
        <v>22</v>
      </c>
      <c r="AN30" s="167" t="n">
        <f aca="false">IF('HC by Program-Term'!$Y30="","—",'HC by Program-Term'!S30-S30)</f>
        <v>24</v>
      </c>
      <c r="AO30" s="167" t="n">
        <f aca="false">IF('HC by Program-Term'!$Y30="","—",'HC by Program-Term'!T30-T30)</f>
        <v>45</v>
      </c>
      <c r="AP30" s="167" t="n">
        <f aca="false">IF('HC by Program-Term'!$Y30="","—",'HC by Program-Term'!U30-U30)</f>
        <v>41</v>
      </c>
      <c r="AQ30" s="167" t="n">
        <f aca="false">IF('HC by Program-Term'!$Y30="","—",'HC by Program-Term'!V30-V30)</f>
        <v>39</v>
      </c>
      <c r="AR30" s="168"/>
      <c r="AS30" s="151" t="n">
        <f aca="false">IF('HC by Program-Term'!$Y30="","—",SUM(C30:V30))</f>
        <v>153</v>
      </c>
      <c r="AT30" s="151" t="n">
        <f aca="false">IF('HC by Program-Term'!$Y30="","—",SUM(X30:AQ30))</f>
        <v>353</v>
      </c>
    </row>
    <row r="31" customFormat="false" ht="15" hidden="false" customHeight="true" outlineLevel="0" collapsed="false">
      <c r="A31" s="162" t="str">
        <f aca="false">'Program List'!A26</f>
        <v>M191</v>
      </c>
      <c r="B31" s="163" t="str">
        <f aca="false">'Program List'!B26</f>
        <v>Master of Science in Civil Engineering</v>
      </c>
      <c r="C31" s="164" t="n">
        <f aca="false">IF('HC by Program-Term'!$Y31="","—",SUMIFS('Program LTR Retention'!B$349:B$365,'Program LTR Retention'!$A$349:$A$365,"201930"))</f>
        <v>0</v>
      </c>
      <c r="D31" s="164" t="n">
        <f aca="false">IF('HC by Program-Term'!$Y31="","—",SUMIFS('Program LTR Retention'!C$349:C$365,'Program LTR Retention'!$A$349:$A$365,"202010"))</f>
        <v>28</v>
      </c>
      <c r="E31" s="164" t="n">
        <f aca="false">IF('HC by Program-Term'!$Y31="","—",SUMIFS('Program LTR Retention'!D$349:D$365,'Program LTR Retention'!$A$349:$A$365,"202020"))</f>
        <v>15</v>
      </c>
      <c r="F31" s="164" t="n">
        <f aca="false">IF('HC by Program-Term'!$Y31="","—",SUMIFS('Program LTR Retention'!E$349:E$365,'Program LTR Retention'!$A$349:$A$365,"202030"))</f>
        <v>0</v>
      </c>
      <c r="G31" s="164" t="n">
        <f aca="false">IF('HC by Program-Term'!$Y31="","—",SUMIFS('Program LTR Retention'!F$349:F$365,'Program LTR Retention'!$A$349:$A$365,"202110"))</f>
        <v>21</v>
      </c>
      <c r="H31" s="164" t="n">
        <f aca="false">IF('HC by Program-Term'!$Y31="","—",SUMIFS('Program LTR Retention'!G$349:G$365,'Program LTR Retention'!$A$349:$A$365,"202120"))</f>
        <v>15</v>
      </c>
      <c r="I31" s="164" t="n">
        <f aca="false">IF('HC by Program-Term'!$Y31="","—",SUMIFS('Program LTR Retention'!H$349:H$365,'Program LTR Retention'!$A$349:$A$365,"202130"))</f>
        <v>0</v>
      </c>
      <c r="J31" s="164" t="n">
        <f aca="false">IF('HC by Program-Term'!$Y31="","—",SUMIFS('Program LTR Retention'!I$349:I$365,'Program LTR Retention'!$A$349:$A$365,"202210"))</f>
        <v>17</v>
      </c>
      <c r="K31" s="164" t="n">
        <f aca="false">IF('HC by Program-Term'!$Y31="","—",SUMIFS('Program LTR Retention'!J$349:J$365,'Program LTR Retention'!$A$349:$A$365,"202220"))</f>
        <v>12</v>
      </c>
      <c r="L31" s="164" t="n">
        <f aca="false">IF('HC by Program-Term'!$Y31="","—",SUMIFS('Program LTR Retention'!K$349:K$365,'Program LTR Retention'!$A$349:$A$365,"202230"))</f>
        <v>1</v>
      </c>
      <c r="M31" s="164" t="n">
        <f aca="false">IF('HC by Program-Term'!$Y31="","—",SUMIFS('Program LTR Retention'!L$349:L$365,'Program LTR Retention'!$A$349:$A$365,"202310"))</f>
        <v>26</v>
      </c>
      <c r="N31" s="164" t="n">
        <f aca="false">IF('HC by Program-Term'!$Y31="","—",SUMIFS('Program LTR Retention'!M$349:M$365,'Program LTR Retention'!$A$349:$A$365,"202320"))</f>
        <v>10</v>
      </c>
      <c r="O31" s="164" t="n">
        <f aca="false">IF('HC by Program-Term'!$Y31="","—",SUMIFS('Program LTR Retention'!N$349:N$365,'Program LTR Retention'!$A$349:$A$365,"202330"))</f>
        <v>0</v>
      </c>
      <c r="P31" s="164" t="n">
        <f aca="false">IF('HC by Program-Term'!$Y31="","—",SUMIFS('Program LTR Retention'!O$349:O$365,'Program LTR Retention'!$A$349:$A$365,"202410"))</f>
        <v>24</v>
      </c>
      <c r="Q31" s="164" t="n">
        <f aca="false">IF('HC by Program-Term'!$Y31="","—",SUMIFS('Program LTR Retention'!P$349:P$365,'Program LTR Retention'!$A$349:$A$365,"202420"))</f>
        <v>12</v>
      </c>
      <c r="R31" s="164" t="n">
        <f aca="false">IF('HC by Program-Term'!$Y31="","—",SUMIFS('Program LTR Retention'!Q$349:Q$365,'Program LTR Retention'!$A$349:$A$365,"202430"))</f>
        <v>0</v>
      </c>
      <c r="S31" s="164" t="n">
        <f aca="false">IF('HC by Program-Term'!$Y31="","—",SUMIFS('Program LTR Retention'!R$349:R$365,'Program LTR Retention'!$A$349:$A$365,"202510"))</f>
        <v>27</v>
      </c>
      <c r="T31" s="164" t="n">
        <f aca="false">IF('HC by Program-Term'!$Y31="","—",SUMIFS('Program LTR Retention'!S$349:S$365,'Program LTR Retention'!$A$349:$A$365,"202520"))</f>
        <v>14</v>
      </c>
      <c r="U31" s="164" t="n">
        <f aca="false">IF('HC by Program-Term'!$Y31="","—",SUMIFS('Program LTR Retention'!T$349:T$365,'Program LTR Retention'!$A$349:$A$365,"202530"))</f>
        <v>0</v>
      </c>
      <c r="V31" s="164" t="n">
        <f aca="false">IF('HC by Program-Term'!$Y31="","—",SUMIFS('Program LTR Retention'!U$349:U$365,'Program LTR Retention'!$A$349:$A$365,"202610"))</f>
        <v>19</v>
      </c>
      <c r="X31" s="164" t="n">
        <f aca="false">IF('HC by Program-Term'!$Y31="","—",'HC by Program-Term'!C31-C31)</f>
        <v>0</v>
      </c>
      <c r="Y31" s="164" t="n">
        <f aca="false">IF('HC by Program-Term'!$Y31="","—",'HC by Program-Term'!D31-D31)</f>
        <v>0</v>
      </c>
      <c r="Z31" s="164" t="n">
        <f aca="false">IF('HC by Program-Term'!$Y31="","—",'HC by Program-Term'!E31-E31)</f>
        <v>27</v>
      </c>
      <c r="AA31" s="164" t="n">
        <f aca="false">IF('HC by Program-Term'!$Y31="","—",'HC by Program-Term'!F31-F31)</f>
        <v>37</v>
      </c>
      <c r="AB31" s="164" t="n">
        <f aca="false">IF('HC by Program-Term'!$Y31="","—",'HC by Program-Term'!G31-G31)</f>
        <v>37</v>
      </c>
      <c r="AC31" s="164" t="n">
        <f aca="false">IF('HC by Program-Term'!$Y31="","—",'HC by Program-Term'!H31-H31)</f>
        <v>52</v>
      </c>
      <c r="AD31" s="164" t="n">
        <f aca="false">IF('HC by Program-Term'!$Y31="","—",'HC by Program-Term'!I31-I31)</f>
        <v>34</v>
      </c>
      <c r="AE31" s="164" t="n">
        <f aca="false">IF('HC by Program-Term'!$Y31="","—",'HC by Program-Term'!J31-J31)</f>
        <v>45</v>
      </c>
      <c r="AF31" s="164" t="n">
        <f aca="false">IF('HC by Program-Term'!$Y31="","—",'HC by Program-Term'!K31-K31)</f>
        <v>52</v>
      </c>
      <c r="AG31" s="164" t="n">
        <f aca="false">IF('HC by Program-Term'!$Y31="","—",'HC by Program-Term'!L31-L31)</f>
        <v>28</v>
      </c>
      <c r="AH31" s="164" t="n">
        <f aca="false">IF('HC by Program-Term'!$Y31="","—",'HC by Program-Term'!M31-M31)</f>
        <v>38</v>
      </c>
      <c r="AI31" s="164" t="n">
        <f aca="false">IF('HC by Program-Term'!$Y31="","—",'HC by Program-Term'!N31-N31)</f>
        <v>51</v>
      </c>
      <c r="AJ31" s="164" t="n">
        <f aca="false">IF('HC by Program-Term'!$Y31="","—",'HC by Program-Term'!O31-O31)</f>
        <v>33</v>
      </c>
      <c r="AK31" s="164" t="n">
        <f aca="false">IF('HC by Program-Term'!$Y31="","—",'HC by Program-Term'!P31-P31)</f>
        <v>45</v>
      </c>
      <c r="AL31" s="164" t="n">
        <f aca="false">IF('HC by Program-Term'!$Y31="","—",'HC by Program-Term'!Q31-Q31)</f>
        <v>47</v>
      </c>
      <c r="AM31" s="164" t="n">
        <f aca="false">IF('HC by Program-Term'!$Y31="","—",'HC by Program-Term'!R31-R31)</f>
        <v>32</v>
      </c>
      <c r="AN31" s="164" t="n">
        <f aca="false">IF('HC by Program-Term'!$Y31="","—",'HC by Program-Term'!S31-S31)</f>
        <v>41</v>
      </c>
      <c r="AO31" s="164" t="n">
        <f aca="false">IF('HC by Program-Term'!$Y31="","—",'HC by Program-Term'!T31-T31)</f>
        <v>61</v>
      </c>
      <c r="AP31" s="164" t="n">
        <f aca="false">IF('HC by Program-Term'!$Y31="","—",'HC by Program-Term'!U31-U31)</f>
        <v>40</v>
      </c>
      <c r="AQ31" s="164" t="n">
        <f aca="false">IF('HC by Program-Term'!$Y31="","—",'HC by Program-Term'!V31-V31)</f>
        <v>48</v>
      </c>
      <c r="AS31" s="147" t="n">
        <f aca="false">IF('HC by Program-Term'!$Y31="","—",SUM(C31:V31))</f>
        <v>241</v>
      </c>
      <c r="AT31" s="147" t="n">
        <f aca="false">IF('HC by Program-Term'!$Y31="","—",SUM(X31:AQ31))</f>
        <v>748</v>
      </c>
    </row>
    <row r="32" customFormat="false" ht="15" hidden="false" customHeight="true" outlineLevel="0" collapsed="false">
      <c r="A32" s="165" t="str">
        <f aca="false">'Program List'!A27</f>
        <v>M260</v>
      </c>
      <c r="B32" s="166" t="str">
        <f aca="false">'Program List'!B27</f>
        <v>Master of Science in Criminal Justice</v>
      </c>
      <c r="C32" s="167" t="n">
        <f aca="false">IF('HC by Program-Term'!$Y32="","—",SUMIFS('Program LTR Retention'!B$367:B$389,'Program LTR Retention'!$A$367:$A$389,"201930"))</f>
        <v>4</v>
      </c>
      <c r="D32" s="167" t="n">
        <f aca="false">IF('HC by Program-Term'!$Y32="","—",SUMIFS('Program LTR Retention'!C$367:C$389,'Program LTR Retention'!$A$367:$A$389,"202010"))</f>
        <v>7</v>
      </c>
      <c r="E32" s="167" t="n">
        <f aca="false">IF('HC by Program-Term'!$Y32="","—",SUMIFS('Program LTR Retention'!D$367:D$389,'Program LTR Retention'!$A$367:$A$389,"202020"))</f>
        <v>8</v>
      </c>
      <c r="F32" s="167" t="n">
        <f aca="false">IF('HC by Program-Term'!$Y32="","—",SUMIFS('Program LTR Retention'!E$367:E$389,'Program LTR Retention'!$A$367:$A$389,"202030"))</f>
        <v>6</v>
      </c>
      <c r="G32" s="167" t="n">
        <f aca="false">IF('HC by Program-Term'!$Y32="","—",SUMIFS('Program LTR Retention'!F$367:F$389,'Program LTR Retention'!$A$367:$A$389,"202110"))</f>
        <v>18</v>
      </c>
      <c r="H32" s="167" t="n">
        <f aca="false">IF('HC by Program-Term'!$Y32="","—",SUMIFS('Program LTR Retention'!G$367:G$389,'Program LTR Retention'!$A$367:$A$389,"202120"))</f>
        <v>26</v>
      </c>
      <c r="I32" s="167" t="n">
        <f aca="false">IF('HC by Program-Term'!$Y32="","—",SUMIFS('Program LTR Retention'!H$367:H$389,'Program LTR Retention'!$A$367:$A$389,"202130"))</f>
        <v>21</v>
      </c>
      <c r="J32" s="167" t="n">
        <f aca="false">IF('HC by Program-Term'!$Y32="","—",SUMIFS('Program LTR Retention'!I$367:I$389,'Program LTR Retention'!$A$367:$A$389,"202210"))</f>
        <v>32</v>
      </c>
      <c r="K32" s="167" t="n">
        <f aca="false">IF('HC by Program-Term'!$Y32="","—",SUMIFS('Program LTR Retention'!J$367:J$389,'Program LTR Retention'!$A$367:$A$389,"202220"))</f>
        <v>24</v>
      </c>
      <c r="L32" s="167" t="n">
        <f aca="false">IF('HC by Program-Term'!$Y32="","—",SUMIFS('Program LTR Retention'!K$367:K$389,'Program LTR Retention'!$A$367:$A$389,"202230"))</f>
        <v>16</v>
      </c>
      <c r="M32" s="167" t="n">
        <f aca="false">IF('HC by Program-Term'!$Y32="","—",SUMIFS('Program LTR Retention'!L$367:L$389,'Program LTR Retention'!$A$367:$A$389,"202310"))</f>
        <v>33</v>
      </c>
      <c r="N32" s="167" t="n">
        <f aca="false">IF('HC by Program-Term'!$Y32="","—",SUMIFS('Program LTR Retention'!M$367:M$389,'Program LTR Retention'!$A$367:$A$389,"202320"))</f>
        <v>23</v>
      </c>
      <c r="O32" s="167" t="n">
        <f aca="false">IF('HC by Program-Term'!$Y32="","—",SUMIFS('Program LTR Retention'!N$367:N$389,'Program LTR Retention'!$A$367:$A$389,"202330"))</f>
        <v>14</v>
      </c>
      <c r="P32" s="167" t="n">
        <f aca="false">IF('HC by Program-Term'!$Y32="","—",SUMIFS('Program LTR Retention'!O$367:O$389,'Program LTR Retention'!$A$367:$A$389,"202410"))</f>
        <v>27</v>
      </c>
      <c r="Q32" s="167" t="n">
        <f aca="false">IF('HC by Program-Term'!$Y32="","—",SUMIFS('Program LTR Retention'!P$367:P$389,'Program LTR Retention'!$A$367:$A$389,"202420"))</f>
        <v>19</v>
      </c>
      <c r="R32" s="167" t="n">
        <f aca="false">IF('HC by Program-Term'!$Y32="","—",SUMIFS('Program LTR Retention'!Q$367:Q$389,'Program LTR Retention'!$A$367:$A$389,"202430"))</f>
        <v>1</v>
      </c>
      <c r="S32" s="167" t="n">
        <f aca="false">IF('HC by Program-Term'!$Y32="","—",SUMIFS('Program LTR Retention'!R$367:R$389,'Program LTR Retention'!$A$367:$A$389,"202510"))</f>
        <v>26</v>
      </c>
      <c r="T32" s="167" t="n">
        <f aca="false">IF('HC by Program-Term'!$Y32="","—",SUMIFS('Program LTR Retention'!S$367:S$389,'Program LTR Retention'!$A$367:$A$389,"202520"))</f>
        <v>12</v>
      </c>
      <c r="U32" s="167" t="n">
        <f aca="false">IF('HC by Program-Term'!$Y32="","—",SUMIFS('Program LTR Retention'!T$367:T$389,'Program LTR Retention'!$A$367:$A$389,"202530"))</f>
        <v>7</v>
      </c>
      <c r="V32" s="167" t="n">
        <f aca="false">IF('HC by Program-Term'!$Y32="","—",SUMIFS('Program LTR Retention'!U$367:U$389,'Program LTR Retention'!$A$367:$A$389,"202610"))</f>
        <v>21</v>
      </c>
      <c r="W32" s="168"/>
      <c r="X32" s="167" t="n">
        <f aca="false">IF('HC by Program-Term'!$Y32="","—",'HC by Program-Term'!C32-C32)</f>
        <v>0</v>
      </c>
      <c r="Y32" s="167" t="n">
        <f aca="false">IF('HC by Program-Term'!$Y32="","—",'HC by Program-Term'!D32-D32)</f>
        <v>4</v>
      </c>
      <c r="Z32" s="167" t="n">
        <f aca="false">IF('HC by Program-Term'!$Y32="","—",'HC by Program-Term'!E32-E32)</f>
        <v>9</v>
      </c>
      <c r="AA32" s="167" t="n">
        <f aca="false">IF('HC by Program-Term'!$Y32="","—",'HC by Program-Term'!F32-F32)</f>
        <v>11</v>
      </c>
      <c r="AB32" s="167" t="n">
        <f aca="false">IF('HC by Program-Term'!$Y32="","—",'HC by Program-Term'!G32-G32)</f>
        <v>19</v>
      </c>
      <c r="AC32" s="167" t="n">
        <f aca="false">IF('HC by Program-Term'!$Y32="","—",'HC by Program-Term'!H32-H32)</f>
        <v>31</v>
      </c>
      <c r="AD32" s="167" t="n">
        <f aca="false">IF('HC by Program-Term'!$Y32="","—",'HC by Program-Term'!I32-I32)</f>
        <v>33</v>
      </c>
      <c r="AE32" s="167" t="n">
        <f aca="false">IF('HC by Program-Term'!$Y32="","—",'HC by Program-Term'!J32-J32)</f>
        <v>52</v>
      </c>
      <c r="AF32" s="167" t="n">
        <f aca="false">IF('HC by Program-Term'!$Y32="","—",'HC by Program-Term'!K32-K32)</f>
        <v>69</v>
      </c>
      <c r="AG32" s="167" t="n">
        <f aca="false">IF('HC by Program-Term'!$Y32="","—",'HC by Program-Term'!L32-L32)</f>
        <v>51</v>
      </c>
      <c r="AH32" s="167" t="n">
        <f aca="false">IF('HC by Program-Term'!$Y32="","—",'HC by Program-Term'!M32-M32)</f>
        <v>77</v>
      </c>
      <c r="AI32" s="167" t="n">
        <f aca="false">IF('HC by Program-Term'!$Y32="","—",'HC by Program-Term'!N32-N32)</f>
        <v>87</v>
      </c>
      <c r="AJ32" s="167" t="n">
        <f aca="false">IF('HC by Program-Term'!$Y32="","—",'HC by Program-Term'!O32-O32)</f>
        <v>64</v>
      </c>
      <c r="AK32" s="167" t="n">
        <f aca="false">IF('HC by Program-Term'!$Y32="","—",'HC by Program-Term'!P32-P32)</f>
        <v>81</v>
      </c>
      <c r="AL32" s="167" t="n">
        <f aca="false">IF('HC by Program-Term'!$Y32="","—",'HC by Program-Term'!Q32-Q32)</f>
        <v>86</v>
      </c>
      <c r="AM32" s="167" t="n">
        <f aca="false">IF('HC by Program-Term'!$Y32="","—",'HC by Program-Term'!R32-R32)</f>
        <v>53</v>
      </c>
      <c r="AN32" s="167" t="n">
        <f aca="false">IF('HC by Program-Term'!$Y32="","—",'HC by Program-Term'!S32-S32)</f>
        <v>54</v>
      </c>
      <c r="AO32" s="167" t="n">
        <f aca="false">IF('HC by Program-Term'!$Y32="","—",'HC by Program-Term'!T32-T32)</f>
        <v>58</v>
      </c>
      <c r="AP32" s="167" t="n">
        <f aca="false">IF('HC by Program-Term'!$Y32="","—",'HC by Program-Term'!U32-U32)</f>
        <v>30</v>
      </c>
      <c r="AQ32" s="167" t="n">
        <f aca="false">IF('HC by Program-Term'!$Y32="","—",'HC by Program-Term'!V32-V32)</f>
        <v>42</v>
      </c>
      <c r="AR32" s="168"/>
      <c r="AS32" s="151" t="n">
        <f aca="false">IF('HC by Program-Term'!$Y32="","—",SUM(C32:V32))</f>
        <v>345</v>
      </c>
      <c r="AT32" s="151" t="n">
        <f aca="false">IF('HC by Program-Term'!$Y32="","—",SUM(X32:AQ32))</f>
        <v>911</v>
      </c>
    </row>
    <row r="33" customFormat="false" ht="15" hidden="false" customHeight="true" outlineLevel="0" collapsed="false">
      <c r="A33" s="162" t="str">
        <f aca="false">'Program List'!A28</f>
        <v>M264</v>
      </c>
      <c r="B33" s="163" t="str">
        <f aca="false">'Program List'!B28</f>
        <v>Master of Science in Cybersecurity Leadership</v>
      </c>
      <c r="C33" s="164" t="s">
        <v>282</v>
      </c>
      <c r="D33" s="164" t="s">
        <v>282</v>
      </c>
      <c r="E33" s="164" t="s">
        <v>282</v>
      </c>
      <c r="F33" s="164" t="s">
        <v>282</v>
      </c>
      <c r="G33" s="164" t="s">
        <v>282</v>
      </c>
      <c r="H33" s="164" t="s">
        <v>282</v>
      </c>
      <c r="I33" s="164" t="s">
        <v>282</v>
      </c>
      <c r="J33" s="164" t="s">
        <v>282</v>
      </c>
      <c r="K33" s="164" t="s">
        <v>282</v>
      </c>
      <c r="L33" s="164" t="s">
        <v>282</v>
      </c>
      <c r="M33" s="164" t="s">
        <v>282</v>
      </c>
      <c r="N33" s="164" t="s">
        <v>282</v>
      </c>
      <c r="O33" s="164" t="s">
        <v>282</v>
      </c>
      <c r="P33" s="164" t="s">
        <v>282</v>
      </c>
      <c r="Q33" s="164" t="s">
        <v>282</v>
      </c>
      <c r="R33" s="164" t="s">
        <v>282</v>
      </c>
      <c r="S33" s="164" t="s">
        <v>282</v>
      </c>
      <c r="T33" s="164" t="s">
        <v>282</v>
      </c>
      <c r="U33" s="164" t="s">
        <v>282</v>
      </c>
      <c r="V33" s="164" t="s">
        <v>282</v>
      </c>
      <c r="X33" s="164" t="s">
        <v>282</v>
      </c>
      <c r="Y33" s="164" t="s">
        <v>282</v>
      </c>
      <c r="Z33" s="164" t="s">
        <v>282</v>
      </c>
      <c r="AA33" s="164" t="s">
        <v>282</v>
      </c>
      <c r="AB33" s="164" t="s">
        <v>282</v>
      </c>
      <c r="AC33" s="164" t="s">
        <v>282</v>
      </c>
      <c r="AD33" s="164" t="s">
        <v>282</v>
      </c>
      <c r="AE33" s="164" t="s">
        <v>282</v>
      </c>
      <c r="AF33" s="164" t="s">
        <v>282</v>
      </c>
      <c r="AG33" s="164" t="s">
        <v>282</v>
      </c>
      <c r="AH33" s="164" t="s">
        <v>282</v>
      </c>
      <c r="AI33" s="164" t="s">
        <v>282</v>
      </c>
      <c r="AJ33" s="164" t="s">
        <v>282</v>
      </c>
      <c r="AK33" s="164" t="s">
        <v>282</v>
      </c>
      <c r="AL33" s="164" t="s">
        <v>282</v>
      </c>
      <c r="AM33" s="164" t="s">
        <v>282</v>
      </c>
      <c r="AN33" s="164" t="s">
        <v>282</v>
      </c>
      <c r="AO33" s="164" t="s">
        <v>282</v>
      </c>
      <c r="AP33" s="164" t="s">
        <v>282</v>
      </c>
      <c r="AQ33" s="164" t="s">
        <v>282</v>
      </c>
      <c r="AS33" s="147" t="str">
        <f aca="false">IF('HC by Program-Term'!$Y33="","—",SUM(C33:V33))</f>
        <v>—</v>
      </c>
      <c r="AT33" s="147" t="str">
        <f aca="false">IF('HC by Program-Term'!$Y33="","—",SUM(X33:AQ33))</f>
        <v>—</v>
      </c>
    </row>
    <row r="34" customFormat="false" ht="15" hidden="false" customHeight="true" outlineLevel="0" collapsed="false">
      <c r="A34" s="165" t="str">
        <f aca="false">'Program List'!A29</f>
        <v>M374</v>
      </c>
      <c r="B34" s="166" t="str">
        <f aca="false">'Program List'!B29</f>
        <v>Master of Science in Engineering Leadership and Management</v>
      </c>
      <c r="C34" s="167" t="n">
        <f aca="false">IF('HC by Program-Term'!$Y34="","—",SUMIFS('Program LTR Retention'!B$394:B$402,'Program LTR Retention'!$A$394:$A$402,"201930"))</f>
        <v>0</v>
      </c>
      <c r="D34" s="167" t="n">
        <f aca="false">IF('HC by Program-Term'!$Y34="","—",SUMIFS('Program LTR Retention'!C$394:C$402,'Program LTR Retention'!$A$394:$A$402,"202010"))</f>
        <v>0</v>
      </c>
      <c r="E34" s="167" t="n">
        <f aca="false">IF('HC by Program-Term'!$Y34="","—",SUMIFS('Program LTR Retention'!D$394:D$402,'Program LTR Retention'!$A$394:$A$402,"202020"))</f>
        <v>0</v>
      </c>
      <c r="F34" s="167" t="n">
        <f aca="false">IF('HC by Program-Term'!$Y34="","—",SUMIFS('Program LTR Retention'!E$394:E$402,'Program LTR Retention'!$A$394:$A$402,"202030"))</f>
        <v>0</v>
      </c>
      <c r="G34" s="167" t="n">
        <f aca="false">IF('HC by Program-Term'!$Y34="","—",SUMIFS('Program LTR Retention'!F$394:F$402,'Program LTR Retention'!$A$394:$A$402,"202110"))</f>
        <v>0</v>
      </c>
      <c r="H34" s="167" t="n">
        <f aca="false">IF('HC by Program-Term'!$Y34="","—",SUMIFS('Program LTR Retention'!G$394:G$402,'Program LTR Retention'!$A$394:$A$402,"202120"))</f>
        <v>0</v>
      </c>
      <c r="I34" s="167" t="n">
        <f aca="false">IF('HC by Program-Term'!$Y34="","—",SUMIFS('Program LTR Retention'!H$394:H$402,'Program LTR Retention'!$A$394:$A$402,"202130"))</f>
        <v>0</v>
      </c>
      <c r="J34" s="167" t="n">
        <f aca="false">IF('HC by Program-Term'!$Y34="","—",SUMIFS('Program LTR Retention'!I$394:I$402,'Program LTR Retention'!$A$394:$A$402,"202210"))</f>
        <v>0</v>
      </c>
      <c r="K34" s="167" t="n">
        <f aca="false">IF('HC by Program-Term'!$Y34="","—",SUMIFS('Program LTR Retention'!J$394:J$402,'Program LTR Retention'!$A$394:$A$402,"202220"))</f>
        <v>0</v>
      </c>
      <c r="L34" s="167" t="n">
        <f aca="false">IF('HC by Program-Term'!$Y34="","—",SUMIFS('Program LTR Retention'!K$394:K$402,'Program LTR Retention'!$A$394:$A$402,"202230"))</f>
        <v>0</v>
      </c>
      <c r="M34" s="167" t="n">
        <f aca="false">IF('HC by Program-Term'!$Y34="","—",SUMIFS('Program LTR Retention'!L$394:L$402,'Program LTR Retention'!$A$394:$A$402,"202310"))</f>
        <v>0</v>
      </c>
      <c r="N34" s="167" t="n">
        <f aca="false">IF('HC by Program-Term'!$Y34="","—",SUMIFS('Program LTR Retention'!M$394:M$402,'Program LTR Retention'!$A$394:$A$402,"202320"))</f>
        <v>24</v>
      </c>
      <c r="O34" s="167" t="n">
        <f aca="false">IF('HC by Program-Term'!$Y34="","—",SUMIFS('Program LTR Retention'!N$394:N$402,'Program LTR Retention'!$A$394:$A$402,"202330"))</f>
        <v>0</v>
      </c>
      <c r="P34" s="167" t="n">
        <f aca="false">IF('HC by Program-Term'!$Y34="","—",SUMIFS('Program LTR Retention'!O$394:O$402,'Program LTR Retention'!$A$394:$A$402,"202410"))</f>
        <v>35</v>
      </c>
      <c r="Q34" s="167" t="n">
        <f aca="false">IF('HC by Program-Term'!$Y34="","—",SUMIFS('Program LTR Retention'!P$394:P$402,'Program LTR Retention'!$A$394:$A$402,"202420"))</f>
        <v>29</v>
      </c>
      <c r="R34" s="167" t="n">
        <f aca="false">IF('HC by Program-Term'!$Y34="","—",SUMIFS('Program LTR Retention'!Q$394:Q$402,'Program LTR Retention'!$A$394:$A$402,"202430"))</f>
        <v>0</v>
      </c>
      <c r="S34" s="167" t="n">
        <f aca="false">IF('HC by Program-Term'!$Y34="","—",SUMIFS('Program LTR Retention'!R$394:R$402,'Program LTR Retention'!$A$394:$A$402,"202510"))</f>
        <v>34</v>
      </c>
      <c r="T34" s="167" t="n">
        <f aca="false">IF('HC by Program-Term'!$Y34="","—",SUMIFS('Program LTR Retention'!S$394:S$402,'Program LTR Retention'!$A$394:$A$402,"202520"))</f>
        <v>22</v>
      </c>
      <c r="U34" s="167" t="n">
        <f aca="false">IF('HC by Program-Term'!$Y34="","—",SUMIFS('Program LTR Retention'!T$394:T$402,'Program LTR Retention'!$A$394:$A$402,"202530"))</f>
        <v>0</v>
      </c>
      <c r="V34" s="167" t="n">
        <f aca="false">IF('HC by Program-Term'!$Y34="","—",SUMIFS('Program LTR Retention'!U$394:U$402,'Program LTR Retention'!$A$394:$A$402,"202610"))</f>
        <v>43</v>
      </c>
      <c r="W34" s="168"/>
      <c r="X34" s="167" t="n">
        <f aca="false">IF('HC by Program-Term'!$Y34="","—",'HC by Program-Term'!C34-C34)</f>
        <v>0</v>
      </c>
      <c r="Y34" s="167" t="n">
        <f aca="false">IF('HC by Program-Term'!$Y34="","—",'HC by Program-Term'!D34-D34)</f>
        <v>0</v>
      </c>
      <c r="Z34" s="167" t="n">
        <f aca="false">IF('HC by Program-Term'!$Y34="","—",'HC by Program-Term'!E34-E34)</f>
        <v>0</v>
      </c>
      <c r="AA34" s="167" t="n">
        <f aca="false">IF('HC by Program-Term'!$Y34="","—",'HC by Program-Term'!F34-F34)</f>
        <v>0</v>
      </c>
      <c r="AB34" s="167" t="n">
        <f aca="false">IF('HC by Program-Term'!$Y34="","—",'HC by Program-Term'!G34-G34)</f>
        <v>0</v>
      </c>
      <c r="AC34" s="167" t="n">
        <f aca="false">IF('HC by Program-Term'!$Y34="","—",'HC by Program-Term'!H34-H34)</f>
        <v>0</v>
      </c>
      <c r="AD34" s="167" t="n">
        <f aca="false">IF('HC by Program-Term'!$Y34="","—",'HC by Program-Term'!I34-I34)</f>
        <v>0</v>
      </c>
      <c r="AE34" s="167" t="n">
        <f aca="false">IF('HC by Program-Term'!$Y34="","—",'HC by Program-Term'!J34-J34)</f>
        <v>0</v>
      </c>
      <c r="AF34" s="167" t="n">
        <f aca="false">IF('HC by Program-Term'!$Y34="","—",'HC by Program-Term'!K34-K34)</f>
        <v>0</v>
      </c>
      <c r="AG34" s="167" t="n">
        <f aca="false">IF('HC by Program-Term'!$Y34="","—",'HC by Program-Term'!L34-L34)</f>
        <v>0</v>
      </c>
      <c r="AH34" s="167" t="n">
        <f aca="false">IF('HC by Program-Term'!$Y34="","—",'HC by Program-Term'!M34-M34)</f>
        <v>0</v>
      </c>
      <c r="AI34" s="167" t="n">
        <f aca="false">IF('HC by Program-Term'!$Y34="","—",'HC by Program-Term'!N34-N34)</f>
        <v>0</v>
      </c>
      <c r="AJ34" s="167" t="n">
        <f aca="false">IF('HC by Program-Term'!$Y34="","—",'HC by Program-Term'!O34-O34)</f>
        <v>20</v>
      </c>
      <c r="AK34" s="167" t="n">
        <f aca="false">IF('HC by Program-Term'!$Y34="","—",'HC by Program-Term'!P34-P34)</f>
        <v>19</v>
      </c>
      <c r="AL34" s="167" t="n">
        <f aca="false">IF('HC by Program-Term'!$Y34="","—",'HC by Program-Term'!Q34-Q34)</f>
        <v>43</v>
      </c>
      <c r="AM34" s="167" t="n">
        <f aca="false">IF('HC by Program-Term'!$Y34="","—",'HC by Program-Term'!R34-R34)</f>
        <v>61</v>
      </c>
      <c r="AN34" s="167" t="n">
        <f aca="false">IF('HC by Program-Term'!$Y34="","—",'HC by Program-Term'!S34-S34)</f>
        <v>38</v>
      </c>
      <c r="AO34" s="167" t="n">
        <f aca="false">IF('HC by Program-Term'!$Y34="","—",'HC by Program-Term'!T34-T34)</f>
        <v>53</v>
      </c>
      <c r="AP34" s="167" t="n">
        <f aca="false">IF('HC by Program-Term'!$Y34="","—",'HC by Program-Term'!U34-U34)</f>
        <v>66</v>
      </c>
      <c r="AQ34" s="167" t="n">
        <f aca="false">IF('HC by Program-Term'!$Y34="","—",'HC by Program-Term'!V34-V34)</f>
        <v>48</v>
      </c>
      <c r="AR34" s="168"/>
      <c r="AS34" s="151" t="n">
        <f aca="false">IF('HC by Program-Term'!$Y34="","—",SUM(C34:V34))</f>
        <v>187</v>
      </c>
      <c r="AT34" s="151" t="n">
        <f aca="false">IF('HC by Program-Term'!$Y34="","—",SUM(X34:AQ34))</f>
        <v>348</v>
      </c>
    </row>
    <row r="35" customFormat="false" ht="15" hidden="false" customHeight="true" outlineLevel="0" collapsed="false">
      <c r="A35" s="162" t="str">
        <f aca="false">'Program List'!A30</f>
        <v>M435</v>
      </c>
      <c r="B35" s="163" t="str">
        <f aca="false">'Program List'!B30</f>
        <v>Master of Science in Finance</v>
      </c>
      <c r="C35" s="164" t="n">
        <f aca="false">IF('HC by Program-Term'!$Y35="","—",SUMIFS('Program LTR Retention'!B$404:B$426,'Program LTR Retention'!$A$404:$A$426,"201930"))</f>
        <v>3</v>
      </c>
      <c r="D35" s="164" t="n">
        <f aca="false">IF('HC by Program-Term'!$Y35="","—",SUMIFS('Program LTR Retention'!C$404:C$426,'Program LTR Retention'!$A$404:$A$426,"202010"))</f>
        <v>47</v>
      </c>
      <c r="E35" s="164" t="n">
        <f aca="false">IF('HC by Program-Term'!$Y35="","—",SUMIFS('Program LTR Retention'!D$404:D$426,'Program LTR Retention'!$A$404:$A$426,"202020"))</f>
        <v>35</v>
      </c>
      <c r="F35" s="164" t="n">
        <f aca="false">IF('HC by Program-Term'!$Y35="","—",SUMIFS('Program LTR Retention'!E$404:E$426,'Program LTR Retention'!$A$404:$A$426,"202030"))</f>
        <v>1</v>
      </c>
      <c r="G35" s="164" t="n">
        <f aca="false">IF('HC by Program-Term'!$Y35="","—",SUMIFS('Program LTR Retention'!F$404:F$426,'Program LTR Retention'!$A$404:$A$426,"202110"))</f>
        <v>42</v>
      </c>
      <c r="H35" s="164" t="n">
        <f aca="false">IF('HC by Program-Term'!$Y35="","—",SUMIFS('Program LTR Retention'!G$404:G$426,'Program LTR Retention'!$A$404:$A$426,"202120"))</f>
        <v>30</v>
      </c>
      <c r="I35" s="164" t="n">
        <f aca="false">IF('HC by Program-Term'!$Y35="","—",SUMIFS('Program LTR Retention'!H$404:H$426,'Program LTR Retention'!$A$404:$A$426,"202130"))</f>
        <v>7</v>
      </c>
      <c r="J35" s="164" t="n">
        <f aca="false">IF('HC by Program-Term'!$Y35="","—",SUMIFS('Program LTR Retention'!I$404:I$426,'Program LTR Retention'!$A$404:$A$426,"202210"))</f>
        <v>32</v>
      </c>
      <c r="K35" s="164" t="n">
        <f aca="false">IF('HC by Program-Term'!$Y35="","—",SUMIFS('Program LTR Retention'!J$404:J$426,'Program LTR Retention'!$A$404:$A$426,"202220"))</f>
        <v>17</v>
      </c>
      <c r="L35" s="164" t="n">
        <f aca="false">IF('HC by Program-Term'!$Y35="","—",SUMIFS('Program LTR Retention'!K$404:K$426,'Program LTR Retention'!$A$404:$A$426,"202230"))</f>
        <v>9</v>
      </c>
      <c r="M35" s="164" t="n">
        <f aca="false">IF('HC by Program-Term'!$Y35="","—",SUMIFS('Program LTR Retention'!L$404:L$426,'Program LTR Retention'!$A$404:$A$426,"202310"))</f>
        <v>23</v>
      </c>
      <c r="N35" s="164" t="n">
        <f aca="false">IF('HC by Program-Term'!$Y35="","—",SUMIFS('Program LTR Retention'!M$404:M$426,'Program LTR Retention'!$A$404:$A$426,"202320"))</f>
        <v>16</v>
      </c>
      <c r="O35" s="164" t="n">
        <f aca="false">IF('HC by Program-Term'!$Y35="","—",SUMIFS('Program LTR Retention'!N$404:N$426,'Program LTR Retention'!$A$404:$A$426,"202330"))</f>
        <v>2</v>
      </c>
      <c r="P35" s="164" t="n">
        <f aca="false">IF('HC by Program-Term'!$Y35="","—",SUMIFS('Program LTR Retention'!O$404:O$426,'Program LTR Retention'!$A$404:$A$426,"202410"))</f>
        <v>24</v>
      </c>
      <c r="Q35" s="164" t="n">
        <f aca="false">IF('HC by Program-Term'!$Y35="","—",SUMIFS('Program LTR Retention'!P$404:P$426,'Program LTR Retention'!$A$404:$A$426,"202420"))</f>
        <v>22</v>
      </c>
      <c r="R35" s="164" t="n">
        <f aca="false">IF('HC by Program-Term'!$Y35="","—",SUMIFS('Program LTR Retention'!Q$404:Q$426,'Program LTR Retention'!$A$404:$A$426,"202430"))</f>
        <v>8</v>
      </c>
      <c r="S35" s="164" t="n">
        <f aca="false">IF('HC by Program-Term'!$Y35="","—",SUMIFS('Program LTR Retention'!R$404:R$426,'Program LTR Retention'!$A$404:$A$426,"202510"))</f>
        <v>27</v>
      </c>
      <c r="T35" s="164" t="n">
        <f aca="false">IF('HC by Program-Term'!$Y35="","—",SUMIFS('Program LTR Retention'!S$404:S$426,'Program LTR Retention'!$A$404:$A$426,"202520"))</f>
        <v>21</v>
      </c>
      <c r="U35" s="164" t="n">
        <f aca="false">IF('HC by Program-Term'!$Y35="","—",SUMIFS('Program LTR Retention'!T$404:T$426,'Program LTR Retention'!$A$404:$A$426,"202530"))</f>
        <v>9</v>
      </c>
      <c r="V35" s="164" t="n">
        <f aca="false">IF('HC by Program-Term'!$Y35="","—",SUMIFS('Program LTR Retention'!U$404:U$426,'Program LTR Retention'!$A$404:$A$426,"202610"))</f>
        <v>27</v>
      </c>
      <c r="X35" s="164" t="n">
        <f aca="false">IF('HC by Program-Term'!$Y35="","—",'HC by Program-Term'!C35-C35)</f>
        <v>0</v>
      </c>
      <c r="Y35" s="164" t="n">
        <f aca="false">IF('HC by Program-Term'!$Y35="","—",'HC by Program-Term'!D35-D35)</f>
        <v>3</v>
      </c>
      <c r="Z35" s="164" t="n">
        <f aca="false">IF('HC by Program-Term'!$Y35="","—",'HC by Program-Term'!E35-E35)</f>
        <v>45</v>
      </c>
      <c r="AA35" s="164" t="n">
        <f aca="false">IF('HC by Program-Term'!$Y35="","—",'HC by Program-Term'!F35-F35)</f>
        <v>67</v>
      </c>
      <c r="AB35" s="164" t="n">
        <f aca="false">IF('HC by Program-Term'!$Y35="","—",'HC by Program-Term'!G35-G35)</f>
        <v>65</v>
      </c>
      <c r="AC35" s="164" t="n">
        <f aca="false">IF('HC by Program-Term'!$Y35="","—",'HC by Program-Term'!H35-H35)</f>
        <v>70</v>
      </c>
      <c r="AD35" s="164" t="n">
        <f aca="false">IF('HC by Program-Term'!$Y35="","—",'HC by Program-Term'!I35-I35)</f>
        <v>66</v>
      </c>
      <c r="AE35" s="164" t="n">
        <f aca="false">IF('HC by Program-Term'!$Y35="","—",'HC by Program-Term'!J35-J35)</f>
        <v>72</v>
      </c>
      <c r="AF35" s="164" t="n">
        <f aca="false">IF('HC by Program-Term'!$Y35="","—",'HC by Program-Term'!K35-K35)</f>
        <v>66</v>
      </c>
      <c r="AG35" s="164" t="n">
        <f aca="false">IF('HC by Program-Term'!$Y35="","—",'HC by Program-Term'!L35-L35)</f>
        <v>41</v>
      </c>
      <c r="AH35" s="164" t="n">
        <f aca="false">IF('HC by Program-Term'!$Y35="","—",'HC by Program-Term'!M35-M35)</f>
        <v>52</v>
      </c>
      <c r="AI35" s="164" t="n">
        <f aca="false">IF('HC by Program-Term'!$Y35="","—",'HC by Program-Term'!N35-N35)</f>
        <v>47</v>
      </c>
      <c r="AJ35" s="164" t="n">
        <f aca="false">IF('HC by Program-Term'!$Y35="","—",'HC by Program-Term'!O35-O35)</f>
        <v>40</v>
      </c>
      <c r="AK35" s="164" t="n">
        <f aca="false">IF('HC by Program-Term'!$Y35="","—",'HC by Program-Term'!P35-P35)</f>
        <v>41</v>
      </c>
      <c r="AL35" s="164" t="n">
        <f aca="false">IF('HC by Program-Term'!$Y35="","—",'HC by Program-Term'!Q35-Q35)</f>
        <v>38</v>
      </c>
      <c r="AM35" s="164" t="n">
        <f aca="false">IF('HC by Program-Term'!$Y35="","—",'HC by Program-Term'!R35-R35)</f>
        <v>38</v>
      </c>
      <c r="AN35" s="164" t="n">
        <f aca="false">IF('HC by Program-Term'!$Y35="","—",'HC by Program-Term'!S35-S35)</f>
        <v>45</v>
      </c>
      <c r="AO35" s="164" t="n">
        <f aca="false">IF('HC by Program-Term'!$Y35="","—",'HC by Program-Term'!T35-T35)</f>
        <v>52</v>
      </c>
      <c r="AP35" s="164" t="n">
        <f aca="false">IF('HC by Program-Term'!$Y35="","—",'HC by Program-Term'!U35-U35)</f>
        <v>46</v>
      </c>
      <c r="AQ35" s="164" t="n">
        <f aca="false">IF('HC by Program-Term'!$Y35="","—",'HC by Program-Term'!V35-V35)</f>
        <v>50</v>
      </c>
      <c r="AS35" s="147" t="n">
        <f aca="false">IF('HC by Program-Term'!$Y35="","—",SUM(C35:V35))</f>
        <v>402</v>
      </c>
      <c r="AT35" s="147" t="n">
        <f aca="false">IF('HC by Program-Term'!$Y35="","—",SUM(X35:AQ35))</f>
        <v>944</v>
      </c>
    </row>
    <row r="36" customFormat="false" ht="15" hidden="false" customHeight="true" outlineLevel="0" collapsed="false">
      <c r="A36" s="165" t="str">
        <f aca="false">'Program List'!A31</f>
        <v>M464</v>
      </c>
      <c r="B36" s="166" t="str">
        <f aca="false">'Program List'!B31</f>
        <v>Master of Science in Geospatial Technology</v>
      </c>
      <c r="C36" s="167" t="n">
        <f aca="false">IF('HC by Program-Term'!$Y36="","—",SUMIFS('Program LTR Retention'!B$428:B$443,'Program LTR Retention'!$A$428:$A$443,"201930"))</f>
        <v>0</v>
      </c>
      <c r="D36" s="167" t="n">
        <f aca="false">IF('HC by Program-Term'!$Y36="","—",SUMIFS('Program LTR Retention'!C$428:C$443,'Program LTR Retention'!$A$428:$A$443,"202010"))</f>
        <v>18</v>
      </c>
      <c r="E36" s="167" t="n">
        <f aca="false">IF('HC by Program-Term'!$Y36="","—",SUMIFS('Program LTR Retention'!D$428:D$443,'Program LTR Retention'!$A$428:$A$443,"202020"))</f>
        <v>21</v>
      </c>
      <c r="F36" s="167" t="n">
        <f aca="false">IF('HC by Program-Term'!$Y36="","—",SUMIFS('Program LTR Retention'!E$428:E$443,'Program LTR Retention'!$A$428:$A$443,"202030"))</f>
        <v>0</v>
      </c>
      <c r="G36" s="167" t="n">
        <f aca="false">IF('HC by Program-Term'!$Y36="","—",SUMIFS('Program LTR Retention'!F$428:F$443,'Program LTR Retention'!$A$428:$A$443,"202110"))</f>
        <v>17</v>
      </c>
      <c r="H36" s="167" t="n">
        <f aca="false">IF('HC by Program-Term'!$Y36="","—",SUMIFS('Program LTR Retention'!G$428:G$443,'Program LTR Retention'!$A$428:$A$443,"202120"))</f>
        <v>10</v>
      </c>
      <c r="I36" s="167" t="n">
        <f aca="false">IF('HC by Program-Term'!$Y36="","—",SUMIFS('Program LTR Retention'!H$428:H$443,'Program LTR Retention'!$A$428:$A$443,"202130"))</f>
        <v>0</v>
      </c>
      <c r="J36" s="167" t="n">
        <f aca="false">IF('HC by Program-Term'!$Y36="","—",SUMIFS('Program LTR Retention'!I$428:I$443,'Program LTR Retention'!$A$428:$A$443,"202210"))</f>
        <v>10</v>
      </c>
      <c r="K36" s="167" t="n">
        <f aca="false">IF('HC by Program-Term'!$Y36="","—",SUMIFS('Program LTR Retention'!J$428:J$443,'Program LTR Retention'!$A$428:$A$443,"202220"))</f>
        <v>7</v>
      </c>
      <c r="L36" s="167" t="n">
        <f aca="false">IF('HC by Program-Term'!$Y36="","—",SUMIFS('Program LTR Retention'!K$428:K$443,'Program LTR Retention'!$A$428:$A$443,"202230"))</f>
        <v>0</v>
      </c>
      <c r="M36" s="167" t="n">
        <f aca="false">IF('HC by Program-Term'!$Y36="","—",SUMIFS('Program LTR Retention'!L$428:L$443,'Program LTR Retention'!$A$428:$A$443,"202310"))</f>
        <v>8</v>
      </c>
      <c r="N36" s="167" t="n">
        <f aca="false">IF('HC by Program-Term'!$Y36="","—",SUMIFS('Program LTR Retention'!M$428:M$443,'Program LTR Retention'!$A$428:$A$443,"202320"))</f>
        <v>12</v>
      </c>
      <c r="O36" s="167" t="n">
        <f aca="false">IF('HC by Program-Term'!$Y36="","—",SUMIFS('Program LTR Retention'!N$428:N$443,'Program LTR Retention'!$A$428:$A$443,"202330"))</f>
        <v>0</v>
      </c>
      <c r="P36" s="167" t="n">
        <f aca="false">IF('HC by Program-Term'!$Y36="","—",SUMIFS('Program LTR Retention'!O$428:O$443,'Program LTR Retention'!$A$428:$A$443,"202410"))</f>
        <v>11</v>
      </c>
      <c r="Q36" s="167" t="n">
        <f aca="false">IF('HC by Program-Term'!$Y36="","—",SUMIFS('Program LTR Retention'!P$428:P$443,'Program LTR Retention'!$A$428:$A$443,"202420"))</f>
        <v>1</v>
      </c>
      <c r="R36" s="167" t="n">
        <f aca="false">IF('HC by Program-Term'!$Y36="","—",SUMIFS('Program LTR Retention'!Q$428:Q$443,'Program LTR Retention'!$A$428:$A$443,"202430"))</f>
        <v>0</v>
      </c>
      <c r="S36" s="167" t="n">
        <f aca="false">IF('HC by Program-Term'!$Y36="","—",SUMIFS('Program LTR Retention'!R$428:R$443,'Program LTR Retention'!$A$428:$A$443,"202510"))</f>
        <v>8</v>
      </c>
      <c r="T36" s="167" t="n">
        <f aca="false">IF('HC by Program-Term'!$Y36="","—",SUMIFS('Program LTR Retention'!S$428:S$443,'Program LTR Retention'!$A$428:$A$443,"202520"))</f>
        <v>5</v>
      </c>
      <c r="U36" s="167" t="n">
        <f aca="false">IF('HC by Program-Term'!$Y36="","—",SUMIFS('Program LTR Retention'!T$428:T$443,'Program LTR Retention'!$A$428:$A$443,"202530"))</f>
        <v>0</v>
      </c>
      <c r="V36" s="167" t="n">
        <f aca="false">IF('HC by Program-Term'!$Y36="","—",SUMIFS('Program LTR Retention'!U$428:U$443,'Program LTR Retention'!$A$428:$A$443,"202610"))</f>
        <v>3</v>
      </c>
      <c r="W36" s="168"/>
      <c r="X36" s="167" t="n">
        <f aca="false">IF('HC by Program-Term'!$Y36="","—",'HC by Program-Term'!C36-C36)</f>
        <v>0</v>
      </c>
      <c r="Y36" s="167" t="n">
        <f aca="false">IF('HC by Program-Term'!$Y36="","—",'HC by Program-Term'!D36-D36)</f>
        <v>0</v>
      </c>
      <c r="Z36" s="167" t="n">
        <f aca="false">IF('HC by Program-Term'!$Y36="","—",'HC by Program-Term'!E36-E36)</f>
        <v>15</v>
      </c>
      <c r="AA36" s="167" t="n">
        <f aca="false">IF('HC by Program-Term'!$Y36="","—",'HC by Program-Term'!F36-F36)</f>
        <v>30</v>
      </c>
      <c r="AB36" s="167" t="n">
        <f aca="false">IF('HC by Program-Term'!$Y36="","—",'HC by Program-Term'!G36-G36)</f>
        <v>29</v>
      </c>
      <c r="AC36" s="167" t="n">
        <f aca="false">IF('HC by Program-Term'!$Y36="","—",'HC by Program-Term'!H36-H36)</f>
        <v>41</v>
      </c>
      <c r="AD36" s="167" t="n">
        <f aca="false">IF('HC by Program-Term'!$Y36="","—",'HC by Program-Term'!I36-I36)</f>
        <v>39</v>
      </c>
      <c r="AE36" s="167" t="n">
        <f aca="false">IF('HC by Program-Term'!$Y36="","—",'HC by Program-Term'!J36-J36)</f>
        <v>26</v>
      </c>
      <c r="AF36" s="167" t="n">
        <f aca="false">IF('HC by Program-Term'!$Y36="","—",'HC by Program-Term'!K36-K36)</f>
        <v>33</v>
      </c>
      <c r="AG36" s="167" t="n">
        <f aca="false">IF('HC by Program-Term'!$Y36="","—",'HC by Program-Term'!L36-L36)</f>
        <v>24</v>
      </c>
      <c r="AH36" s="167" t="n">
        <f aca="false">IF('HC by Program-Term'!$Y36="","—",'HC by Program-Term'!M36-M36)</f>
        <v>19</v>
      </c>
      <c r="AI36" s="167" t="n">
        <f aca="false">IF('HC by Program-Term'!$Y36="","—",'HC by Program-Term'!N36-N36)</f>
        <v>22</v>
      </c>
      <c r="AJ36" s="167" t="n">
        <f aca="false">IF('HC by Program-Term'!$Y36="","—",'HC by Program-Term'!O36-O36)</f>
        <v>16</v>
      </c>
      <c r="AK36" s="167" t="n">
        <f aca="false">IF('HC by Program-Term'!$Y36="","—",'HC by Program-Term'!P36-P36)</f>
        <v>15</v>
      </c>
      <c r="AL36" s="167" t="n">
        <f aca="false">IF('HC by Program-Term'!$Y36="","—",'HC by Program-Term'!Q36-Q36)</f>
        <v>21</v>
      </c>
      <c r="AM36" s="167" t="n">
        <f aca="false">IF('HC by Program-Term'!$Y36="","—",'HC by Program-Term'!R36-R36)</f>
        <v>20</v>
      </c>
      <c r="AN36" s="167" t="n">
        <f aca="false">IF('HC by Program-Term'!$Y36="","—",'HC by Program-Term'!S36-S36)</f>
        <v>10</v>
      </c>
      <c r="AO36" s="167" t="n">
        <f aca="false">IF('HC by Program-Term'!$Y36="","—",'HC by Program-Term'!T36-T36)</f>
        <v>14</v>
      </c>
      <c r="AP36" s="167" t="n">
        <f aca="false">IF('HC by Program-Term'!$Y36="","—",'HC by Program-Term'!U36-U36)</f>
        <v>12</v>
      </c>
      <c r="AQ36" s="167" t="n">
        <f aca="false">IF('HC by Program-Term'!$Y36="","—",'HC by Program-Term'!V36-V36)</f>
        <v>12</v>
      </c>
      <c r="AR36" s="168"/>
      <c r="AS36" s="151" t="n">
        <f aca="false">IF('HC by Program-Term'!$Y36="","—",SUM(C36:V36))</f>
        <v>131</v>
      </c>
      <c r="AT36" s="151" t="n">
        <f aca="false">IF('HC by Program-Term'!$Y36="","—",SUM(X36:AQ36))</f>
        <v>398</v>
      </c>
    </row>
    <row r="37" customFormat="false" ht="15" hidden="false" customHeight="true" outlineLevel="0" collapsed="false">
      <c r="A37" s="162" t="str">
        <f aca="false">'Program List'!A32</f>
        <v>M527</v>
      </c>
      <c r="B37" s="163" t="str">
        <f aca="false">'Program List'!B32</f>
        <v>Master of Science in Industrial and Systems Engineering</v>
      </c>
      <c r="C37" s="164" t="n">
        <f aca="false">IF('HC by Program-Term'!$Y37="","—",SUMIFS('Program LTR Retention'!B$445:B$458,'Program LTR Retention'!$A$445:$A$458,"201930"))</f>
        <v>0</v>
      </c>
      <c r="D37" s="164" t="n">
        <f aca="false">IF('HC by Program-Term'!$Y37="","—",SUMIFS('Program LTR Retention'!C$445:C$458,'Program LTR Retention'!$A$445:$A$458,"202010"))</f>
        <v>0</v>
      </c>
      <c r="E37" s="164" t="n">
        <f aca="false">IF('HC by Program-Term'!$Y37="","—",SUMIFS('Program LTR Retention'!D$445:D$458,'Program LTR Retention'!$A$445:$A$458,"202020"))</f>
        <v>0</v>
      </c>
      <c r="F37" s="164" t="n">
        <f aca="false">IF('HC by Program-Term'!$Y37="","—",SUMIFS('Program LTR Retention'!E$445:E$458,'Program LTR Retention'!$A$445:$A$458,"202030"))</f>
        <v>0</v>
      </c>
      <c r="G37" s="164" t="n">
        <f aca="false">IF('HC by Program-Term'!$Y37="","—",SUMIFS('Program LTR Retention'!F$445:F$458,'Program LTR Retention'!$A$445:$A$458,"202110"))</f>
        <v>8</v>
      </c>
      <c r="H37" s="164" t="n">
        <f aca="false">IF('HC by Program-Term'!$Y37="","—",SUMIFS('Program LTR Retention'!G$445:G$458,'Program LTR Retention'!$A$445:$A$458,"202120"))</f>
        <v>13</v>
      </c>
      <c r="I37" s="164" t="n">
        <f aca="false">IF('HC by Program-Term'!$Y37="","—",SUMIFS('Program LTR Retention'!H$445:H$458,'Program LTR Retention'!$A$445:$A$458,"202130"))</f>
        <v>0</v>
      </c>
      <c r="J37" s="164" t="n">
        <f aca="false">IF('HC by Program-Term'!$Y37="","—",SUMIFS('Program LTR Retention'!I$445:I$458,'Program LTR Retention'!$A$445:$A$458,"202210"))</f>
        <v>12</v>
      </c>
      <c r="K37" s="164" t="n">
        <f aca="false">IF('HC by Program-Term'!$Y37="","—",SUMIFS('Program LTR Retention'!J$445:J$458,'Program LTR Retention'!$A$445:$A$458,"202220"))</f>
        <v>11</v>
      </c>
      <c r="L37" s="164" t="n">
        <f aca="false">IF('HC by Program-Term'!$Y37="","—",SUMIFS('Program LTR Retention'!K$445:K$458,'Program LTR Retention'!$A$445:$A$458,"202230"))</f>
        <v>0</v>
      </c>
      <c r="M37" s="164" t="n">
        <f aca="false">IF('HC by Program-Term'!$Y37="","—",SUMIFS('Program LTR Retention'!L$445:L$458,'Program LTR Retention'!$A$445:$A$458,"202310"))</f>
        <v>21</v>
      </c>
      <c r="N37" s="164" t="n">
        <f aca="false">IF('HC by Program-Term'!$Y37="","—",SUMIFS('Program LTR Retention'!M$445:M$458,'Program LTR Retention'!$A$445:$A$458,"202320"))</f>
        <v>26</v>
      </c>
      <c r="O37" s="164" t="n">
        <f aca="false">IF('HC by Program-Term'!$Y37="","—",SUMIFS('Program LTR Retention'!N$445:N$458,'Program LTR Retention'!$A$445:$A$458,"202330"))</f>
        <v>0</v>
      </c>
      <c r="P37" s="164" t="n">
        <f aca="false">IF('HC by Program-Term'!$Y37="","—",SUMIFS('Program LTR Retention'!O$445:O$458,'Program LTR Retention'!$A$445:$A$458,"202410"))</f>
        <v>25</v>
      </c>
      <c r="Q37" s="164" t="n">
        <f aca="false">IF('HC by Program-Term'!$Y37="","—",SUMIFS('Program LTR Retention'!P$445:P$458,'Program LTR Retention'!$A$445:$A$458,"202420"))</f>
        <v>29</v>
      </c>
      <c r="R37" s="164" t="n">
        <f aca="false">IF('HC by Program-Term'!$Y37="","—",SUMIFS('Program LTR Retention'!Q$445:Q$458,'Program LTR Retention'!$A$445:$A$458,"202430"))</f>
        <v>0</v>
      </c>
      <c r="S37" s="164" t="n">
        <f aca="false">IF('HC by Program-Term'!$Y37="","—",SUMIFS('Program LTR Retention'!R$445:R$458,'Program LTR Retention'!$A$445:$A$458,"202510"))</f>
        <v>28</v>
      </c>
      <c r="T37" s="164" t="n">
        <f aca="false">IF('HC by Program-Term'!$Y37="","—",SUMIFS('Program LTR Retention'!S$445:S$458,'Program LTR Retention'!$A$445:$A$458,"202520"))</f>
        <v>30</v>
      </c>
      <c r="U37" s="164" t="n">
        <f aca="false">IF('HC by Program-Term'!$Y37="","—",SUMIFS('Program LTR Retention'!T$445:T$458,'Program LTR Retention'!$A$445:$A$458,"202530"))</f>
        <v>0</v>
      </c>
      <c r="V37" s="164" t="n">
        <f aca="false">IF('HC by Program-Term'!$Y37="","—",SUMIFS('Program LTR Retention'!U$445:U$458,'Program LTR Retention'!$A$445:$A$458,"202610"))</f>
        <v>43</v>
      </c>
      <c r="X37" s="164" t="n">
        <f aca="false">IF('HC by Program-Term'!$Y37="","—",'HC by Program-Term'!C37-C37)</f>
        <v>0</v>
      </c>
      <c r="Y37" s="164" t="n">
        <f aca="false">IF('HC by Program-Term'!$Y37="","—",'HC by Program-Term'!D37-D37)</f>
        <v>0</v>
      </c>
      <c r="Z37" s="164" t="n">
        <f aca="false">IF('HC by Program-Term'!$Y37="","—",'HC by Program-Term'!E37-E37)</f>
        <v>0</v>
      </c>
      <c r="AA37" s="164" t="n">
        <f aca="false">IF('HC by Program-Term'!$Y37="","—",'HC by Program-Term'!F37-F37)</f>
        <v>0</v>
      </c>
      <c r="AB37" s="164" t="n">
        <f aca="false">IF('HC by Program-Term'!$Y37="","—",'HC by Program-Term'!G37-G37)</f>
        <v>0</v>
      </c>
      <c r="AC37" s="164" t="n">
        <f aca="false">IF('HC by Program-Term'!$Y37="","—",'HC by Program-Term'!H37-H37)</f>
        <v>8</v>
      </c>
      <c r="AD37" s="164" t="n">
        <f aca="false">IF('HC by Program-Term'!$Y37="","—",'HC by Program-Term'!I37-I37)</f>
        <v>10</v>
      </c>
      <c r="AE37" s="164" t="n">
        <f aca="false">IF('HC by Program-Term'!$Y37="","—",'HC by Program-Term'!J37-J37)</f>
        <v>10</v>
      </c>
      <c r="AF37" s="164" t="n">
        <f aca="false">IF('HC by Program-Term'!$Y37="","—",'HC by Program-Term'!K37-K37)</f>
        <v>15</v>
      </c>
      <c r="AG37" s="164" t="n">
        <f aca="false">IF('HC by Program-Term'!$Y37="","—",'HC by Program-Term'!L37-L37)</f>
        <v>20</v>
      </c>
      <c r="AH37" s="164" t="n">
        <f aca="false">IF('HC by Program-Term'!$Y37="","—",'HC by Program-Term'!M37-M37)</f>
        <v>16</v>
      </c>
      <c r="AI37" s="164" t="n">
        <f aca="false">IF('HC by Program-Term'!$Y37="","—",'HC by Program-Term'!N37-N37)</f>
        <v>27</v>
      </c>
      <c r="AJ37" s="164" t="n">
        <f aca="false">IF('HC by Program-Term'!$Y37="","—",'HC by Program-Term'!O37-O37)</f>
        <v>42</v>
      </c>
      <c r="AK37" s="164" t="n">
        <f aca="false">IF('HC by Program-Term'!$Y37="","—",'HC by Program-Term'!P37-P37)</f>
        <v>38</v>
      </c>
      <c r="AL37" s="164" t="n">
        <f aca="false">IF('HC by Program-Term'!$Y37="","—",'HC by Program-Term'!Q37-Q37)</f>
        <v>60</v>
      </c>
      <c r="AM37" s="164" t="n">
        <f aca="false">IF('HC by Program-Term'!$Y37="","—",'HC by Program-Term'!R37-R37)</f>
        <v>57</v>
      </c>
      <c r="AN37" s="164" t="n">
        <f aca="false">IF('HC by Program-Term'!$Y37="","—",'HC by Program-Term'!S37-S37)</f>
        <v>43</v>
      </c>
      <c r="AO37" s="164" t="n">
        <f aca="false">IF('HC by Program-Term'!$Y37="","—",'HC by Program-Term'!T37-T37)</f>
        <v>68</v>
      </c>
      <c r="AP37" s="164" t="n">
        <f aca="false">IF('HC by Program-Term'!$Y37="","—",'HC by Program-Term'!U37-U37)</f>
        <v>65</v>
      </c>
      <c r="AQ37" s="164" t="n">
        <f aca="false">IF('HC by Program-Term'!$Y37="","—",'HC by Program-Term'!V37-V37)</f>
        <v>50</v>
      </c>
      <c r="AS37" s="147" t="n">
        <f aca="false">IF('HC by Program-Term'!$Y37="","—",SUM(C37:V37))</f>
        <v>246</v>
      </c>
      <c r="AT37" s="147" t="n">
        <f aca="false">IF('HC by Program-Term'!$Y37="","—",SUM(X37:AQ37))</f>
        <v>529</v>
      </c>
    </row>
    <row r="38" customFormat="false" ht="15" hidden="false" customHeight="true" outlineLevel="0" collapsed="false">
      <c r="A38" s="165" t="str">
        <f aca="false">'Program List'!A33</f>
        <v>M746</v>
      </c>
      <c r="B38" s="166" t="str">
        <f aca="false">'Program List'!B33</f>
        <v>Master of Science in Natural Gas Engineering and Management</v>
      </c>
      <c r="C38" s="167" t="n">
        <f aca="false">IF('HC by Program-Term'!$Y38="","—",SUMIFS('Program LTR Retention'!B$460:B$477,'Program LTR Retention'!$A$460:$A$477,"201930"))</f>
        <v>3</v>
      </c>
      <c r="D38" s="167" t="n">
        <f aca="false">IF('HC by Program-Term'!$Y38="","—",SUMIFS('Program LTR Retention'!C$460:C$477,'Program LTR Retention'!$A$460:$A$477,"202010"))</f>
        <v>6</v>
      </c>
      <c r="E38" s="167" t="n">
        <f aca="false">IF('HC by Program-Term'!$Y38="","—",SUMIFS('Program LTR Retention'!D$460:D$477,'Program LTR Retention'!$A$460:$A$477,"202020"))</f>
        <v>3</v>
      </c>
      <c r="F38" s="167" t="n">
        <f aca="false">IF('HC by Program-Term'!$Y38="","—",SUMIFS('Program LTR Retention'!E$460:E$477,'Program LTR Retention'!$A$460:$A$477,"202030"))</f>
        <v>0</v>
      </c>
      <c r="G38" s="167" t="n">
        <f aca="false">IF('HC by Program-Term'!$Y38="","—",SUMIFS('Program LTR Retention'!F$460:F$477,'Program LTR Retention'!$A$460:$A$477,"202110"))</f>
        <v>9</v>
      </c>
      <c r="H38" s="167" t="n">
        <f aca="false">IF('HC by Program-Term'!$Y38="","—",SUMIFS('Program LTR Retention'!G$460:G$477,'Program LTR Retention'!$A$460:$A$477,"202120"))</f>
        <v>7</v>
      </c>
      <c r="I38" s="167" t="n">
        <f aca="false">IF('HC by Program-Term'!$Y38="","—",SUMIFS('Program LTR Retention'!H$460:H$477,'Program LTR Retention'!$A$460:$A$477,"202130"))</f>
        <v>0</v>
      </c>
      <c r="J38" s="167" t="n">
        <f aca="false">IF('HC by Program-Term'!$Y38="","—",SUMIFS('Program LTR Retention'!I$460:I$477,'Program LTR Retention'!$A$460:$A$477,"202210"))</f>
        <v>9</v>
      </c>
      <c r="K38" s="167" t="n">
        <f aca="false">IF('HC by Program-Term'!$Y38="","—",SUMIFS('Program LTR Retention'!J$460:J$477,'Program LTR Retention'!$A$460:$A$477,"202220"))</f>
        <v>11</v>
      </c>
      <c r="L38" s="167" t="n">
        <f aca="false">IF('HC by Program-Term'!$Y38="","—",SUMIFS('Program LTR Retention'!K$460:K$477,'Program LTR Retention'!$A$460:$A$477,"202230"))</f>
        <v>0</v>
      </c>
      <c r="M38" s="167" t="n">
        <f aca="false">IF('HC by Program-Term'!$Y38="","—",SUMIFS('Program LTR Retention'!L$460:L$477,'Program LTR Retention'!$A$460:$A$477,"202310"))</f>
        <v>21</v>
      </c>
      <c r="N38" s="167" t="n">
        <f aca="false">IF('HC by Program-Term'!$Y38="","—",SUMIFS('Program LTR Retention'!M$460:M$477,'Program LTR Retention'!$A$460:$A$477,"202320"))</f>
        <v>13</v>
      </c>
      <c r="O38" s="167" t="n">
        <f aca="false">IF('HC by Program-Term'!$Y38="","—",SUMIFS('Program LTR Retention'!N$460:N$477,'Program LTR Retention'!$A$460:$A$477,"202330"))</f>
        <v>1</v>
      </c>
      <c r="P38" s="167" t="n">
        <f aca="false">IF('HC by Program-Term'!$Y38="","—",SUMIFS('Program LTR Retention'!O$460:O$477,'Program LTR Retention'!$A$460:$A$477,"202410"))</f>
        <v>19</v>
      </c>
      <c r="Q38" s="167" t="n">
        <f aca="false">IF('HC by Program-Term'!$Y38="","—",SUMIFS('Program LTR Retention'!P$460:P$477,'Program LTR Retention'!$A$460:$A$477,"202420"))</f>
        <v>15</v>
      </c>
      <c r="R38" s="167" t="n">
        <f aca="false">IF('HC by Program-Term'!$Y38="","—",SUMIFS('Program LTR Retention'!Q$460:Q$477,'Program LTR Retention'!$A$460:$A$477,"202430"))</f>
        <v>0</v>
      </c>
      <c r="S38" s="167" t="n">
        <f aca="false">IF('HC by Program-Term'!$Y38="","—",SUMIFS('Program LTR Retention'!R$460:R$477,'Program LTR Retention'!$A$460:$A$477,"202510"))</f>
        <v>22</v>
      </c>
      <c r="T38" s="167" t="n">
        <f aca="false">IF('HC by Program-Term'!$Y38="","—",SUMIFS('Program LTR Retention'!S$460:S$477,'Program LTR Retention'!$A$460:$A$477,"202520"))</f>
        <v>16</v>
      </c>
      <c r="U38" s="167" t="n">
        <f aca="false">IF('HC by Program-Term'!$Y38="","—",SUMIFS('Program LTR Retention'!T$460:T$477,'Program LTR Retention'!$A$460:$A$477,"202530"))</f>
        <v>0</v>
      </c>
      <c r="V38" s="167" t="n">
        <f aca="false">IF('HC by Program-Term'!$Y38="","—",SUMIFS('Program LTR Retention'!U$460:U$477,'Program LTR Retention'!$A$460:$A$477,"202610"))</f>
        <v>20</v>
      </c>
      <c r="W38" s="168"/>
      <c r="X38" s="167" t="n">
        <f aca="false">IF('HC by Program-Term'!$Y38="","—",'HC by Program-Term'!C38-C38)</f>
        <v>0</v>
      </c>
      <c r="Y38" s="167" t="n">
        <f aca="false">IF('HC by Program-Term'!$Y38="","—",'HC by Program-Term'!D38-D38)</f>
        <v>3</v>
      </c>
      <c r="Z38" s="167" t="n">
        <f aca="false">IF('HC by Program-Term'!$Y38="","—",'HC by Program-Term'!E38-E38)</f>
        <v>8</v>
      </c>
      <c r="AA38" s="167" t="n">
        <f aca="false">IF('HC by Program-Term'!$Y38="","—",'HC by Program-Term'!F38-F38)</f>
        <v>9</v>
      </c>
      <c r="AB38" s="167" t="n">
        <f aca="false">IF('HC by Program-Term'!$Y38="","—",'HC by Program-Term'!G38-G38)</f>
        <v>11</v>
      </c>
      <c r="AC38" s="167" t="n">
        <f aca="false">IF('HC by Program-Term'!$Y38="","—",'HC by Program-Term'!H38-H38)</f>
        <v>18</v>
      </c>
      <c r="AD38" s="167" t="n">
        <f aca="false">IF('HC by Program-Term'!$Y38="","—",'HC by Program-Term'!I38-I38)</f>
        <v>16</v>
      </c>
      <c r="AE38" s="167" t="n">
        <f aca="false">IF('HC by Program-Term'!$Y38="","—",'HC by Program-Term'!J38-J38)</f>
        <v>17</v>
      </c>
      <c r="AF38" s="167" t="n">
        <f aca="false">IF('HC by Program-Term'!$Y38="","—",'HC by Program-Term'!K38-K38)</f>
        <v>19</v>
      </c>
      <c r="AG38" s="167" t="n">
        <f aca="false">IF('HC by Program-Term'!$Y38="","—",'HC by Program-Term'!L38-L38)</f>
        <v>19</v>
      </c>
      <c r="AH38" s="167" t="n">
        <f aca="false">IF('HC by Program-Term'!$Y38="","—",'HC by Program-Term'!M38-M38)</f>
        <v>16</v>
      </c>
      <c r="AI38" s="167" t="n">
        <f aca="false">IF('HC by Program-Term'!$Y38="","—",'HC by Program-Term'!N38-N38)</f>
        <v>38</v>
      </c>
      <c r="AJ38" s="167" t="n">
        <f aca="false">IF('HC by Program-Term'!$Y38="","—",'HC by Program-Term'!O38-O38)</f>
        <v>33</v>
      </c>
      <c r="AK38" s="167" t="n">
        <f aca="false">IF('HC by Program-Term'!$Y38="","—",'HC by Program-Term'!P38-P38)</f>
        <v>30</v>
      </c>
      <c r="AL38" s="167" t="n">
        <f aca="false">IF('HC by Program-Term'!$Y38="","—",'HC by Program-Term'!Q38-Q38)</f>
        <v>39</v>
      </c>
      <c r="AM38" s="167" t="n">
        <f aca="false">IF('HC by Program-Term'!$Y38="","—",'HC by Program-Term'!R38-R38)</f>
        <v>36</v>
      </c>
      <c r="AN38" s="167" t="n">
        <f aca="false">IF('HC by Program-Term'!$Y38="","—",'HC by Program-Term'!S38-S38)</f>
        <v>28</v>
      </c>
      <c r="AO38" s="167" t="n">
        <f aca="false">IF('HC by Program-Term'!$Y38="","—",'HC by Program-Term'!T38-T38)</f>
        <v>44</v>
      </c>
      <c r="AP38" s="167" t="n">
        <f aca="false">IF('HC by Program-Term'!$Y38="","—",'HC by Program-Term'!U38-U38)</f>
        <v>41</v>
      </c>
      <c r="AQ38" s="167" t="n">
        <f aca="false">IF('HC by Program-Term'!$Y38="","—",'HC by Program-Term'!V38-V38)</f>
        <v>39</v>
      </c>
      <c r="AR38" s="168"/>
      <c r="AS38" s="151" t="n">
        <f aca="false">IF('HC by Program-Term'!$Y38="","—",SUM(C38:V38))</f>
        <v>175</v>
      </c>
      <c r="AT38" s="151" t="n">
        <f aca="false">IF('HC by Program-Term'!$Y38="","—",SUM(X38:AQ38))</f>
        <v>464</v>
      </c>
    </row>
    <row r="39" customFormat="false" ht="15" hidden="false" customHeight="true" outlineLevel="0" collapsed="false">
      <c r="A39" s="162" t="str">
        <f aca="false">'Program List'!A34</f>
        <v>M861</v>
      </c>
      <c r="B39" s="163" t="str">
        <f aca="false">'Program List'!B34</f>
        <v>Master of Science in Supply Chain Management</v>
      </c>
      <c r="C39" s="164" t="n">
        <f aca="false">IF('HC by Program-Term'!$Y39="","—",SUMIFS('Program LTR Retention'!B$479:B$494,'Program LTR Retention'!$A$479:$A$494,"201930"))</f>
        <v>0</v>
      </c>
      <c r="D39" s="164" t="n">
        <f aca="false">IF('HC by Program-Term'!$Y39="","—",SUMIFS('Program LTR Retention'!C$479:C$494,'Program LTR Retention'!$A$479:$A$494,"202010"))</f>
        <v>0</v>
      </c>
      <c r="E39" s="164" t="n">
        <f aca="false">IF('HC by Program-Term'!$Y39="","—",SUMIFS('Program LTR Retention'!D$479:D$494,'Program LTR Retention'!$A$479:$A$494,"202020"))</f>
        <v>0</v>
      </c>
      <c r="F39" s="164" t="n">
        <f aca="false">IF('HC by Program-Term'!$Y39="","—",SUMIFS('Program LTR Retention'!E$479:E$494,'Program LTR Retention'!$A$479:$A$494,"202030"))</f>
        <v>0</v>
      </c>
      <c r="G39" s="164" t="n">
        <f aca="false">IF('HC by Program-Term'!$Y39="","—",SUMIFS('Program LTR Retention'!F$479:F$494,'Program LTR Retention'!$A$479:$A$494,"202110"))</f>
        <v>0</v>
      </c>
      <c r="H39" s="164" t="n">
        <f aca="false">IF('HC by Program-Term'!$Y39="","—",SUMIFS('Program LTR Retention'!G$479:G$494,'Program LTR Retention'!$A$479:$A$494,"202120"))</f>
        <v>0</v>
      </c>
      <c r="I39" s="164" t="n">
        <f aca="false">IF('HC by Program-Term'!$Y39="","—",SUMIFS('Program LTR Retention'!H$479:H$494,'Program LTR Retention'!$A$479:$A$494,"202130"))</f>
        <v>0</v>
      </c>
      <c r="J39" s="164" t="n">
        <f aca="false">IF('HC by Program-Term'!$Y39="","—",SUMIFS('Program LTR Retention'!I$479:I$494,'Program LTR Retention'!$A$479:$A$494,"202210"))</f>
        <v>10</v>
      </c>
      <c r="K39" s="164" t="n">
        <f aca="false">IF('HC by Program-Term'!$Y39="","—",SUMIFS('Program LTR Retention'!J$479:J$494,'Program LTR Retention'!$A$479:$A$494,"202220"))</f>
        <v>20</v>
      </c>
      <c r="L39" s="164" t="n">
        <f aca="false">IF('HC by Program-Term'!$Y39="","—",SUMIFS('Program LTR Retention'!K$479:K$494,'Program LTR Retention'!$A$479:$A$494,"202230"))</f>
        <v>1</v>
      </c>
      <c r="M39" s="164" t="n">
        <f aca="false">IF('HC by Program-Term'!$Y39="","—",SUMIFS('Program LTR Retention'!L$479:L$494,'Program LTR Retention'!$A$479:$A$494,"202310"))</f>
        <v>32</v>
      </c>
      <c r="N39" s="164" t="n">
        <f aca="false">IF('HC by Program-Term'!$Y39="","—",SUMIFS('Program LTR Retention'!M$479:M$494,'Program LTR Retention'!$A$479:$A$494,"202320"))</f>
        <v>25</v>
      </c>
      <c r="O39" s="164" t="n">
        <f aca="false">IF('HC by Program-Term'!$Y39="","—",SUMIFS('Program LTR Retention'!N$479:N$494,'Program LTR Retention'!$A$479:$A$494,"202330"))</f>
        <v>1</v>
      </c>
      <c r="P39" s="164" t="n">
        <f aca="false">IF('HC by Program-Term'!$Y39="","—",SUMIFS('Program LTR Retention'!O$479:O$494,'Program LTR Retention'!$A$479:$A$494,"202410"))</f>
        <v>18</v>
      </c>
      <c r="Q39" s="164" t="n">
        <f aca="false">IF('HC by Program-Term'!$Y39="","—",SUMIFS('Program LTR Retention'!P$479:P$494,'Program LTR Retention'!$A$479:$A$494,"202420"))</f>
        <v>19</v>
      </c>
      <c r="R39" s="164" t="n">
        <f aca="false">IF('HC by Program-Term'!$Y39="","—",SUMIFS('Program LTR Retention'!Q$479:Q$494,'Program LTR Retention'!$A$479:$A$494,"202430"))</f>
        <v>9</v>
      </c>
      <c r="S39" s="164" t="n">
        <f aca="false">IF('HC by Program-Term'!$Y39="","—",SUMIFS('Program LTR Retention'!R$479:R$494,'Program LTR Retention'!$A$479:$A$494,"202510"))</f>
        <v>31</v>
      </c>
      <c r="T39" s="164" t="n">
        <f aca="false">IF('HC by Program-Term'!$Y39="","—",SUMIFS('Program LTR Retention'!S$479:S$494,'Program LTR Retention'!$A$479:$A$494,"202520"))</f>
        <v>18</v>
      </c>
      <c r="U39" s="164" t="n">
        <f aca="false">IF('HC by Program-Term'!$Y39="","—",SUMIFS('Program LTR Retention'!T$479:T$494,'Program LTR Retention'!$A$479:$A$494,"202530"))</f>
        <v>8</v>
      </c>
      <c r="V39" s="164" t="n">
        <f aca="false">IF('HC by Program-Term'!$Y39="","—",SUMIFS('Program LTR Retention'!U$479:U$494,'Program LTR Retention'!$A$479:$A$494,"202610"))</f>
        <v>25</v>
      </c>
      <c r="X39" s="164" t="n">
        <f aca="false">IF('HC by Program-Term'!$Y39="","—",'HC by Program-Term'!C39-C39)</f>
        <v>0</v>
      </c>
      <c r="Y39" s="164" t="n">
        <f aca="false">IF('HC by Program-Term'!$Y39="","—",'HC by Program-Term'!D39-D39)</f>
        <v>0</v>
      </c>
      <c r="Z39" s="164" t="n">
        <f aca="false">IF('HC by Program-Term'!$Y39="","—",'HC by Program-Term'!E39-E39)</f>
        <v>0</v>
      </c>
      <c r="AA39" s="164" t="n">
        <f aca="false">IF('HC by Program-Term'!$Y39="","—",'HC by Program-Term'!F39-F39)</f>
        <v>0</v>
      </c>
      <c r="AB39" s="164" t="n">
        <f aca="false">IF('HC by Program-Term'!$Y39="","—",'HC by Program-Term'!G39-G39)</f>
        <v>0</v>
      </c>
      <c r="AC39" s="164" t="n">
        <f aca="false">IF('HC by Program-Term'!$Y39="","—",'HC by Program-Term'!H39-H39)</f>
        <v>0</v>
      </c>
      <c r="AD39" s="164" t="n">
        <f aca="false">IF('HC by Program-Term'!$Y39="","—",'HC by Program-Term'!I39-I39)</f>
        <v>0</v>
      </c>
      <c r="AE39" s="164" t="n">
        <f aca="false">IF('HC by Program-Term'!$Y39="","—",'HC by Program-Term'!J39-J39)</f>
        <v>0</v>
      </c>
      <c r="AF39" s="164" t="n">
        <f aca="false">IF('HC by Program-Term'!$Y39="","—",'HC by Program-Term'!K39-K39)</f>
        <v>9</v>
      </c>
      <c r="AG39" s="164" t="n">
        <f aca="false">IF('HC by Program-Term'!$Y39="","—",'HC by Program-Term'!L39-L39)</f>
        <v>24</v>
      </c>
      <c r="AH39" s="164" t="n">
        <f aca="false">IF('HC by Program-Term'!$Y39="","—",'HC by Program-Term'!M39-M39)</f>
        <v>27</v>
      </c>
      <c r="AI39" s="164" t="n">
        <f aca="false">IF('HC by Program-Term'!$Y39="","—",'HC by Program-Term'!N39-N39)</f>
        <v>47</v>
      </c>
      <c r="AJ39" s="164" t="n">
        <f aca="false">IF('HC by Program-Term'!$Y39="","—",'HC by Program-Term'!O39-O39)</f>
        <v>54</v>
      </c>
      <c r="AK39" s="164" t="n">
        <f aca="false">IF('HC by Program-Term'!$Y39="","—",'HC by Program-Term'!P39-P39)</f>
        <v>54</v>
      </c>
      <c r="AL39" s="164" t="n">
        <f aca="false">IF('HC by Program-Term'!$Y39="","—",'HC by Program-Term'!Q39-Q39)</f>
        <v>39</v>
      </c>
      <c r="AM39" s="164" t="n">
        <f aca="false">IF('HC by Program-Term'!$Y39="","—",'HC by Program-Term'!R39-R39)</f>
        <v>31</v>
      </c>
      <c r="AN39" s="164" t="n">
        <f aca="false">IF('HC by Program-Term'!$Y39="","—",'HC by Program-Term'!S39-S39)</f>
        <v>49</v>
      </c>
      <c r="AO39" s="164" t="n">
        <f aca="false">IF('HC by Program-Term'!$Y39="","—",'HC by Program-Term'!T39-T39)</f>
        <v>54</v>
      </c>
      <c r="AP39" s="164" t="n">
        <f aca="false">IF('HC by Program-Term'!$Y39="","—",'HC by Program-Term'!U39-U39)</f>
        <v>46</v>
      </c>
      <c r="AQ39" s="164" t="n">
        <f aca="false">IF('HC by Program-Term'!$Y39="","—",'HC by Program-Term'!V39-V39)</f>
        <v>55</v>
      </c>
      <c r="AS39" s="147" t="n">
        <f aca="false">IF('HC by Program-Term'!$Y39="","—",SUM(C39:V39))</f>
        <v>217</v>
      </c>
      <c r="AT39" s="147" t="n">
        <f aca="false">IF('HC by Program-Term'!$Y39="","—",SUM(X39:AQ39))</f>
        <v>489</v>
      </c>
    </row>
    <row r="40" customFormat="false" ht="15" hidden="false" customHeight="true" outlineLevel="0" collapsed="false">
      <c r="A40" s="165" t="str">
        <f aca="false">'Program List'!A35</f>
        <v>M869</v>
      </c>
      <c r="B40" s="166" t="str">
        <f aca="false">'Program List'!B35</f>
        <v>Master of Science in Sustainability - Energy and Materials Mgmt</v>
      </c>
      <c r="C40" s="167" t="n">
        <f aca="false">IF('HC by Program-Term'!$Y40="","—",SUMIFS('Program LTR Retention'!B$496:B$505,'Program LTR Retention'!$A$496:$A$505,"201930"))</f>
        <v>0</v>
      </c>
      <c r="D40" s="167" t="n">
        <f aca="false">IF('HC by Program-Term'!$Y40="","—",SUMIFS('Program LTR Retention'!C$496:C$505,'Program LTR Retention'!$A$496:$A$505,"202010"))</f>
        <v>0</v>
      </c>
      <c r="E40" s="167" t="n">
        <f aca="false">IF('HC by Program-Term'!$Y40="","—",SUMIFS('Program LTR Retention'!D$496:D$505,'Program LTR Retention'!$A$496:$A$505,"202020"))</f>
        <v>0</v>
      </c>
      <c r="F40" s="167" t="n">
        <f aca="false">IF('HC by Program-Term'!$Y40="","—",SUMIFS('Program LTR Retention'!E$496:E$505,'Program LTR Retention'!$A$496:$A$505,"202030"))</f>
        <v>0</v>
      </c>
      <c r="G40" s="167" t="n">
        <f aca="false">IF('HC by Program-Term'!$Y40="","—",SUMIFS('Program LTR Retention'!F$496:F$505,'Program LTR Retention'!$A$496:$A$505,"202110"))</f>
        <v>0</v>
      </c>
      <c r="H40" s="167" t="n">
        <f aca="false">IF('HC by Program-Term'!$Y40="","—",SUMIFS('Program LTR Retention'!G$496:G$505,'Program LTR Retention'!$A$496:$A$505,"202120"))</f>
        <v>0</v>
      </c>
      <c r="I40" s="167" t="n">
        <f aca="false">IF('HC by Program-Term'!$Y40="","—",SUMIFS('Program LTR Retention'!H$496:H$505,'Program LTR Retention'!$A$496:$A$505,"202130"))</f>
        <v>0</v>
      </c>
      <c r="J40" s="167" t="n">
        <f aca="false">IF('HC by Program-Term'!$Y40="","—",SUMIFS('Program LTR Retention'!I$496:I$505,'Program LTR Retention'!$A$496:$A$505,"202210"))</f>
        <v>0</v>
      </c>
      <c r="K40" s="167" t="n">
        <f aca="false">IF('HC by Program-Term'!$Y40="","—",SUMIFS('Program LTR Retention'!J$496:J$505,'Program LTR Retention'!$A$496:$A$505,"202220"))</f>
        <v>0</v>
      </c>
      <c r="L40" s="167" t="n">
        <f aca="false">IF('HC by Program-Term'!$Y40="","—",SUMIFS('Program LTR Retention'!K$496:K$505,'Program LTR Retention'!$A$496:$A$505,"202230"))</f>
        <v>0</v>
      </c>
      <c r="M40" s="167" t="n">
        <f aca="false">IF('HC by Program-Term'!$Y40="","—",SUMIFS('Program LTR Retention'!L$496:L$505,'Program LTR Retention'!$A$496:$A$505,"202310"))</f>
        <v>14</v>
      </c>
      <c r="N40" s="167" t="n">
        <f aca="false">IF('HC by Program-Term'!$Y40="","—",SUMIFS('Program LTR Retention'!M$496:M$505,'Program LTR Retention'!$A$496:$A$505,"202320"))</f>
        <v>12</v>
      </c>
      <c r="O40" s="167" t="n">
        <f aca="false">IF('HC by Program-Term'!$Y40="","—",SUMIFS('Program LTR Retention'!N$496:N$505,'Program LTR Retention'!$A$496:$A$505,"202330"))</f>
        <v>0</v>
      </c>
      <c r="P40" s="167" t="n">
        <f aca="false">IF('HC by Program-Term'!$Y40="","—",SUMIFS('Program LTR Retention'!O$496:O$505,'Program LTR Retention'!$A$496:$A$505,"202410"))</f>
        <v>31</v>
      </c>
      <c r="Q40" s="167" t="n">
        <f aca="false">IF('HC by Program-Term'!$Y40="","—",SUMIFS('Program LTR Retention'!P$496:P$505,'Program LTR Retention'!$A$496:$A$505,"202420"))</f>
        <v>23</v>
      </c>
      <c r="R40" s="167" t="n">
        <f aca="false">IF('HC by Program-Term'!$Y40="","—",SUMIFS('Program LTR Retention'!Q$496:Q$505,'Program LTR Retention'!$A$496:$A$505,"202430"))</f>
        <v>0</v>
      </c>
      <c r="S40" s="167" t="n">
        <f aca="false">IF('HC by Program-Term'!$Y40="","—",SUMIFS('Program LTR Retention'!R$496:R$505,'Program LTR Retention'!$A$496:$A$505,"202510"))</f>
        <v>23</v>
      </c>
      <c r="T40" s="167" t="n">
        <f aca="false">IF('HC by Program-Term'!$Y40="","—",SUMIFS('Program LTR Retention'!S$496:S$505,'Program LTR Retention'!$A$496:$A$505,"202520"))</f>
        <v>9</v>
      </c>
      <c r="U40" s="167" t="n">
        <f aca="false">IF('HC by Program-Term'!$Y40="","—",SUMIFS('Program LTR Retention'!T$496:T$505,'Program LTR Retention'!$A$496:$A$505,"202530"))</f>
        <v>0</v>
      </c>
      <c r="V40" s="167" t="n">
        <f aca="false">IF('HC by Program-Term'!$Y40="","—",SUMIFS('Program LTR Retention'!U$496:U$505,'Program LTR Retention'!$A$496:$A$505,"202610"))</f>
        <v>17</v>
      </c>
      <c r="W40" s="168"/>
      <c r="X40" s="167" t="n">
        <f aca="false">IF('HC by Program-Term'!$Y40="","—",'HC by Program-Term'!C40-C40)</f>
        <v>0</v>
      </c>
      <c r="Y40" s="167" t="n">
        <f aca="false">IF('HC by Program-Term'!$Y40="","—",'HC by Program-Term'!D40-D40)</f>
        <v>0</v>
      </c>
      <c r="Z40" s="167" t="n">
        <f aca="false">IF('HC by Program-Term'!$Y40="","—",'HC by Program-Term'!E40-E40)</f>
        <v>0</v>
      </c>
      <c r="AA40" s="167" t="n">
        <f aca="false">IF('HC by Program-Term'!$Y40="","—",'HC by Program-Term'!F40-F40)</f>
        <v>0</v>
      </c>
      <c r="AB40" s="167" t="n">
        <f aca="false">IF('HC by Program-Term'!$Y40="","—",'HC by Program-Term'!G40-G40)</f>
        <v>0</v>
      </c>
      <c r="AC40" s="167" t="n">
        <f aca="false">IF('HC by Program-Term'!$Y40="","—",'HC by Program-Term'!H40-H40)</f>
        <v>0</v>
      </c>
      <c r="AD40" s="167" t="n">
        <f aca="false">IF('HC by Program-Term'!$Y40="","—",'HC by Program-Term'!I40-I40)</f>
        <v>0</v>
      </c>
      <c r="AE40" s="167" t="n">
        <f aca="false">IF('HC by Program-Term'!$Y40="","—",'HC by Program-Term'!J40-J40)</f>
        <v>0</v>
      </c>
      <c r="AF40" s="167" t="n">
        <f aca="false">IF('HC by Program-Term'!$Y40="","—",'HC by Program-Term'!K40-K40)</f>
        <v>0</v>
      </c>
      <c r="AG40" s="167" t="n">
        <f aca="false">IF('HC by Program-Term'!$Y40="","—",'HC by Program-Term'!L40-L40)</f>
        <v>0</v>
      </c>
      <c r="AH40" s="167" t="n">
        <f aca="false">IF('HC by Program-Term'!$Y40="","—",'HC by Program-Term'!M40-M40)</f>
        <v>0</v>
      </c>
      <c r="AI40" s="167" t="n">
        <f aca="false">IF('HC by Program-Term'!$Y40="","—",'HC by Program-Term'!N40-N40)</f>
        <v>12</v>
      </c>
      <c r="AJ40" s="167" t="n">
        <f aca="false">IF('HC by Program-Term'!$Y40="","—",'HC by Program-Term'!O40-O40)</f>
        <v>16</v>
      </c>
      <c r="AK40" s="167" t="n">
        <f aca="false">IF('HC by Program-Term'!$Y40="","—",'HC by Program-Term'!P40-P40)</f>
        <v>14</v>
      </c>
      <c r="AL40" s="167" t="n">
        <f aca="false">IF('HC by Program-Term'!$Y40="","—",'HC by Program-Term'!Q40-Q40)</f>
        <v>40</v>
      </c>
      <c r="AM40" s="167" t="n">
        <f aca="false">IF('HC by Program-Term'!$Y40="","—",'HC by Program-Term'!R40-R40)</f>
        <v>47</v>
      </c>
      <c r="AN40" s="167" t="n">
        <f aca="false">IF('HC by Program-Term'!$Y40="","—",'HC by Program-Term'!S40-S40)</f>
        <v>42</v>
      </c>
      <c r="AO40" s="167" t="n">
        <f aca="false">IF('HC by Program-Term'!$Y40="","—",'HC by Program-Term'!T40-T40)</f>
        <v>55</v>
      </c>
      <c r="AP40" s="167" t="n">
        <f aca="false">IF('HC by Program-Term'!$Y40="","—",'HC by Program-Term'!U40-U40)</f>
        <v>35</v>
      </c>
      <c r="AQ40" s="167" t="n">
        <f aca="false">IF('HC by Program-Term'!$Y40="","—",'HC by Program-Term'!V40-V40)</f>
        <v>23</v>
      </c>
      <c r="AR40" s="168"/>
      <c r="AS40" s="151" t="n">
        <f aca="false">IF('HC by Program-Term'!$Y40="","—",SUM(C40:V40))</f>
        <v>129</v>
      </c>
      <c r="AT40" s="151" t="n">
        <f aca="false">IF('HC by Program-Term'!$Y40="","—",SUM(X40:AQ40))</f>
        <v>284</v>
      </c>
    </row>
    <row r="41" customFormat="false" ht="15" hidden="false" customHeight="true" outlineLevel="0" collapsed="false">
      <c r="A41" s="162" t="str">
        <f aca="false">'Program List'!A36</f>
        <v>M867</v>
      </c>
      <c r="B41" s="163" t="str">
        <f aca="false">'Program List'!B36</f>
        <v>Master of Science in Sustainable Architecture</v>
      </c>
      <c r="C41" s="164" t="n">
        <f aca="false">IF('HC by Program-Term'!$Y41="","—",SUMIFS('Program LTR Retention'!B$507:B$515,'Program LTR Retention'!$A$507:$A$515,"201930"))</f>
        <v>0</v>
      </c>
      <c r="D41" s="164" t="n">
        <f aca="false">IF('HC by Program-Term'!$Y41="","—",SUMIFS('Program LTR Retention'!C$507:C$515,'Program LTR Retention'!$A$507:$A$515,"202010"))</f>
        <v>0</v>
      </c>
      <c r="E41" s="164" t="n">
        <f aca="false">IF('HC by Program-Term'!$Y41="","—",SUMIFS('Program LTR Retention'!D$507:D$515,'Program LTR Retention'!$A$507:$A$515,"202020"))</f>
        <v>0</v>
      </c>
      <c r="F41" s="164" t="n">
        <f aca="false">IF('HC by Program-Term'!$Y41="","—",SUMIFS('Program LTR Retention'!E$507:E$515,'Program LTR Retention'!$A$507:$A$515,"202030"))</f>
        <v>0</v>
      </c>
      <c r="G41" s="164" t="n">
        <f aca="false">IF('HC by Program-Term'!$Y41="","—",SUMIFS('Program LTR Retention'!F$507:F$515,'Program LTR Retention'!$A$507:$A$515,"202110"))</f>
        <v>0</v>
      </c>
      <c r="H41" s="164" t="n">
        <f aca="false">IF('HC by Program-Term'!$Y41="","—",SUMIFS('Program LTR Retention'!G$507:G$515,'Program LTR Retention'!$A$507:$A$515,"202120"))</f>
        <v>0</v>
      </c>
      <c r="I41" s="164" t="n">
        <f aca="false">IF('HC by Program-Term'!$Y41="","—",SUMIFS('Program LTR Retention'!H$507:H$515,'Program LTR Retention'!$A$507:$A$515,"202130"))</f>
        <v>0</v>
      </c>
      <c r="J41" s="164" t="n">
        <f aca="false">IF('HC by Program-Term'!$Y41="","—",SUMIFS('Program LTR Retention'!I$507:I$515,'Program LTR Retention'!$A$507:$A$515,"202210"))</f>
        <v>0</v>
      </c>
      <c r="K41" s="164" t="n">
        <f aca="false">IF('HC by Program-Term'!$Y41="","—",SUMIFS('Program LTR Retention'!J$507:J$515,'Program LTR Retention'!$A$507:$A$515,"202220"))</f>
        <v>0</v>
      </c>
      <c r="L41" s="164" t="n">
        <f aca="false">IF('HC by Program-Term'!$Y41="","—",SUMIFS('Program LTR Retention'!K$507:K$515,'Program LTR Retention'!$A$507:$A$515,"202230"))</f>
        <v>0</v>
      </c>
      <c r="M41" s="164" t="n">
        <f aca="false">IF('HC by Program-Term'!$Y41="","—",SUMIFS('Program LTR Retention'!L$507:L$515,'Program LTR Retention'!$A$507:$A$515,"202310"))</f>
        <v>0</v>
      </c>
      <c r="N41" s="164" t="n">
        <f aca="false">IF('HC by Program-Term'!$Y41="","—",SUMIFS('Program LTR Retention'!M$507:M$515,'Program LTR Retention'!$A$507:$A$515,"202320"))</f>
        <v>20</v>
      </c>
      <c r="O41" s="164" t="n">
        <f aca="false">IF('HC by Program-Term'!$Y41="","—",SUMIFS('Program LTR Retention'!N$507:N$515,'Program LTR Retention'!$A$507:$A$515,"202330"))</f>
        <v>0</v>
      </c>
      <c r="P41" s="164" t="n">
        <f aca="false">IF('HC by Program-Term'!$Y41="","—",SUMIFS('Program LTR Retention'!O$507:O$515,'Program LTR Retention'!$A$507:$A$515,"202410"))</f>
        <v>19</v>
      </c>
      <c r="Q41" s="164" t="n">
        <f aca="false">IF('HC by Program-Term'!$Y41="","—",SUMIFS('Program LTR Retention'!P$507:P$515,'Program LTR Retention'!$A$507:$A$515,"202420"))</f>
        <v>10</v>
      </c>
      <c r="R41" s="164" t="n">
        <f aca="false">IF('HC by Program-Term'!$Y41="","—",SUMIFS('Program LTR Retention'!Q$507:Q$515,'Program LTR Retention'!$A$507:$A$515,"202430"))</f>
        <v>0</v>
      </c>
      <c r="S41" s="164" t="n">
        <f aca="false">IF('HC by Program-Term'!$Y41="","—",SUMIFS('Program LTR Retention'!R$507:R$515,'Program LTR Retention'!$A$507:$A$515,"202510"))</f>
        <v>13</v>
      </c>
      <c r="T41" s="164" t="n">
        <f aca="false">IF('HC by Program-Term'!$Y41="","—",SUMIFS('Program LTR Retention'!S$507:S$515,'Program LTR Retention'!$A$507:$A$515,"202520"))</f>
        <v>2</v>
      </c>
      <c r="U41" s="164" t="n">
        <f aca="false">IF('HC by Program-Term'!$Y41="","—",SUMIFS('Program LTR Retention'!T$507:T$515,'Program LTR Retention'!$A$507:$A$515,"202530"))</f>
        <v>0</v>
      </c>
      <c r="V41" s="164" t="n">
        <f aca="false">IF('HC by Program-Term'!$Y41="","—",SUMIFS('Program LTR Retention'!U$507:U$515,'Program LTR Retention'!$A$507:$A$515,"202610"))</f>
        <v>7</v>
      </c>
      <c r="X41" s="164" t="n">
        <f aca="false">IF('HC by Program-Term'!$Y41="","—",'HC by Program-Term'!C41-C41)</f>
        <v>0</v>
      </c>
      <c r="Y41" s="164" t="n">
        <f aca="false">IF('HC by Program-Term'!$Y41="","—",'HC by Program-Term'!D41-D41)</f>
        <v>0</v>
      </c>
      <c r="Z41" s="164" t="n">
        <f aca="false">IF('HC by Program-Term'!$Y41="","—",'HC by Program-Term'!E41-E41)</f>
        <v>0</v>
      </c>
      <c r="AA41" s="164" t="n">
        <f aca="false">IF('HC by Program-Term'!$Y41="","—",'HC by Program-Term'!F41-F41)</f>
        <v>0</v>
      </c>
      <c r="AB41" s="164" t="n">
        <f aca="false">IF('HC by Program-Term'!$Y41="","—",'HC by Program-Term'!G41-G41)</f>
        <v>0</v>
      </c>
      <c r="AC41" s="164" t="n">
        <f aca="false">IF('HC by Program-Term'!$Y41="","—",'HC by Program-Term'!H41-H41)</f>
        <v>0</v>
      </c>
      <c r="AD41" s="164" t="n">
        <f aca="false">IF('HC by Program-Term'!$Y41="","—",'HC by Program-Term'!I41-I41)</f>
        <v>0</v>
      </c>
      <c r="AE41" s="164" t="n">
        <f aca="false">IF('HC by Program-Term'!$Y41="","—",'HC by Program-Term'!J41-J41)</f>
        <v>0</v>
      </c>
      <c r="AF41" s="164" t="n">
        <f aca="false">IF('HC by Program-Term'!$Y41="","—",'HC by Program-Term'!K41-K41)</f>
        <v>0</v>
      </c>
      <c r="AG41" s="164" t="n">
        <f aca="false">IF('HC by Program-Term'!$Y41="","—",'HC by Program-Term'!L41-L41)</f>
        <v>0</v>
      </c>
      <c r="AH41" s="164" t="n">
        <f aca="false">IF('HC by Program-Term'!$Y41="","—",'HC by Program-Term'!M41-M41)</f>
        <v>0</v>
      </c>
      <c r="AI41" s="164" t="n">
        <f aca="false">IF('HC by Program-Term'!$Y41="","—",'HC by Program-Term'!N41-N41)</f>
        <v>0</v>
      </c>
      <c r="AJ41" s="164" t="n">
        <f aca="false">IF('HC by Program-Term'!$Y41="","—",'HC by Program-Term'!O41-O41)</f>
        <v>13</v>
      </c>
      <c r="AK41" s="164" t="n">
        <f aca="false">IF('HC by Program-Term'!$Y41="","—",'HC by Program-Term'!P41-P41)</f>
        <v>15</v>
      </c>
      <c r="AL41" s="164" t="n">
        <f aca="false">IF('HC by Program-Term'!$Y41="","—",'HC by Program-Term'!Q41-Q41)</f>
        <v>28</v>
      </c>
      <c r="AM41" s="164" t="n">
        <f aca="false">IF('HC by Program-Term'!$Y41="","—",'HC by Program-Term'!R41-R41)</f>
        <v>21</v>
      </c>
      <c r="AN41" s="164" t="n">
        <f aca="false">IF('HC by Program-Term'!$Y41="","—",'HC by Program-Term'!S41-S41)</f>
        <v>22</v>
      </c>
      <c r="AO41" s="164" t="n">
        <f aca="false">IF('HC by Program-Term'!$Y41="","—",'HC by Program-Term'!T41-T41)</f>
        <v>22</v>
      </c>
      <c r="AP41" s="164" t="n">
        <f aca="false">IF('HC by Program-Term'!$Y41="","—",'HC by Program-Term'!U41-U41)</f>
        <v>11</v>
      </c>
      <c r="AQ41" s="164" t="n">
        <f aca="false">IF('HC by Program-Term'!$Y41="","—",'HC by Program-Term'!V41-V41)</f>
        <v>12</v>
      </c>
      <c r="AS41" s="147" t="n">
        <f aca="false">IF('HC by Program-Term'!$Y41="","—",SUM(C41:V41))</f>
        <v>71</v>
      </c>
      <c r="AT41" s="147" t="n">
        <f aca="false">IF('HC by Program-Term'!$Y41="","—",SUM(X41:AQ41))</f>
        <v>144</v>
      </c>
    </row>
    <row r="42" customFormat="false" ht="15" hidden="false" customHeight="true" outlineLevel="0" collapsed="false">
      <c r="A42" s="165" t="str">
        <f aca="false">'Program List'!A37</f>
        <v>M844</v>
      </c>
      <c r="B42" s="166" t="str">
        <f aca="false">'Program List'!B37</f>
        <v>Master of Social Work</v>
      </c>
      <c r="C42" s="167" t="n">
        <f aca="false">IF('HC by Program-Term'!$Y42="","—",SUMIFS('Program LTR Retention'!B$517:B$536,'Program LTR Retention'!$A$517:$A$536,"201930"))</f>
        <v>0</v>
      </c>
      <c r="D42" s="167" t="n">
        <f aca="false">IF('HC by Program-Term'!$Y42="","—",SUMIFS('Program LTR Retention'!C$517:C$536,'Program LTR Retention'!$A$517:$A$536,"202010"))</f>
        <v>85</v>
      </c>
      <c r="E42" s="167" t="n">
        <f aca="false">IF('HC by Program-Term'!$Y42="","—",SUMIFS('Program LTR Retention'!D$517:D$536,'Program LTR Retention'!$A$517:$A$536,"202020"))</f>
        <v>80</v>
      </c>
      <c r="F42" s="167" t="n">
        <f aca="false">IF('HC by Program-Term'!$Y42="","—",SUMIFS('Program LTR Retention'!E$517:E$536,'Program LTR Retention'!$A$517:$A$536,"202030"))</f>
        <v>1</v>
      </c>
      <c r="G42" s="167" t="n">
        <f aca="false">IF('HC by Program-Term'!$Y42="","—",SUMIFS('Program LTR Retention'!F$517:F$536,'Program LTR Retention'!$A$517:$A$536,"202110"))</f>
        <v>115</v>
      </c>
      <c r="H42" s="167" t="n">
        <f aca="false">IF('HC by Program-Term'!$Y42="","—",SUMIFS('Program LTR Retention'!G$517:G$536,'Program LTR Retention'!$A$517:$A$536,"202120"))</f>
        <v>115</v>
      </c>
      <c r="I42" s="167" t="n">
        <f aca="false">IF('HC by Program-Term'!$Y42="","—",SUMIFS('Program LTR Retention'!H$517:H$536,'Program LTR Retention'!$A$517:$A$536,"202130"))</f>
        <v>3</v>
      </c>
      <c r="J42" s="167" t="n">
        <f aca="false">IF('HC by Program-Term'!$Y42="","—",SUMIFS('Program LTR Retention'!I$517:I$536,'Program LTR Retention'!$A$517:$A$536,"202210"))</f>
        <v>120</v>
      </c>
      <c r="K42" s="167" t="n">
        <f aca="false">IF('HC by Program-Term'!$Y42="","—",SUMIFS('Program LTR Retention'!J$517:J$536,'Program LTR Retention'!$A$517:$A$536,"202220"))</f>
        <v>54</v>
      </c>
      <c r="L42" s="167" t="n">
        <f aca="false">IF('HC by Program-Term'!$Y42="","—",SUMIFS('Program LTR Retention'!K$517:K$536,'Program LTR Retention'!$A$517:$A$536,"202230"))</f>
        <v>1</v>
      </c>
      <c r="M42" s="167" t="n">
        <f aca="false">IF('HC by Program-Term'!$Y42="","—",SUMIFS('Program LTR Retention'!L$517:L$536,'Program LTR Retention'!$A$517:$A$536,"202310"))</f>
        <v>125</v>
      </c>
      <c r="N42" s="167" t="n">
        <f aca="false">IF('HC by Program-Term'!$Y42="","—",SUMIFS('Program LTR Retention'!M$517:M$536,'Program LTR Retention'!$A$517:$A$536,"202320"))</f>
        <v>72</v>
      </c>
      <c r="O42" s="167" t="n">
        <f aca="false">IF('HC by Program-Term'!$Y42="","—",SUMIFS('Program LTR Retention'!N$517:N$536,'Program LTR Retention'!$A$517:$A$536,"202330"))</f>
        <v>0</v>
      </c>
      <c r="P42" s="167" t="n">
        <f aca="false">IF('HC by Program-Term'!$Y42="","—",SUMIFS('Program LTR Retention'!O$517:O$536,'Program LTR Retention'!$A$517:$A$536,"202410"))</f>
        <v>111</v>
      </c>
      <c r="Q42" s="167" t="n">
        <f aca="false">IF('HC by Program-Term'!$Y42="","—",SUMIFS('Program LTR Retention'!P$517:P$536,'Program LTR Retention'!$A$517:$A$536,"202420"))</f>
        <v>62</v>
      </c>
      <c r="R42" s="167" t="n">
        <f aca="false">IF('HC by Program-Term'!$Y42="","—",SUMIFS('Program LTR Retention'!Q$517:Q$536,'Program LTR Retention'!$A$517:$A$536,"202430"))</f>
        <v>0</v>
      </c>
      <c r="S42" s="167" t="n">
        <f aca="false">IF('HC by Program-Term'!$Y42="","—",SUMIFS('Program LTR Retention'!R$517:R$536,'Program LTR Retention'!$A$517:$A$536,"202510"))</f>
        <v>118</v>
      </c>
      <c r="T42" s="167" t="n">
        <f aca="false">IF('HC by Program-Term'!$Y42="","—",SUMIFS('Program LTR Retention'!S$517:S$536,'Program LTR Retention'!$A$517:$A$536,"202520"))</f>
        <v>68</v>
      </c>
      <c r="U42" s="167" t="n">
        <f aca="false">IF('HC by Program-Term'!$Y42="","—",SUMIFS('Program LTR Retention'!T$517:T$536,'Program LTR Retention'!$A$517:$A$536,"202530"))</f>
        <v>2</v>
      </c>
      <c r="V42" s="167" t="n">
        <f aca="false">IF('HC by Program-Term'!$Y42="","—",SUMIFS('Program LTR Retention'!U$517:U$536,'Program LTR Retention'!$A$517:$A$536,"202610"))</f>
        <v>113</v>
      </c>
      <c r="W42" s="168"/>
      <c r="X42" s="167" t="n">
        <f aca="false">IF('HC by Program-Term'!$Y42="","—",'HC by Program-Term'!C42-C42)</f>
        <v>0</v>
      </c>
      <c r="Y42" s="167" t="n">
        <f aca="false">IF('HC by Program-Term'!$Y42="","—",'HC by Program-Term'!D42-D42)</f>
        <v>0</v>
      </c>
      <c r="Z42" s="167" t="n">
        <f aca="false">IF('HC by Program-Term'!$Y42="","—",'HC by Program-Term'!E42-E42)</f>
        <v>75</v>
      </c>
      <c r="AA42" s="167" t="n">
        <f aca="false">IF('HC by Program-Term'!$Y42="","—",'HC by Program-Term'!F42-F42)</f>
        <v>137</v>
      </c>
      <c r="AB42" s="167" t="n">
        <f aca="false">IF('HC by Program-Term'!$Y42="","—",'HC by Program-Term'!G42-G42)</f>
        <v>143</v>
      </c>
      <c r="AC42" s="167" t="n">
        <f aca="false">IF('HC by Program-Term'!$Y42="","—",'HC by Program-Term'!H42-H42)</f>
        <v>233</v>
      </c>
      <c r="AD42" s="167" t="n">
        <f aca="false">IF('HC by Program-Term'!$Y42="","—",'HC by Program-Term'!I42-I42)</f>
        <v>293</v>
      </c>
      <c r="AE42" s="167" t="n">
        <f aca="false">IF('HC by Program-Term'!$Y42="","—",'HC by Program-Term'!J42-J42)</f>
        <v>302</v>
      </c>
      <c r="AF42" s="167" t="n">
        <f aca="false">IF('HC by Program-Term'!$Y42="","—",'HC by Program-Term'!K42-K42)</f>
        <v>358</v>
      </c>
      <c r="AG42" s="167" t="n">
        <f aca="false">IF('HC by Program-Term'!$Y42="","—",'HC by Program-Term'!L42-L42)</f>
        <v>309</v>
      </c>
      <c r="AH42" s="167" t="n">
        <f aca="false">IF('HC by Program-Term'!$Y42="","—",'HC by Program-Term'!M42-M42)</f>
        <v>311</v>
      </c>
      <c r="AI42" s="167" t="n">
        <f aca="false">IF('HC by Program-Term'!$Y42="","—",'HC by Program-Term'!N42-N42)</f>
        <v>369</v>
      </c>
      <c r="AJ42" s="167" t="n">
        <f aca="false">IF('HC by Program-Term'!$Y42="","—",'HC by Program-Term'!O42-O42)</f>
        <v>333</v>
      </c>
      <c r="AK42" s="167" t="n">
        <f aca="false">IF('HC by Program-Term'!$Y42="","—",'HC by Program-Term'!P42-P42)</f>
        <v>329</v>
      </c>
      <c r="AL42" s="167" t="n">
        <f aca="false">IF('HC by Program-Term'!$Y42="","—",'HC by Program-Term'!Q42-Q42)</f>
        <v>346</v>
      </c>
      <c r="AM42" s="167" t="n">
        <f aca="false">IF('HC by Program-Term'!$Y42="","—",'HC by Program-Term'!R42-R42)</f>
        <v>342</v>
      </c>
      <c r="AN42" s="167" t="n">
        <f aca="false">IF('HC by Program-Term'!$Y42="","—",'HC by Program-Term'!S42-S42)</f>
        <v>316</v>
      </c>
      <c r="AO42" s="167" t="n">
        <f aca="false">IF('HC by Program-Term'!$Y42="","—",'HC by Program-Term'!T42-T42)</f>
        <v>397</v>
      </c>
      <c r="AP42" s="167" t="n">
        <f aca="false">IF('HC by Program-Term'!$Y42="","—",'HC by Program-Term'!U42-U42)</f>
        <v>415</v>
      </c>
      <c r="AQ42" s="167" t="n">
        <f aca="false">IF('HC by Program-Term'!$Y42="","—",'HC by Program-Term'!V42-V42)</f>
        <v>355</v>
      </c>
      <c r="AR42" s="168"/>
      <c r="AS42" s="151" t="n">
        <f aca="false">IF('HC by Program-Term'!$Y42="","—",SUM(C42:V42))</f>
        <v>1245</v>
      </c>
      <c r="AT42" s="151" t="n">
        <f aca="false">IF('HC by Program-Term'!$Y42="","—",SUM(X42:AQ42))</f>
        <v>5363</v>
      </c>
    </row>
    <row r="43" customFormat="false" ht="15" hidden="false" customHeight="true" outlineLevel="0" collapsed="false">
      <c r="A43" s="162" t="str">
        <f aca="false">'Program List'!A38</f>
        <v>1237Q</v>
      </c>
      <c r="B43" s="163" t="str">
        <f aca="false">'Program List'!B38</f>
        <v>Masters in Public Health</v>
      </c>
      <c r="C43" s="164" t="s">
        <v>282</v>
      </c>
      <c r="D43" s="164" t="s">
        <v>282</v>
      </c>
      <c r="E43" s="164" t="s">
        <v>282</v>
      </c>
      <c r="F43" s="164" t="s">
        <v>282</v>
      </c>
      <c r="G43" s="164" t="s">
        <v>282</v>
      </c>
      <c r="H43" s="164" t="s">
        <v>282</v>
      </c>
      <c r="I43" s="164" t="s">
        <v>282</v>
      </c>
      <c r="J43" s="164" t="s">
        <v>282</v>
      </c>
      <c r="K43" s="164" t="s">
        <v>282</v>
      </c>
      <c r="L43" s="164" t="s">
        <v>282</v>
      </c>
      <c r="M43" s="164" t="s">
        <v>282</v>
      </c>
      <c r="N43" s="164" t="s">
        <v>282</v>
      </c>
      <c r="O43" s="164" t="s">
        <v>282</v>
      </c>
      <c r="P43" s="164" t="s">
        <v>282</v>
      </c>
      <c r="Q43" s="164" t="s">
        <v>282</v>
      </c>
      <c r="R43" s="164" t="s">
        <v>282</v>
      </c>
      <c r="S43" s="164" t="s">
        <v>282</v>
      </c>
      <c r="T43" s="164" t="s">
        <v>282</v>
      </c>
      <c r="U43" s="164" t="s">
        <v>282</v>
      </c>
      <c r="V43" s="164" t="s">
        <v>282</v>
      </c>
      <c r="X43" s="164" t="s">
        <v>282</v>
      </c>
      <c r="Y43" s="164" t="s">
        <v>282</v>
      </c>
      <c r="Z43" s="164" t="s">
        <v>282</v>
      </c>
      <c r="AA43" s="164" t="s">
        <v>282</v>
      </c>
      <c r="AB43" s="164" t="s">
        <v>282</v>
      </c>
      <c r="AC43" s="164" t="s">
        <v>282</v>
      </c>
      <c r="AD43" s="164" t="s">
        <v>282</v>
      </c>
      <c r="AE43" s="164" t="s">
        <v>282</v>
      </c>
      <c r="AF43" s="164" t="s">
        <v>282</v>
      </c>
      <c r="AG43" s="164" t="s">
        <v>282</v>
      </c>
      <c r="AH43" s="164" t="s">
        <v>282</v>
      </c>
      <c r="AI43" s="164" t="s">
        <v>282</v>
      </c>
      <c r="AJ43" s="164" t="s">
        <v>282</v>
      </c>
      <c r="AK43" s="164" t="s">
        <v>282</v>
      </c>
      <c r="AL43" s="164" t="s">
        <v>282</v>
      </c>
      <c r="AM43" s="164" t="s">
        <v>282</v>
      </c>
      <c r="AN43" s="164" t="s">
        <v>282</v>
      </c>
      <c r="AO43" s="164" t="s">
        <v>282</v>
      </c>
      <c r="AP43" s="164" t="s">
        <v>282</v>
      </c>
      <c r="AQ43" s="164" t="s">
        <v>282</v>
      </c>
      <c r="AS43" s="147" t="str">
        <f aca="false">IF('HC by Program-Term'!$Y43="","—",SUM(C43:V43))</f>
        <v>—</v>
      </c>
      <c r="AT43" s="147" t="str">
        <f aca="false">IF('HC by Program-Term'!$Y43="","—",SUM(X43:AQ43))</f>
        <v>—</v>
      </c>
    </row>
    <row r="44" customFormat="false" ht="15" hidden="false" customHeight="true" outlineLevel="0" collapsed="false">
      <c r="A44" s="165" t="str">
        <f aca="false">'Program List'!A39</f>
        <v>M355</v>
      </c>
      <c r="B44" s="166" t="str">
        <f aca="false">'Program List'!B39</f>
        <v>Online LL.M. Energy and Natural Resources</v>
      </c>
      <c r="C44" s="167" t="n">
        <f aca="false">IF('HC by Program-Term'!$Y44="","—",SUMIFS('Program LTR Retention'!B$541:B$552,'Program LTR Retention'!$A$541:$A$552,"201930"))</f>
        <v>0</v>
      </c>
      <c r="D44" s="167" t="n">
        <f aca="false">IF('HC by Program-Term'!$Y44="","—",SUMIFS('Program LTR Retention'!C$541:C$552,'Program LTR Retention'!$A$541:$A$552,"202010"))</f>
        <v>0</v>
      </c>
      <c r="E44" s="167" t="n">
        <f aca="false">IF('HC by Program-Term'!$Y44="","—",SUMIFS('Program LTR Retention'!D$541:D$552,'Program LTR Retention'!$A$541:$A$552,"202020"))</f>
        <v>0</v>
      </c>
      <c r="F44" s="167" t="n">
        <f aca="false">IF('HC by Program-Term'!$Y44="","—",SUMIFS('Program LTR Retention'!E$541:E$552,'Program LTR Retention'!$A$541:$A$552,"202030"))</f>
        <v>0</v>
      </c>
      <c r="G44" s="167" t="n">
        <f aca="false">IF('HC by Program-Term'!$Y44="","—",SUMIFS('Program LTR Retention'!F$541:F$552,'Program LTR Retention'!$A$541:$A$552,"202110"))</f>
        <v>1</v>
      </c>
      <c r="H44" s="167" t="n">
        <f aca="false">IF('HC by Program-Term'!$Y44="","—",SUMIFS('Program LTR Retention'!G$541:G$552,'Program LTR Retention'!$A$541:$A$552,"202120"))</f>
        <v>2</v>
      </c>
      <c r="I44" s="167" t="n">
        <f aca="false">IF('HC by Program-Term'!$Y44="","—",SUMIFS('Program LTR Retention'!H$541:H$552,'Program LTR Retention'!$A$541:$A$552,"202130"))</f>
        <v>0</v>
      </c>
      <c r="J44" s="167" t="n">
        <f aca="false">IF('HC by Program-Term'!$Y44="","—",SUMIFS('Program LTR Retention'!I$541:I$552,'Program LTR Retention'!$A$541:$A$552,"202210"))</f>
        <v>1</v>
      </c>
      <c r="K44" s="167" t="n">
        <f aca="false">IF('HC by Program-Term'!$Y44="","—",SUMIFS('Program LTR Retention'!J$541:J$552,'Program LTR Retention'!$A$541:$A$552,"202220"))</f>
        <v>0</v>
      </c>
      <c r="L44" s="167" t="n">
        <f aca="false">IF('HC by Program-Term'!$Y44="","—",SUMIFS('Program LTR Retention'!K$541:K$552,'Program LTR Retention'!$A$541:$A$552,"202230"))</f>
        <v>0</v>
      </c>
      <c r="M44" s="167" t="n">
        <f aca="false">IF('HC by Program-Term'!$Y44="","—",SUMIFS('Program LTR Retention'!L$541:L$552,'Program LTR Retention'!$A$541:$A$552,"202310"))</f>
        <v>3</v>
      </c>
      <c r="N44" s="167" t="n">
        <f aca="false">IF('HC by Program-Term'!$Y44="","—",SUMIFS('Program LTR Retention'!M$541:M$552,'Program LTR Retention'!$A$541:$A$552,"202320"))</f>
        <v>2</v>
      </c>
      <c r="O44" s="167" t="n">
        <f aca="false">IF('HC by Program-Term'!$Y44="","—",SUMIFS('Program LTR Retention'!N$541:N$552,'Program LTR Retention'!$A$541:$A$552,"202330"))</f>
        <v>0</v>
      </c>
      <c r="P44" s="167" t="n">
        <f aca="false">IF('HC by Program-Term'!$Y44="","—",SUMIFS('Program LTR Retention'!O$541:O$552,'Program LTR Retention'!$A$541:$A$552,"202410"))</f>
        <v>3</v>
      </c>
      <c r="Q44" s="167" t="n">
        <f aca="false">IF('HC by Program-Term'!$Y44="","—",SUMIFS('Program LTR Retention'!P$541:P$552,'Program LTR Retention'!$A$541:$A$552,"202420"))</f>
        <v>1</v>
      </c>
      <c r="R44" s="167" t="n">
        <f aca="false">IF('HC by Program-Term'!$Y44="","—",SUMIFS('Program LTR Retention'!Q$541:Q$552,'Program LTR Retention'!$A$541:$A$552,"202430"))</f>
        <v>0</v>
      </c>
      <c r="S44" s="167" t="n">
        <f aca="false">IF('HC by Program-Term'!$Y44="","—",SUMIFS('Program LTR Retention'!R$541:R$552,'Program LTR Retention'!$A$541:$A$552,"202510"))</f>
        <v>0</v>
      </c>
      <c r="T44" s="167" t="n">
        <f aca="false">IF('HC by Program-Term'!$Y44="","—",SUMIFS('Program LTR Retention'!S$541:S$552,'Program LTR Retention'!$A$541:$A$552,"202520"))</f>
        <v>2</v>
      </c>
      <c r="U44" s="167" t="n">
        <f aca="false">IF('HC by Program-Term'!$Y44="","—",SUMIFS('Program LTR Retention'!T$541:T$552,'Program LTR Retention'!$A$541:$A$552,"202530"))</f>
        <v>0</v>
      </c>
      <c r="V44" s="167" t="n">
        <f aca="false">IF('HC by Program-Term'!$Y44="","—",SUMIFS('Program LTR Retention'!U$541:U$552,'Program LTR Retention'!$A$541:$A$552,"202610"))</f>
        <v>1</v>
      </c>
      <c r="W44" s="168"/>
      <c r="X44" s="167" t="n">
        <f aca="false">IF('HC by Program-Term'!$Y44="","—",'HC by Program-Term'!C44-C44)</f>
        <v>0</v>
      </c>
      <c r="Y44" s="167" t="n">
        <f aca="false">IF('HC by Program-Term'!$Y44="","—",'HC by Program-Term'!D44-D44)</f>
        <v>0</v>
      </c>
      <c r="Z44" s="167" t="n">
        <f aca="false">IF('HC by Program-Term'!$Y44="","—",'HC by Program-Term'!E44-E44)</f>
        <v>0</v>
      </c>
      <c r="AA44" s="167" t="n">
        <f aca="false">IF('HC by Program-Term'!$Y44="","—",'HC by Program-Term'!F44-F44)</f>
        <v>0</v>
      </c>
      <c r="AB44" s="167" t="n">
        <f aca="false">IF('HC by Program-Term'!$Y44="","—",'HC by Program-Term'!G44-G44)</f>
        <v>0</v>
      </c>
      <c r="AC44" s="167" t="n">
        <f aca="false">IF('HC by Program-Term'!$Y44="","—",'HC by Program-Term'!H44-H44)</f>
        <v>1</v>
      </c>
      <c r="AD44" s="167" t="n">
        <f aca="false">IF('HC by Program-Term'!$Y44="","—",'HC by Program-Term'!I44-I44)</f>
        <v>1</v>
      </c>
      <c r="AE44" s="167" t="n">
        <f aca="false">IF('HC by Program-Term'!$Y44="","—",'HC by Program-Term'!J44-J44)</f>
        <v>1</v>
      </c>
      <c r="AF44" s="167" t="n">
        <f aca="false">IF('HC by Program-Term'!$Y44="","—",'HC by Program-Term'!K44-K44)</f>
        <v>0</v>
      </c>
      <c r="AG44" s="167" t="n">
        <f aca="false">IF('HC by Program-Term'!$Y44="","—",'HC by Program-Term'!L44-L44)</f>
        <v>0</v>
      </c>
      <c r="AH44" s="167" t="n">
        <f aca="false">IF('HC by Program-Term'!$Y44="","—",'HC by Program-Term'!M44-M44)</f>
        <v>0</v>
      </c>
      <c r="AI44" s="167" t="n">
        <f aca="false">IF('HC by Program-Term'!$Y44="","—",'HC by Program-Term'!N44-N44)</f>
        <v>2</v>
      </c>
      <c r="AJ44" s="167" t="n">
        <f aca="false">IF('HC by Program-Term'!$Y44="","—",'HC by Program-Term'!O44-O44)</f>
        <v>3</v>
      </c>
      <c r="AK44" s="167" t="n">
        <f aca="false">IF('HC by Program-Term'!$Y44="","—",'HC by Program-Term'!P44-P44)</f>
        <v>3</v>
      </c>
      <c r="AL44" s="167" t="n">
        <f aca="false">IF('HC by Program-Term'!$Y44="","—",'HC by Program-Term'!Q44-Q44)</f>
        <v>3</v>
      </c>
      <c r="AM44" s="167" t="n">
        <f aca="false">IF('HC by Program-Term'!$Y44="","—",'HC by Program-Term'!R44-R44)</f>
        <v>3</v>
      </c>
      <c r="AN44" s="167" t="n">
        <f aca="false">IF('HC by Program-Term'!$Y44="","—",'HC by Program-Term'!S44-S44)</f>
        <v>3</v>
      </c>
      <c r="AO44" s="167" t="n">
        <f aca="false">IF('HC by Program-Term'!$Y44="","—",'HC by Program-Term'!T44-T44)</f>
        <v>1</v>
      </c>
      <c r="AP44" s="167" t="n">
        <f aca="false">IF('HC by Program-Term'!$Y44="","—",'HC by Program-Term'!U44-U44)</f>
        <v>2</v>
      </c>
      <c r="AQ44" s="167" t="n">
        <f aca="false">IF('HC by Program-Term'!$Y44="","—",'HC by Program-Term'!V44-V44)</f>
        <v>1</v>
      </c>
      <c r="AR44" s="168"/>
      <c r="AS44" s="151" t="n">
        <f aca="false">IF('HC by Program-Term'!$Y44="","—",SUM(C44:V44))</f>
        <v>16</v>
      </c>
      <c r="AT44" s="151" t="n">
        <f aca="false">IF('HC by Program-Term'!$Y44="","—",SUM(X44:AQ44))</f>
        <v>24</v>
      </c>
    </row>
    <row r="45" customFormat="false" ht="15" hidden="false" customHeight="true" outlineLevel="0" collapsed="false">
      <c r="A45" s="162" t="str">
        <f aca="false">'Program List'!A40</f>
        <v>M504</v>
      </c>
      <c r="B45" s="163" t="str">
        <f aca="false">'Program List'!B40</f>
        <v>Online LL.M. Healthcare Law</v>
      </c>
      <c r="C45" s="164" t="n">
        <f aca="false">IF('HC by Program-Term'!$Y45="","—",SUMIFS('Program LTR Retention'!B$554:B$568,'Program LTR Retention'!$A$554:$A$568,"201930"))</f>
        <v>0</v>
      </c>
      <c r="D45" s="164" t="n">
        <f aca="false">IF('HC by Program-Term'!$Y45="","—",SUMIFS('Program LTR Retention'!C$554:C$568,'Program LTR Retention'!$A$554:$A$568,"202010"))</f>
        <v>0</v>
      </c>
      <c r="E45" s="164" t="n">
        <f aca="false">IF('HC by Program-Term'!$Y45="","—",SUMIFS('Program LTR Retention'!D$554:D$568,'Program LTR Retention'!$A$554:$A$568,"202020"))</f>
        <v>0</v>
      </c>
      <c r="F45" s="164" t="n">
        <f aca="false">IF('HC by Program-Term'!$Y45="","—",SUMIFS('Program LTR Retention'!E$554:E$568,'Program LTR Retention'!$A$554:$A$568,"202030"))</f>
        <v>1</v>
      </c>
      <c r="G45" s="164" t="n">
        <f aca="false">IF('HC by Program-Term'!$Y45="","—",SUMIFS('Program LTR Retention'!F$554:F$568,'Program LTR Retention'!$A$554:$A$568,"202110"))</f>
        <v>1</v>
      </c>
      <c r="H45" s="164" t="n">
        <f aca="false">IF('HC by Program-Term'!$Y45="","—",SUMIFS('Program LTR Retention'!G$554:G$568,'Program LTR Retention'!$A$554:$A$568,"202120"))</f>
        <v>0</v>
      </c>
      <c r="I45" s="164" t="n">
        <f aca="false">IF('HC by Program-Term'!$Y45="","—",SUMIFS('Program LTR Retention'!H$554:H$568,'Program LTR Retention'!$A$554:$A$568,"202130"))</f>
        <v>1</v>
      </c>
      <c r="J45" s="164" t="n">
        <f aca="false">IF('HC by Program-Term'!$Y45="","—",SUMIFS('Program LTR Retention'!I$554:I$568,'Program LTR Retention'!$A$554:$A$568,"202210"))</f>
        <v>1</v>
      </c>
      <c r="K45" s="164" t="n">
        <f aca="false">IF('HC by Program-Term'!$Y45="","—",SUMIFS('Program LTR Retention'!J$554:J$568,'Program LTR Retention'!$A$554:$A$568,"202220"))</f>
        <v>2</v>
      </c>
      <c r="L45" s="164" t="n">
        <f aca="false">IF('HC by Program-Term'!$Y45="","—",SUMIFS('Program LTR Retention'!K$554:K$568,'Program LTR Retention'!$A$554:$A$568,"202230"))</f>
        <v>1</v>
      </c>
      <c r="M45" s="164" t="n">
        <f aca="false">IF('HC by Program-Term'!$Y45="","—",SUMIFS('Program LTR Retention'!L$554:L$568,'Program LTR Retention'!$A$554:$A$568,"202310"))</f>
        <v>2</v>
      </c>
      <c r="N45" s="164" t="n">
        <f aca="false">IF('HC by Program-Term'!$Y45="","—",SUMIFS('Program LTR Retention'!M$554:M$568,'Program LTR Retention'!$A$554:$A$568,"202320"))</f>
        <v>0</v>
      </c>
      <c r="O45" s="164" t="n">
        <f aca="false">IF('HC by Program-Term'!$Y45="","—",SUMIFS('Program LTR Retention'!N$554:N$568,'Program LTR Retention'!$A$554:$A$568,"202330"))</f>
        <v>2</v>
      </c>
      <c r="P45" s="164" t="n">
        <f aca="false">IF('HC by Program-Term'!$Y45="","—",SUMIFS('Program LTR Retention'!O$554:O$568,'Program LTR Retention'!$A$554:$A$568,"202410"))</f>
        <v>0</v>
      </c>
      <c r="Q45" s="164" t="n">
        <f aca="false">IF('HC by Program-Term'!$Y45="","—",SUMIFS('Program LTR Retention'!P$554:P$568,'Program LTR Retention'!$A$554:$A$568,"202420"))</f>
        <v>1</v>
      </c>
      <c r="R45" s="164" t="n">
        <f aca="false">IF('HC by Program-Term'!$Y45="","—",SUMIFS('Program LTR Retention'!Q$554:Q$568,'Program LTR Retention'!$A$554:$A$568,"202430"))</f>
        <v>0</v>
      </c>
      <c r="S45" s="164" t="n">
        <f aca="false">IF('HC by Program-Term'!$Y45="","—",SUMIFS('Program LTR Retention'!R$554:R$568,'Program LTR Retention'!$A$554:$A$568,"202510"))</f>
        <v>2</v>
      </c>
      <c r="T45" s="164" t="n">
        <f aca="false">IF('HC by Program-Term'!$Y45="","—",SUMIFS('Program LTR Retention'!S$554:S$568,'Program LTR Retention'!$A$554:$A$568,"202520"))</f>
        <v>1</v>
      </c>
      <c r="U45" s="164" t="n">
        <f aca="false">IF('HC by Program-Term'!$Y45="","—",SUMIFS('Program LTR Retention'!T$554:T$568,'Program LTR Retention'!$A$554:$A$568,"202530"))</f>
        <v>1</v>
      </c>
      <c r="V45" s="164" t="n">
        <f aca="false">IF('HC by Program-Term'!$Y45="","—",SUMIFS('Program LTR Retention'!U$554:U$568,'Program LTR Retention'!$A$554:$A$568,"202610"))</f>
        <v>0</v>
      </c>
      <c r="X45" s="164" t="n">
        <f aca="false">IF('HC by Program-Term'!$Y45="","—",'HC by Program-Term'!C45-C45)</f>
        <v>0</v>
      </c>
      <c r="Y45" s="164" t="n">
        <f aca="false">IF('HC by Program-Term'!$Y45="","—",'HC by Program-Term'!D45-D45)</f>
        <v>0</v>
      </c>
      <c r="Z45" s="164" t="n">
        <f aca="false">IF('HC by Program-Term'!$Y45="","—",'HC by Program-Term'!E45-E45)</f>
        <v>0</v>
      </c>
      <c r="AA45" s="164" t="n">
        <f aca="false">IF('HC by Program-Term'!$Y45="","—",'HC by Program-Term'!F45-F45)</f>
        <v>0</v>
      </c>
      <c r="AB45" s="164" t="n">
        <f aca="false">IF('HC by Program-Term'!$Y45="","—",'HC by Program-Term'!G45-G45)</f>
        <v>1</v>
      </c>
      <c r="AC45" s="164" t="n">
        <f aca="false">IF('HC by Program-Term'!$Y45="","—",'HC by Program-Term'!H45-H45)</f>
        <v>1</v>
      </c>
      <c r="AD45" s="164" t="n">
        <f aca="false">IF('HC by Program-Term'!$Y45="","—",'HC by Program-Term'!I45-I45)</f>
        <v>1</v>
      </c>
      <c r="AE45" s="164" t="n">
        <f aca="false">IF('HC by Program-Term'!$Y45="","—",'HC by Program-Term'!J45-J45)</f>
        <v>0</v>
      </c>
      <c r="AF45" s="164" t="n">
        <f aca="false">IF('HC by Program-Term'!$Y45="","—",'HC by Program-Term'!K45-K45)</f>
        <v>0</v>
      </c>
      <c r="AG45" s="164" t="n">
        <f aca="false">IF('HC by Program-Term'!$Y45="","—",'HC by Program-Term'!L45-L45)</f>
        <v>1</v>
      </c>
      <c r="AH45" s="164" t="n">
        <f aca="false">IF('HC by Program-Term'!$Y45="","—",'HC by Program-Term'!M45-M45)</f>
        <v>2</v>
      </c>
      <c r="AI45" s="164" t="n">
        <f aca="false">IF('HC by Program-Term'!$Y45="","—",'HC by Program-Term'!N45-N45)</f>
        <v>2</v>
      </c>
      <c r="AJ45" s="164" t="n">
        <f aca="false">IF('HC by Program-Term'!$Y45="","—",'HC by Program-Term'!O45-O45)</f>
        <v>1</v>
      </c>
      <c r="AK45" s="164" t="n">
        <f aca="false">IF('HC by Program-Term'!$Y45="","—",'HC by Program-Term'!P45-P45)</f>
        <v>1</v>
      </c>
      <c r="AL45" s="164" t="n">
        <f aca="false">IF('HC by Program-Term'!$Y45="","—",'HC by Program-Term'!Q45-Q45)</f>
        <v>1</v>
      </c>
      <c r="AM45" s="164" t="n">
        <f aca="false">IF('HC by Program-Term'!$Y45="","—",'HC by Program-Term'!R45-R45)</f>
        <v>2</v>
      </c>
      <c r="AN45" s="164" t="n">
        <f aca="false">IF('HC by Program-Term'!$Y45="","—",'HC by Program-Term'!S45-S45)</f>
        <v>1</v>
      </c>
      <c r="AO45" s="164" t="n">
        <f aca="false">IF('HC by Program-Term'!$Y45="","—",'HC by Program-Term'!T45-T45)</f>
        <v>3</v>
      </c>
      <c r="AP45" s="164" t="n">
        <f aca="false">IF('HC by Program-Term'!$Y45="","—",'HC by Program-Term'!U45-U45)</f>
        <v>1</v>
      </c>
      <c r="AQ45" s="164" t="n">
        <f aca="false">IF('HC by Program-Term'!$Y45="","—",'HC by Program-Term'!V45-V45)</f>
        <v>3</v>
      </c>
      <c r="AS45" s="147" t="n">
        <f aca="false">IF('HC by Program-Term'!$Y45="","—",SUM(C45:V45))</f>
        <v>16</v>
      </c>
      <c r="AT45" s="147" t="n">
        <f aca="false">IF('HC by Program-Term'!$Y45="","—",SUM(X45:AQ45))</f>
        <v>21</v>
      </c>
    </row>
    <row r="46" customFormat="false" ht="15" hidden="false" customHeight="true" outlineLevel="0" collapsed="false">
      <c r="A46" s="165" t="str">
        <f aca="false">'Program List'!A41</f>
        <v>M526</v>
      </c>
      <c r="B46" s="166" t="str">
        <f aca="false">'Program List'!B41</f>
        <v>Online LL.M. Indigenous Peoples Law</v>
      </c>
      <c r="C46" s="167" t="n">
        <f aca="false">IF('HC by Program-Term'!$Y46="","—",SUMIFS('Program LTR Retention'!B$570:B$584,'Program LTR Retention'!$A$570:$A$584,"201930"))</f>
        <v>0</v>
      </c>
      <c r="D46" s="167" t="n">
        <f aca="false">IF('HC by Program-Term'!$Y46="","—",SUMIFS('Program LTR Retention'!C$570:C$584,'Program LTR Retention'!$A$570:$A$584,"202010"))</f>
        <v>0</v>
      </c>
      <c r="E46" s="167" t="n">
        <f aca="false">IF('HC by Program-Term'!$Y46="","—",SUMIFS('Program LTR Retention'!D$570:D$584,'Program LTR Retention'!$A$570:$A$584,"202020"))</f>
        <v>2</v>
      </c>
      <c r="F46" s="167" t="n">
        <f aca="false">IF('HC by Program-Term'!$Y46="","—",SUMIFS('Program LTR Retention'!E$570:E$584,'Program LTR Retention'!$A$570:$A$584,"202030"))</f>
        <v>4</v>
      </c>
      <c r="G46" s="167" t="n">
        <f aca="false">IF('HC by Program-Term'!$Y46="","—",SUMIFS('Program LTR Retention'!F$570:F$584,'Program LTR Retention'!$A$570:$A$584,"202110"))</f>
        <v>2</v>
      </c>
      <c r="H46" s="167" t="n">
        <f aca="false">IF('HC by Program-Term'!$Y46="","—",SUMIFS('Program LTR Retention'!G$570:G$584,'Program LTR Retention'!$A$570:$A$584,"202120"))</f>
        <v>0</v>
      </c>
      <c r="I46" s="167" t="n">
        <f aca="false">IF('HC by Program-Term'!$Y46="","—",SUMIFS('Program LTR Retention'!H$570:H$584,'Program LTR Retention'!$A$570:$A$584,"202130"))</f>
        <v>0</v>
      </c>
      <c r="J46" s="167" t="n">
        <f aca="false">IF('HC by Program-Term'!$Y46="","—",SUMIFS('Program LTR Retention'!I$570:I$584,'Program LTR Retention'!$A$570:$A$584,"202210"))</f>
        <v>5</v>
      </c>
      <c r="K46" s="167" t="n">
        <f aca="false">IF('HC by Program-Term'!$Y46="","—",SUMIFS('Program LTR Retention'!J$570:J$584,'Program LTR Retention'!$A$570:$A$584,"202220"))</f>
        <v>2</v>
      </c>
      <c r="L46" s="167" t="n">
        <f aca="false">IF('HC by Program-Term'!$Y46="","—",SUMIFS('Program LTR Retention'!K$570:K$584,'Program LTR Retention'!$A$570:$A$584,"202230"))</f>
        <v>0</v>
      </c>
      <c r="M46" s="167" t="n">
        <f aca="false">IF('HC by Program-Term'!$Y46="","—",SUMIFS('Program LTR Retention'!L$570:L$584,'Program LTR Retention'!$A$570:$A$584,"202310"))</f>
        <v>2</v>
      </c>
      <c r="N46" s="167" t="n">
        <f aca="false">IF('HC by Program-Term'!$Y46="","—",SUMIFS('Program LTR Retention'!M$570:M$584,'Program LTR Retention'!$A$570:$A$584,"202320"))</f>
        <v>2</v>
      </c>
      <c r="O46" s="167" t="n">
        <f aca="false">IF('HC by Program-Term'!$Y46="","—",SUMIFS('Program LTR Retention'!N$570:N$584,'Program LTR Retention'!$A$570:$A$584,"202330"))</f>
        <v>0</v>
      </c>
      <c r="P46" s="167" t="n">
        <f aca="false">IF('HC by Program-Term'!$Y46="","—",SUMIFS('Program LTR Retention'!O$570:O$584,'Program LTR Retention'!$A$570:$A$584,"202410"))</f>
        <v>7</v>
      </c>
      <c r="Q46" s="167" t="n">
        <f aca="false">IF('HC by Program-Term'!$Y46="","—",SUMIFS('Program LTR Retention'!P$570:P$584,'Program LTR Retention'!$A$570:$A$584,"202420"))</f>
        <v>1</v>
      </c>
      <c r="R46" s="167" t="n">
        <f aca="false">IF('HC by Program-Term'!$Y46="","—",SUMIFS('Program LTR Retention'!Q$570:Q$584,'Program LTR Retention'!$A$570:$A$584,"202430"))</f>
        <v>1</v>
      </c>
      <c r="S46" s="167" t="n">
        <f aca="false">IF('HC by Program-Term'!$Y46="","—",SUMIFS('Program LTR Retention'!R$570:R$584,'Program LTR Retention'!$A$570:$A$584,"202510"))</f>
        <v>1</v>
      </c>
      <c r="T46" s="167" t="n">
        <f aca="false">IF('HC by Program-Term'!$Y46="","—",SUMIFS('Program LTR Retention'!S$570:S$584,'Program LTR Retention'!$A$570:$A$584,"202520"))</f>
        <v>0</v>
      </c>
      <c r="U46" s="167" t="n">
        <f aca="false">IF('HC by Program-Term'!$Y46="","—",SUMIFS('Program LTR Retention'!T$570:T$584,'Program LTR Retention'!$A$570:$A$584,"202530"))</f>
        <v>0</v>
      </c>
      <c r="V46" s="167" t="n">
        <f aca="false">IF('HC by Program-Term'!$Y46="","—",SUMIFS('Program LTR Retention'!U$570:U$584,'Program LTR Retention'!$A$570:$A$584,"202610"))</f>
        <v>1</v>
      </c>
      <c r="W46" s="168"/>
      <c r="X46" s="167" t="n">
        <f aca="false">IF('HC by Program-Term'!$Y46="","—",'HC by Program-Term'!C46-C46)</f>
        <v>0</v>
      </c>
      <c r="Y46" s="167" t="n">
        <f aca="false">IF('HC by Program-Term'!$Y46="","—",'HC by Program-Term'!D46-D46)</f>
        <v>0</v>
      </c>
      <c r="Z46" s="167" t="n">
        <f aca="false">IF('HC by Program-Term'!$Y46="","—",'HC by Program-Term'!E46-E46)</f>
        <v>0</v>
      </c>
      <c r="AA46" s="167" t="n">
        <f aca="false">IF('HC by Program-Term'!$Y46="","—",'HC by Program-Term'!F46-F46)</f>
        <v>2</v>
      </c>
      <c r="AB46" s="167" t="n">
        <f aca="false">IF('HC by Program-Term'!$Y46="","—",'HC by Program-Term'!G46-G46)</f>
        <v>4</v>
      </c>
      <c r="AC46" s="167" t="n">
        <f aca="false">IF('HC by Program-Term'!$Y46="","—",'HC by Program-Term'!H46-H46)</f>
        <v>3</v>
      </c>
      <c r="AD46" s="167" t="n">
        <f aca="false">IF('HC by Program-Term'!$Y46="","—",'HC by Program-Term'!I46-I46)</f>
        <v>2</v>
      </c>
      <c r="AE46" s="167" t="n">
        <f aca="false">IF('HC by Program-Term'!$Y46="","—",'HC by Program-Term'!J46-J46)</f>
        <v>2</v>
      </c>
      <c r="AF46" s="167" t="n">
        <f aca="false">IF('HC by Program-Term'!$Y46="","—",'HC by Program-Term'!K46-K46)</f>
        <v>5</v>
      </c>
      <c r="AG46" s="167" t="n">
        <f aca="false">IF('HC by Program-Term'!$Y46="","—",'HC by Program-Term'!L46-L46)</f>
        <v>1</v>
      </c>
      <c r="AH46" s="167" t="n">
        <f aca="false">IF('HC by Program-Term'!$Y46="","—",'HC by Program-Term'!M46-M46)</f>
        <v>2</v>
      </c>
      <c r="AI46" s="167" t="n">
        <f aca="false">IF('HC by Program-Term'!$Y46="","—",'HC by Program-Term'!N46-N46)</f>
        <v>4</v>
      </c>
      <c r="AJ46" s="167" t="n">
        <f aca="false">IF('HC by Program-Term'!$Y46="","—",'HC by Program-Term'!O46-O46)</f>
        <v>4</v>
      </c>
      <c r="AK46" s="167" t="n">
        <f aca="false">IF('HC by Program-Term'!$Y46="","—",'HC by Program-Term'!P46-P46)</f>
        <v>4</v>
      </c>
      <c r="AL46" s="167" t="n">
        <f aca="false">IF('HC by Program-Term'!$Y46="","—",'HC by Program-Term'!Q46-Q46)</f>
        <v>10</v>
      </c>
      <c r="AM46" s="167" t="n">
        <f aca="false">IF('HC by Program-Term'!$Y46="","—",'HC by Program-Term'!R46-R46)</f>
        <v>4</v>
      </c>
      <c r="AN46" s="167" t="n">
        <f aca="false">IF('HC by Program-Term'!$Y46="","—",'HC by Program-Term'!S46-S46)</f>
        <v>6</v>
      </c>
      <c r="AO46" s="167" t="n">
        <f aca="false">IF('HC by Program-Term'!$Y46="","—",'HC by Program-Term'!T46-T46)</f>
        <v>3</v>
      </c>
      <c r="AP46" s="167" t="n">
        <f aca="false">IF('HC by Program-Term'!$Y46="","—",'HC by Program-Term'!U46-U46)</f>
        <v>2</v>
      </c>
      <c r="AQ46" s="167" t="n">
        <f aca="false">IF('HC by Program-Term'!$Y46="","—",'HC by Program-Term'!V46-V46)</f>
        <v>0</v>
      </c>
      <c r="AR46" s="168"/>
      <c r="AS46" s="151" t="n">
        <f aca="false">IF('HC by Program-Term'!$Y46="","—",SUM(C46:V46))</f>
        <v>30</v>
      </c>
      <c r="AT46" s="151" t="n">
        <f aca="false">IF('HC by Program-Term'!$Y46="","—",SUM(X46:AQ46))</f>
        <v>58</v>
      </c>
    </row>
    <row r="47" customFormat="false" ht="15" hidden="false" customHeight="true" outlineLevel="0" collapsed="false">
      <c r="A47" s="162" t="str">
        <f aca="false">'Program List'!A42</f>
        <v>M592</v>
      </c>
      <c r="B47" s="163" t="str">
        <f aca="false">'Program List'!B42</f>
        <v>Online LL.M. International Business</v>
      </c>
      <c r="C47" s="164" t="n">
        <f aca="false">IF('HC by Program-Term'!$Y47="","—",SUMIFS('Program LTR Retention'!B$586:B$592,'Program LTR Retention'!$A$586:$A$592,"201930"))</f>
        <v>0</v>
      </c>
      <c r="D47" s="164" t="n">
        <f aca="false">IF('HC by Program-Term'!$Y47="","—",SUMIFS('Program LTR Retention'!C$586:C$592,'Program LTR Retention'!$A$586:$A$592,"202010"))</f>
        <v>0</v>
      </c>
      <c r="E47" s="164" t="n">
        <f aca="false">IF('HC by Program-Term'!$Y47="","—",SUMIFS('Program LTR Retention'!D$586:D$592,'Program LTR Retention'!$A$586:$A$592,"202020"))</f>
        <v>0</v>
      </c>
      <c r="F47" s="164" t="n">
        <f aca="false">IF('HC by Program-Term'!$Y47="","—",SUMIFS('Program LTR Retention'!E$586:E$592,'Program LTR Retention'!$A$586:$A$592,"202030"))</f>
        <v>0</v>
      </c>
      <c r="G47" s="164" t="n">
        <f aca="false">IF('HC by Program-Term'!$Y47="","—",SUMIFS('Program LTR Retention'!F$586:F$592,'Program LTR Retention'!$A$586:$A$592,"202110"))</f>
        <v>0</v>
      </c>
      <c r="H47" s="164" t="n">
        <f aca="false">IF('HC by Program-Term'!$Y47="","—",SUMIFS('Program LTR Retention'!G$586:G$592,'Program LTR Retention'!$A$586:$A$592,"202120"))</f>
        <v>0</v>
      </c>
      <c r="I47" s="164" t="n">
        <f aca="false">IF('HC by Program-Term'!$Y47="","—",SUMIFS('Program LTR Retention'!H$586:H$592,'Program LTR Retention'!$A$586:$A$592,"202130"))</f>
        <v>0</v>
      </c>
      <c r="J47" s="164" t="n">
        <f aca="false">IF('HC by Program-Term'!$Y47="","—",SUMIFS('Program LTR Retention'!I$586:I$592,'Program LTR Retention'!$A$586:$A$592,"202210"))</f>
        <v>1</v>
      </c>
      <c r="K47" s="164" t="n">
        <f aca="false">IF('HC by Program-Term'!$Y47="","—",SUMIFS('Program LTR Retention'!J$586:J$592,'Program LTR Retention'!$A$586:$A$592,"202220"))</f>
        <v>0</v>
      </c>
      <c r="L47" s="164" t="n">
        <f aca="false">IF('HC by Program-Term'!$Y47="","—",SUMIFS('Program LTR Retention'!K$586:K$592,'Program LTR Retention'!$A$586:$A$592,"202230"))</f>
        <v>0</v>
      </c>
      <c r="M47" s="164" t="n">
        <f aca="false">IF('HC by Program-Term'!$Y47="","—",SUMIFS('Program LTR Retention'!L$586:L$592,'Program LTR Retention'!$A$586:$A$592,"202310"))</f>
        <v>1</v>
      </c>
      <c r="N47" s="164" t="n">
        <f aca="false">IF('HC by Program-Term'!$Y47="","—",SUMIFS('Program LTR Retention'!M$586:M$592,'Program LTR Retention'!$A$586:$A$592,"202320"))</f>
        <v>0</v>
      </c>
      <c r="O47" s="164" t="n">
        <f aca="false">IF('HC by Program-Term'!$Y47="","—",SUMIFS('Program LTR Retention'!N$586:N$592,'Program LTR Retention'!$A$586:$A$592,"202330"))</f>
        <v>0</v>
      </c>
      <c r="P47" s="164" t="n">
        <f aca="false">IF('HC by Program-Term'!$Y47="","—",SUMIFS('Program LTR Retention'!O$586:O$592,'Program LTR Retention'!$A$586:$A$592,"202410"))</f>
        <v>0</v>
      </c>
      <c r="Q47" s="164" t="n">
        <f aca="false">IF('HC by Program-Term'!$Y47="","—",SUMIFS('Program LTR Retention'!P$586:P$592,'Program LTR Retention'!$A$586:$A$592,"202420"))</f>
        <v>0</v>
      </c>
      <c r="R47" s="164" t="n">
        <f aca="false">IF('HC by Program-Term'!$Y47="","—",SUMIFS('Program LTR Retention'!Q$586:Q$592,'Program LTR Retention'!$A$586:$A$592,"202430"))</f>
        <v>0</v>
      </c>
      <c r="S47" s="164" t="n">
        <f aca="false">IF('HC by Program-Term'!$Y47="","—",SUMIFS('Program LTR Retention'!R$586:R$592,'Program LTR Retention'!$A$586:$A$592,"202510"))</f>
        <v>3</v>
      </c>
      <c r="T47" s="164" t="n">
        <f aca="false">IF('HC by Program-Term'!$Y47="","—",SUMIFS('Program LTR Retention'!S$586:S$592,'Program LTR Retention'!$A$586:$A$592,"202520"))</f>
        <v>1</v>
      </c>
      <c r="U47" s="164" t="n">
        <f aca="false">IF('HC by Program-Term'!$Y47="","—",SUMIFS('Program LTR Retention'!T$586:T$592,'Program LTR Retention'!$A$586:$A$592,"202530"))</f>
        <v>0</v>
      </c>
      <c r="V47" s="164" t="n">
        <f aca="false">IF('HC by Program-Term'!$Y47="","—",SUMIFS('Program LTR Retention'!U$586:U$592,'Program LTR Retention'!$A$586:$A$592,"202610"))</f>
        <v>0</v>
      </c>
      <c r="X47" s="164" t="n">
        <f aca="false">IF('HC by Program-Term'!$Y47="","—",'HC by Program-Term'!C47-C47)</f>
        <v>0</v>
      </c>
      <c r="Y47" s="164" t="n">
        <f aca="false">IF('HC by Program-Term'!$Y47="","—",'HC by Program-Term'!D47-D47)</f>
        <v>0</v>
      </c>
      <c r="Z47" s="164" t="n">
        <f aca="false">IF('HC by Program-Term'!$Y47="","—",'HC by Program-Term'!E47-E47)</f>
        <v>0</v>
      </c>
      <c r="AA47" s="164" t="n">
        <f aca="false">IF('HC by Program-Term'!$Y47="","—",'HC by Program-Term'!F47-F47)</f>
        <v>0</v>
      </c>
      <c r="AB47" s="164" t="n">
        <f aca="false">IF('HC by Program-Term'!$Y47="","—",'HC by Program-Term'!G47-G47)</f>
        <v>0</v>
      </c>
      <c r="AC47" s="164" t="n">
        <f aca="false">IF('HC by Program-Term'!$Y47="","—",'HC by Program-Term'!H47-H47)</f>
        <v>0</v>
      </c>
      <c r="AD47" s="164" t="n">
        <f aca="false">IF('HC by Program-Term'!$Y47="","—",'HC by Program-Term'!I47-I47)</f>
        <v>0</v>
      </c>
      <c r="AE47" s="164" t="n">
        <f aca="false">IF('HC by Program-Term'!$Y47="","—",'HC by Program-Term'!J47-J47)</f>
        <v>0</v>
      </c>
      <c r="AF47" s="164" t="n">
        <f aca="false">IF('HC by Program-Term'!$Y47="","—",'HC by Program-Term'!K47-K47)</f>
        <v>1</v>
      </c>
      <c r="AG47" s="164" t="n">
        <f aca="false">IF('HC by Program-Term'!$Y47="","—",'HC by Program-Term'!L47-L47)</f>
        <v>0</v>
      </c>
      <c r="AH47" s="164" t="n">
        <f aca="false">IF('HC by Program-Term'!$Y47="","—",'HC by Program-Term'!M47-M47)</f>
        <v>0</v>
      </c>
      <c r="AI47" s="164" t="n">
        <f aca="false">IF('HC by Program-Term'!$Y47="","—",'HC by Program-Term'!N47-N47)</f>
        <v>1</v>
      </c>
      <c r="AJ47" s="164" t="n">
        <f aca="false">IF('HC by Program-Term'!$Y47="","—",'HC by Program-Term'!O47-O47)</f>
        <v>1</v>
      </c>
      <c r="AK47" s="164" t="n">
        <f aca="false">IF('HC by Program-Term'!$Y47="","—",'HC by Program-Term'!P47-P47)</f>
        <v>0</v>
      </c>
      <c r="AL47" s="164" t="n">
        <f aca="false">IF('HC by Program-Term'!$Y47="","—",'HC by Program-Term'!Q47-Q47)</f>
        <v>0</v>
      </c>
      <c r="AM47" s="164" t="n">
        <f aca="false">IF('HC by Program-Term'!$Y47="","—",'HC by Program-Term'!R47-R47)</f>
        <v>0</v>
      </c>
      <c r="AN47" s="164" t="n">
        <f aca="false">IF('HC by Program-Term'!$Y47="","—",'HC by Program-Term'!S47-S47)</f>
        <v>0</v>
      </c>
      <c r="AO47" s="164" t="n">
        <f aca="false">IF('HC by Program-Term'!$Y47="","—",'HC by Program-Term'!T47-T47)</f>
        <v>3</v>
      </c>
      <c r="AP47" s="164" t="n">
        <f aca="false">IF('HC by Program-Term'!$Y47="","—",'HC by Program-Term'!U47-U47)</f>
        <v>2</v>
      </c>
      <c r="AQ47" s="164" t="n">
        <f aca="false">IF('HC by Program-Term'!$Y47="","—",'HC by Program-Term'!V47-V47)</f>
        <v>2</v>
      </c>
      <c r="AS47" s="147" t="n">
        <f aca="false">IF('HC by Program-Term'!$Y47="","—",SUM(C47:V47))</f>
        <v>6</v>
      </c>
      <c r="AT47" s="147" t="n">
        <f aca="false">IF('HC by Program-Term'!$Y47="","—",SUM(X47:AQ47))</f>
        <v>10</v>
      </c>
    </row>
    <row r="48" customFormat="false" ht="15" hidden="false" customHeight="true" outlineLevel="0" collapsed="false">
      <c r="A48" s="87"/>
      <c r="B48" s="152" t="s">
        <v>700</v>
      </c>
      <c r="C48" s="153" t="n">
        <f aca="false">SUM(C7:C47)</f>
        <v>111</v>
      </c>
      <c r="D48" s="153" t="n">
        <f aca="false">SUM(D7:D47)</f>
        <v>495</v>
      </c>
      <c r="E48" s="153" t="n">
        <f aca="false">SUM(E7:E47)</f>
        <v>495</v>
      </c>
      <c r="F48" s="153" t="n">
        <f aca="false">SUM(F7:F47)</f>
        <v>174</v>
      </c>
      <c r="G48" s="153" t="n">
        <f aca="false">SUM(G7:G47)</f>
        <v>649</v>
      </c>
      <c r="H48" s="153" t="n">
        <f aca="false">SUM(H7:H47)</f>
        <v>631</v>
      </c>
      <c r="I48" s="153" t="n">
        <f aca="false">SUM(I7:I47)</f>
        <v>223</v>
      </c>
      <c r="J48" s="153" t="n">
        <f aca="false">SUM(J7:J47)</f>
        <v>717</v>
      </c>
      <c r="K48" s="153" t="n">
        <f aca="false">SUM(K7:K47)</f>
        <v>538</v>
      </c>
      <c r="L48" s="153" t="n">
        <f aca="false">SUM(L7:L47)</f>
        <v>233</v>
      </c>
      <c r="M48" s="153" t="n">
        <f aca="false">SUM(M7:M47)</f>
        <v>866</v>
      </c>
      <c r="N48" s="153" t="n">
        <f aca="false">SUM(N7:N47)</f>
        <v>709</v>
      </c>
      <c r="O48" s="153" t="n">
        <f aca="false">SUM(O7:O47)</f>
        <v>201</v>
      </c>
      <c r="P48" s="153" t="n">
        <f aca="false">SUM(P7:P47)</f>
        <v>836</v>
      </c>
      <c r="Q48" s="153" t="n">
        <f aca="false">SUM(Q7:Q47)</f>
        <v>598</v>
      </c>
      <c r="R48" s="153" t="n">
        <f aca="false">SUM(R7:R47)</f>
        <v>157</v>
      </c>
      <c r="S48" s="153" t="n">
        <f aca="false">SUM(S7:S47)</f>
        <v>836</v>
      </c>
      <c r="T48" s="153" t="n">
        <f aca="false">SUM(T7:T47)</f>
        <v>530</v>
      </c>
      <c r="U48" s="153" t="n">
        <f aca="false">SUM(U7:U47)</f>
        <v>152</v>
      </c>
      <c r="V48" s="153" t="n">
        <f aca="false">SUM(V7:V47)</f>
        <v>700</v>
      </c>
      <c r="X48" s="153" t="n">
        <f aca="false">SUM(X7:X47)</f>
        <v>0</v>
      </c>
      <c r="Y48" s="153" t="n">
        <f aca="false">SUM(Y7:Y47)</f>
        <v>94</v>
      </c>
      <c r="Z48" s="153" t="n">
        <f aca="false">SUM(Z7:Z47)</f>
        <v>511</v>
      </c>
      <c r="AA48" s="153" t="n">
        <f aca="false">SUM(AA7:AA47)</f>
        <v>783</v>
      </c>
      <c r="AB48" s="153" t="n">
        <f aca="false">SUM(AB7:AB47)</f>
        <v>960</v>
      </c>
      <c r="AC48" s="153" t="n">
        <f aca="false">SUM(AC7:AC47)</f>
        <v>1323</v>
      </c>
      <c r="AD48" s="153" t="n">
        <f aca="false">SUM(AD7:AD47)</f>
        <v>1329</v>
      </c>
      <c r="AE48" s="153" t="n">
        <f aca="false">SUM(AE7:AE47)</f>
        <v>1485</v>
      </c>
      <c r="AF48" s="153" t="n">
        <f aca="false">SUM(AF7:AF47)</f>
        <v>1733</v>
      </c>
      <c r="AG48" s="153" t="n">
        <f aca="false">SUM(AG7:AG47)</f>
        <v>1486</v>
      </c>
      <c r="AH48" s="153" t="n">
        <f aca="false">SUM(AH7:AH47)</f>
        <v>1685</v>
      </c>
      <c r="AI48" s="153" t="n">
        <f aca="false">SUM(AI7:AI47)</f>
        <v>2051</v>
      </c>
      <c r="AJ48" s="153" t="n">
        <f aca="false">SUM(AJ7:AJ47)</f>
        <v>1841</v>
      </c>
      <c r="AK48" s="153" t="n">
        <f aca="false">SUM(AK7:AK47)</f>
        <v>1980</v>
      </c>
      <c r="AL48" s="153" t="n">
        <f aca="false">SUM(AL7:AL47)</f>
        <v>2158</v>
      </c>
      <c r="AM48" s="153" t="n">
        <f aca="false">SUM(AM7:AM47)</f>
        <v>1868</v>
      </c>
      <c r="AN48" s="153" t="n">
        <f aca="false">SUM(AN7:AN47)</f>
        <v>1868</v>
      </c>
      <c r="AO48" s="153" t="n">
        <f aca="false">SUM(AO7:AO47)</f>
        <v>2133</v>
      </c>
      <c r="AP48" s="153" t="n">
        <f aca="false">SUM(AP7:AP47)</f>
        <v>1829</v>
      </c>
      <c r="AQ48" s="153" t="n">
        <f aca="false">SUM(AQ7:AQ47)</f>
        <v>1782</v>
      </c>
      <c r="AS48" s="153" t="n">
        <f aca="false">SUM(AS7:AS47)</f>
        <v>9851</v>
      </c>
      <c r="AT48" s="153" t="n">
        <f aca="false">SUM(AT7:AT47)</f>
        <v>28899</v>
      </c>
    </row>
  </sheetData>
  <mergeCells count="3">
    <mergeCell ref="A2:X2"/>
    <mergeCell ref="C4:V4"/>
    <mergeCell ref="X4:AQ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2" activeCellId="0" sqref="H22"/>
    </sheetView>
  </sheetViews>
  <sheetFormatPr defaultColWidth="8.66796875" defaultRowHeight="14.25" zeroHeight="false" outlineLevelRow="0" outlineLevelCol="0"/>
  <cols>
    <col collapsed="false" customWidth="true" hidden="false" outlineLevel="0" max="1" min="1" style="0" width="16.53"/>
    <col collapsed="false" customWidth="true" hidden="false" outlineLevel="0" max="2" min="2" style="0" width="54.86"/>
    <col collapsed="false" customWidth="true" hidden="false" outlineLevel="0" max="3" min="3" style="0" width="26.47"/>
    <col collapsed="false" customWidth="true" hidden="false" outlineLevel="0" max="4" min="4" style="0" width="19.26"/>
    <col collapsed="false" customWidth="true" hidden="false" outlineLevel="0" max="5" min="5" style="0" width="29.53"/>
    <col collapsed="false" customWidth="true" hidden="false" outlineLevel="0" max="6" min="6" style="0" width="16.86"/>
    <col collapsed="false" customWidth="true" hidden="false" outlineLevel="0" max="7" min="7" style="0" width="11.53"/>
    <col collapsed="false" customWidth="true" hidden="false" outlineLevel="0" max="8" min="8" style="0" width="19.26"/>
    <col collapsed="false" customWidth="true" hidden="false" outlineLevel="0" max="9" min="9" style="0" width="25.39"/>
    <col collapsed="false" customWidth="true" hidden="false" outlineLevel="0" max="10" min="10" style="0" width="18.47"/>
    <col collapsed="false" customWidth="true" hidden="false" outlineLevel="0" max="11" min="11" style="0" width="25"/>
  </cols>
  <sheetData>
    <row r="1" customFormat="false" ht="18" hidden="false" customHeight="true" outlineLevel="0" collapsed="false">
      <c r="A1" s="139" t="s">
        <v>734</v>
      </c>
    </row>
    <row r="2" customFormat="false" ht="14.25" hidden="false" customHeight="false" outlineLevel="0" collapsed="false">
      <c r="A2" s="171" t="s">
        <v>735</v>
      </c>
      <c r="B2" s="171"/>
      <c r="C2" s="171"/>
      <c r="D2" s="171"/>
      <c r="E2" s="171"/>
      <c r="F2" s="171"/>
      <c r="G2" s="171"/>
      <c r="H2" s="171"/>
      <c r="I2" s="171"/>
      <c r="J2" s="171"/>
      <c r="K2" s="171"/>
      <c r="L2" s="171"/>
    </row>
    <row r="5" customFormat="false" ht="15.75" hidden="false" customHeight="true" outlineLevel="0" collapsed="false">
      <c r="A5" s="172" t="s">
        <v>736</v>
      </c>
    </row>
    <row r="6" customFormat="false" ht="14.25" hidden="false" customHeight="false" outlineLevel="0" collapsed="false">
      <c r="A6" s="173" t="s">
        <v>737</v>
      </c>
      <c r="B6" s="173" t="s">
        <v>738</v>
      </c>
      <c r="C6" s="173" t="s">
        <v>739</v>
      </c>
      <c r="D6" s="173" t="s">
        <v>740</v>
      </c>
      <c r="E6" s="173" t="s">
        <v>741</v>
      </c>
      <c r="F6" s="173" t="s">
        <v>742</v>
      </c>
    </row>
    <row r="7" customFormat="false" ht="14.25" hidden="false" customHeight="false" outlineLevel="0" collapsed="false">
      <c r="A7" s="145" t="s">
        <v>703</v>
      </c>
      <c r="B7" s="174" t="s">
        <v>113</v>
      </c>
      <c r="C7" s="175" t="n">
        <f aca="false">'New vs Continuing — Term'!C48</f>
        <v>111</v>
      </c>
      <c r="D7" s="175" t="n">
        <f aca="false">'New vs Continuing — Term'!X48</f>
        <v>0</v>
      </c>
      <c r="E7" s="175" t="n">
        <f aca="false">'HC by Program-Term'!C48</f>
        <v>111</v>
      </c>
      <c r="F7" s="175" t="s">
        <v>282</v>
      </c>
    </row>
    <row r="8" customFormat="false" ht="14.25" hidden="false" customHeight="false" outlineLevel="0" collapsed="false">
      <c r="A8" s="149" t="s">
        <v>704</v>
      </c>
      <c r="B8" s="176" t="s">
        <v>114</v>
      </c>
      <c r="C8" s="177" t="n">
        <f aca="false">'New vs Continuing — Term'!D48</f>
        <v>495</v>
      </c>
      <c r="D8" s="177" t="n">
        <f aca="false">'New vs Continuing — Term'!Y48</f>
        <v>94</v>
      </c>
      <c r="E8" s="177" t="n">
        <f aca="false">'HC by Program-Term'!D48</f>
        <v>589</v>
      </c>
      <c r="F8" s="177" t="n">
        <f aca="false">'HC by Program-Term'!C48-'New vs Continuing — Term'!Y48</f>
        <v>17</v>
      </c>
    </row>
    <row r="9" customFormat="false" ht="14.25" hidden="false" customHeight="false" outlineLevel="0" collapsed="false">
      <c r="A9" s="145" t="s">
        <v>705</v>
      </c>
      <c r="B9" s="174" t="s">
        <v>115</v>
      </c>
      <c r="C9" s="175" t="n">
        <f aca="false">'New vs Continuing — Term'!E48</f>
        <v>495</v>
      </c>
      <c r="D9" s="175" t="n">
        <f aca="false">'New vs Continuing — Term'!Z48</f>
        <v>511</v>
      </c>
      <c r="E9" s="175" t="n">
        <f aca="false">'HC by Program-Term'!E48</f>
        <v>1006</v>
      </c>
      <c r="F9" s="175" t="n">
        <f aca="false">'HC by Program-Term'!D48-'New vs Continuing — Term'!Z48</f>
        <v>78</v>
      </c>
    </row>
    <row r="10" customFormat="false" ht="14.25" hidden="false" customHeight="false" outlineLevel="0" collapsed="false">
      <c r="A10" s="149" t="s">
        <v>706</v>
      </c>
      <c r="B10" s="176" t="s">
        <v>116</v>
      </c>
      <c r="C10" s="177" t="n">
        <f aca="false">'New vs Continuing — Term'!F48</f>
        <v>174</v>
      </c>
      <c r="D10" s="177" t="n">
        <f aca="false">'New vs Continuing — Term'!AA48</f>
        <v>783</v>
      </c>
      <c r="E10" s="177" t="n">
        <f aca="false">'HC by Program-Term'!F48</f>
        <v>957</v>
      </c>
      <c r="F10" s="177" t="n">
        <f aca="false">'HC by Program-Term'!E48-'New vs Continuing — Term'!AA48</f>
        <v>223</v>
      </c>
    </row>
    <row r="11" customFormat="false" ht="14.25" hidden="false" customHeight="false" outlineLevel="0" collapsed="false">
      <c r="A11" s="145" t="s">
        <v>707</v>
      </c>
      <c r="B11" s="174" t="s">
        <v>117</v>
      </c>
      <c r="C11" s="175" t="n">
        <f aca="false">'New vs Continuing — Term'!G48</f>
        <v>649</v>
      </c>
      <c r="D11" s="175" t="n">
        <f aca="false">'New vs Continuing — Term'!AB48</f>
        <v>960</v>
      </c>
      <c r="E11" s="175" t="n">
        <f aca="false">'HC by Program-Term'!G48</f>
        <v>1609</v>
      </c>
      <c r="F11" s="175" t="n">
        <f aca="false">'HC by Program-Term'!F48-'New vs Continuing — Term'!AB48</f>
        <v>-3</v>
      </c>
    </row>
    <row r="12" customFormat="false" ht="14.25" hidden="false" customHeight="false" outlineLevel="0" collapsed="false">
      <c r="A12" s="149" t="s">
        <v>708</v>
      </c>
      <c r="B12" s="176" t="s">
        <v>118</v>
      </c>
      <c r="C12" s="177" t="n">
        <f aca="false">'New vs Continuing — Term'!H48</f>
        <v>631</v>
      </c>
      <c r="D12" s="177" t="n">
        <f aca="false">'New vs Continuing — Term'!AC48</f>
        <v>1323</v>
      </c>
      <c r="E12" s="177" t="n">
        <f aca="false">'HC by Program-Term'!H48</f>
        <v>1954</v>
      </c>
      <c r="F12" s="177" t="n">
        <f aca="false">'HC by Program-Term'!G48-'New vs Continuing — Term'!AC48</f>
        <v>286</v>
      </c>
    </row>
    <row r="13" customFormat="false" ht="14.25" hidden="false" customHeight="false" outlineLevel="0" collapsed="false">
      <c r="A13" s="145" t="s">
        <v>709</v>
      </c>
      <c r="B13" s="174" t="s">
        <v>119</v>
      </c>
      <c r="C13" s="175" t="n">
        <f aca="false">'New vs Continuing — Term'!I48</f>
        <v>223</v>
      </c>
      <c r="D13" s="175" t="n">
        <f aca="false">'New vs Continuing — Term'!AD48</f>
        <v>1329</v>
      </c>
      <c r="E13" s="175" t="n">
        <f aca="false">'HC by Program-Term'!I48</f>
        <v>1552</v>
      </c>
      <c r="F13" s="175" t="n">
        <f aca="false">'HC by Program-Term'!H48-'New vs Continuing — Term'!AD48</f>
        <v>625</v>
      </c>
    </row>
    <row r="14" customFormat="false" ht="14.25" hidden="false" customHeight="false" outlineLevel="0" collapsed="false">
      <c r="A14" s="149" t="s">
        <v>710</v>
      </c>
      <c r="B14" s="176" t="s">
        <v>120</v>
      </c>
      <c r="C14" s="177" t="n">
        <f aca="false">'New vs Continuing — Term'!J48</f>
        <v>717</v>
      </c>
      <c r="D14" s="177" t="n">
        <f aca="false">'New vs Continuing — Term'!AE48</f>
        <v>1485</v>
      </c>
      <c r="E14" s="177" t="n">
        <f aca="false">'HC by Program-Term'!J48</f>
        <v>2202</v>
      </c>
      <c r="F14" s="177" t="n">
        <f aca="false">'HC by Program-Term'!I48-'New vs Continuing — Term'!AE48</f>
        <v>67</v>
      </c>
    </row>
    <row r="15" customFormat="false" ht="14.25" hidden="false" customHeight="false" outlineLevel="0" collapsed="false">
      <c r="A15" s="145" t="s">
        <v>711</v>
      </c>
      <c r="B15" s="174" t="s">
        <v>121</v>
      </c>
      <c r="C15" s="175" t="n">
        <f aca="false">'New vs Continuing — Term'!K48</f>
        <v>538</v>
      </c>
      <c r="D15" s="175" t="n">
        <f aca="false">'New vs Continuing — Term'!AF48</f>
        <v>1733</v>
      </c>
      <c r="E15" s="175" t="n">
        <f aca="false">'HC by Program-Term'!K48</f>
        <v>2271</v>
      </c>
      <c r="F15" s="175" t="n">
        <f aca="false">'HC by Program-Term'!J48-'New vs Continuing — Term'!AF48</f>
        <v>469</v>
      </c>
    </row>
    <row r="16" customFormat="false" ht="14.25" hidden="false" customHeight="false" outlineLevel="0" collapsed="false">
      <c r="A16" s="149" t="s">
        <v>712</v>
      </c>
      <c r="B16" s="176" t="s">
        <v>122</v>
      </c>
      <c r="C16" s="177" t="n">
        <f aca="false">'New vs Continuing — Term'!L48</f>
        <v>233</v>
      </c>
      <c r="D16" s="177" t="n">
        <f aca="false">'New vs Continuing — Term'!AG48</f>
        <v>1486</v>
      </c>
      <c r="E16" s="177" t="n">
        <f aca="false">'HC by Program-Term'!L48</f>
        <v>1719</v>
      </c>
      <c r="F16" s="177" t="n">
        <f aca="false">'HC by Program-Term'!K48-'New vs Continuing — Term'!AG48</f>
        <v>785</v>
      </c>
    </row>
    <row r="17" customFormat="false" ht="14.25" hidden="false" customHeight="false" outlineLevel="0" collapsed="false">
      <c r="A17" s="145" t="s">
        <v>713</v>
      </c>
      <c r="B17" s="174" t="s">
        <v>123</v>
      </c>
      <c r="C17" s="175" t="n">
        <f aca="false">'New vs Continuing — Term'!M48</f>
        <v>866</v>
      </c>
      <c r="D17" s="175" t="n">
        <f aca="false">'New vs Continuing — Term'!AH48</f>
        <v>1685</v>
      </c>
      <c r="E17" s="175" t="n">
        <f aca="false">'HC by Program-Term'!M48</f>
        <v>2551</v>
      </c>
      <c r="F17" s="175" t="n">
        <f aca="false">'HC by Program-Term'!L48-'New vs Continuing — Term'!AH48</f>
        <v>34</v>
      </c>
    </row>
    <row r="18" customFormat="false" ht="14.25" hidden="false" customHeight="false" outlineLevel="0" collapsed="false">
      <c r="A18" s="149" t="s">
        <v>714</v>
      </c>
      <c r="B18" s="176" t="s">
        <v>124</v>
      </c>
      <c r="C18" s="177" t="n">
        <f aca="false">'New vs Continuing — Term'!N48</f>
        <v>709</v>
      </c>
      <c r="D18" s="177" t="n">
        <f aca="false">'New vs Continuing — Term'!AI48</f>
        <v>2051</v>
      </c>
      <c r="E18" s="177" t="n">
        <f aca="false">'HC by Program-Term'!N48</f>
        <v>2760</v>
      </c>
      <c r="F18" s="177" t="n">
        <f aca="false">'HC by Program-Term'!M48-'New vs Continuing — Term'!AI48</f>
        <v>500</v>
      </c>
    </row>
    <row r="19" customFormat="false" ht="14.25" hidden="false" customHeight="false" outlineLevel="0" collapsed="false">
      <c r="A19" s="145" t="s">
        <v>715</v>
      </c>
      <c r="B19" s="174" t="s">
        <v>125</v>
      </c>
      <c r="C19" s="175" t="n">
        <f aca="false">'New vs Continuing — Term'!O48</f>
        <v>201</v>
      </c>
      <c r="D19" s="175" t="n">
        <f aca="false">'New vs Continuing — Term'!AJ48</f>
        <v>1841</v>
      </c>
      <c r="E19" s="175" t="n">
        <f aca="false">'HC by Program-Term'!O48</f>
        <v>2042</v>
      </c>
      <c r="F19" s="175" t="n">
        <f aca="false">'HC by Program-Term'!N48-'New vs Continuing — Term'!AJ48</f>
        <v>919</v>
      </c>
    </row>
    <row r="20" customFormat="false" ht="14.25" hidden="false" customHeight="false" outlineLevel="0" collapsed="false">
      <c r="A20" s="149" t="s">
        <v>716</v>
      </c>
      <c r="B20" s="176" t="s">
        <v>126</v>
      </c>
      <c r="C20" s="177" t="n">
        <f aca="false">'New vs Continuing — Term'!P48</f>
        <v>836</v>
      </c>
      <c r="D20" s="177" t="n">
        <f aca="false">'New vs Continuing — Term'!AK48</f>
        <v>1980</v>
      </c>
      <c r="E20" s="177" t="n">
        <f aca="false">'HC by Program-Term'!P48</f>
        <v>2816</v>
      </c>
      <c r="F20" s="177" t="n">
        <f aca="false">'HC by Program-Term'!O48-'New vs Continuing — Term'!AK48</f>
        <v>62</v>
      </c>
    </row>
    <row r="21" customFormat="false" ht="14.25" hidden="false" customHeight="false" outlineLevel="0" collapsed="false">
      <c r="A21" s="145" t="s">
        <v>717</v>
      </c>
      <c r="B21" s="174" t="s">
        <v>127</v>
      </c>
      <c r="C21" s="175" t="n">
        <f aca="false">'New vs Continuing — Term'!Q48</f>
        <v>598</v>
      </c>
      <c r="D21" s="175" t="n">
        <f aca="false">'New vs Continuing — Term'!AL48</f>
        <v>2158</v>
      </c>
      <c r="E21" s="175" t="n">
        <f aca="false">'HC by Program-Term'!Q48</f>
        <v>2756</v>
      </c>
      <c r="F21" s="175" t="n">
        <f aca="false">'HC by Program-Term'!P48-'New vs Continuing — Term'!AL48</f>
        <v>658</v>
      </c>
    </row>
    <row r="22" customFormat="false" ht="14.25" hidden="false" customHeight="false" outlineLevel="0" collapsed="false">
      <c r="A22" s="149" t="s">
        <v>718</v>
      </c>
      <c r="B22" s="176" t="s">
        <v>128</v>
      </c>
      <c r="C22" s="177" t="n">
        <f aca="false">'New vs Continuing — Term'!R48</f>
        <v>157</v>
      </c>
      <c r="D22" s="177" t="n">
        <f aca="false">'New vs Continuing — Term'!AM48</f>
        <v>1868</v>
      </c>
      <c r="E22" s="177" t="n">
        <f aca="false">'HC by Program-Term'!R48</f>
        <v>2025</v>
      </c>
      <c r="F22" s="177" t="n">
        <f aca="false">'HC by Program-Term'!Q48-'New vs Continuing — Term'!AM48</f>
        <v>888</v>
      </c>
    </row>
    <row r="23" customFormat="false" ht="14.25" hidden="false" customHeight="false" outlineLevel="0" collapsed="false">
      <c r="A23" s="145" t="s">
        <v>719</v>
      </c>
      <c r="B23" s="174" t="s">
        <v>129</v>
      </c>
      <c r="C23" s="175" t="n">
        <f aca="false">'New vs Continuing — Term'!S48</f>
        <v>836</v>
      </c>
      <c r="D23" s="175" t="n">
        <f aca="false">'New vs Continuing — Term'!AN48</f>
        <v>1868</v>
      </c>
      <c r="E23" s="175" t="n">
        <f aca="false">'HC by Program-Term'!S48</f>
        <v>2704</v>
      </c>
      <c r="F23" s="175" t="n">
        <f aca="false">'HC by Program-Term'!R48-'New vs Continuing — Term'!AN48</f>
        <v>157</v>
      </c>
    </row>
    <row r="24" customFormat="false" ht="14.25" hidden="false" customHeight="false" outlineLevel="0" collapsed="false">
      <c r="A24" s="149" t="s">
        <v>720</v>
      </c>
      <c r="B24" s="176" t="s">
        <v>130</v>
      </c>
      <c r="C24" s="177" t="n">
        <f aca="false">'New vs Continuing — Term'!T48</f>
        <v>530</v>
      </c>
      <c r="D24" s="177" t="n">
        <f aca="false">'New vs Continuing — Term'!AO48</f>
        <v>2133</v>
      </c>
      <c r="E24" s="177" t="n">
        <f aca="false">'HC by Program-Term'!T48</f>
        <v>2663</v>
      </c>
      <c r="F24" s="177" t="n">
        <f aca="false">'HC by Program-Term'!S48-'New vs Continuing — Term'!AO48</f>
        <v>571</v>
      </c>
    </row>
    <row r="25" customFormat="false" ht="14.25" hidden="false" customHeight="false" outlineLevel="0" collapsed="false">
      <c r="A25" s="145" t="s">
        <v>721</v>
      </c>
      <c r="B25" s="174" t="s">
        <v>131</v>
      </c>
      <c r="C25" s="175" t="n">
        <f aca="false">'New vs Continuing — Term'!U48</f>
        <v>152</v>
      </c>
      <c r="D25" s="175" t="n">
        <f aca="false">'New vs Continuing — Term'!AP48</f>
        <v>1829</v>
      </c>
      <c r="E25" s="175" t="n">
        <f aca="false">'HC by Program-Term'!U48</f>
        <v>1981</v>
      </c>
      <c r="F25" s="175" t="n">
        <f aca="false">'HC by Program-Term'!T48-'New vs Continuing — Term'!AP48</f>
        <v>834</v>
      </c>
    </row>
    <row r="26" customFormat="false" ht="14.25" hidden="false" customHeight="false" outlineLevel="0" collapsed="false">
      <c r="A26" s="149" t="s">
        <v>722</v>
      </c>
      <c r="B26" s="176" t="s">
        <v>132</v>
      </c>
      <c r="C26" s="177" t="n">
        <f aca="false">'New vs Continuing — Term'!V48</f>
        <v>700</v>
      </c>
      <c r="D26" s="177" t="n">
        <f aca="false">'New vs Continuing — Term'!AQ48</f>
        <v>1782</v>
      </c>
      <c r="E26" s="177" t="n">
        <f aca="false">'HC by Program-Term'!V48</f>
        <v>2482</v>
      </c>
      <c r="F26" s="177" t="n">
        <f aca="false">'HC by Program-Term'!U48-'New vs Continuing — Term'!AQ48</f>
        <v>199</v>
      </c>
    </row>
    <row r="27" customFormat="false" ht="14.25" hidden="false" customHeight="false" outlineLevel="0" collapsed="false">
      <c r="A27" s="178" t="s">
        <v>743</v>
      </c>
      <c r="B27" s="178"/>
      <c r="C27" s="178"/>
      <c r="D27" s="178"/>
      <c r="E27" s="178"/>
      <c r="F27" s="178"/>
    </row>
    <row r="29" customFormat="false" ht="15.75" hidden="false" customHeight="true" outlineLevel="0" collapsed="false">
      <c r="A29" s="172" t="s">
        <v>744</v>
      </c>
    </row>
    <row r="30" customFormat="false" ht="14.25" hidden="false" customHeight="false" outlineLevel="0" collapsed="false">
      <c r="A30" s="179" t="s">
        <v>699</v>
      </c>
      <c r="B30" s="179" t="s">
        <v>134</v>
      </c>
      <c r="C30" s="179" t="s">
        <v>745</v>
      </c>
      <c r="D30" s="179" t="s">
        <v>746</v>
      </c>
      <c r="E30" s="179" t="s">
        <v>747</v>
      </c>
      <c r="F30" s="179" t="s">
        <v>748</v>
      </c>
      <c r="G30" s="180" t="s">
        <v>749</v>
      </c>
      <c r="H30" s="180" t="s">
        <v>750</v>
      </c>
      <c r="I30" s="180" t="s">
        <v>751</v>
      </c>
      <c r="J30" s="180" t="s">
        <v>752</v>
      </c>
      <c r="K30" s="180" t="s">
        <v>753</v>
      </c>
    </row>
    <row r="31" customFormat="false" ht="14.25" hidden="false" customHeight="false" outlineLevel="0" collapsed="false">
      <c r="A31" s="144" t="str">
        <f aca="false">'Program List'!A2</f>
        <v>1550C</v>
      </c>
      <c r="B31" s="145" t="str">
        <f aca="false">'Program List'!B2</f>
        <v>Certificate in Population Health</v>
      </c>
      <c r="C31" s="112" t="str">
        <f aca="false">IF('HC by Program-Term'!$Y7="","—",'New vs Continuing — Term'!AS7)</f>
        <v>—</v>
      </c>
      <c r="D31" s="112" t="str">
        <f aca="false">IF('HC by Program-Term'!$Y7="","—",'HC by Program-Term'!V7)</f>
        <v>—</v>
      </c>
      <c r="E31" s="112" t="str">
        <f aca="false">IF('HC by Program-Term'!$Y7="","—",C31-D31)</f>
        <v>—</v>
      </c>
      <c r="F31" s="114" t="str">
        <f aca="false">IF('HC by Program-Term'!$Y7="","—",IF(C31=0,"—",E31/C31))</f>
        <v>—</v>
      </c>
      <c r="G31" s="113" t="n">
        <f aca="false">IFERROR(INDEX('Program List'!$E:$E,MATCH($A31,'Program List'!$A:$A,0)),"—")</f>
        <v>12</v>
      </c>
      <c r="H31" s="181" t="str">
        <f aca="false">IFERROR(IF(INDEX('Method A - Summary'!$F:$F,MATCH($A31,'Method A - Summary'!$A:$A,0))=0,"—",INDEX('Method A - Summary'!$F:$F,MATCH($A31,'Method A - Summary'!$A:$A,0))),"—")</f>
        <v>—</v>
      </c>
      <c r="I31" s="182" t="str">
        <f aca="false">IFERROR(IF(OR(INDEX('Method A - Summary'!$F:$F,MATCH($A31,'Method A - Summary'!$A:$A,0))=0,INDEX('Program List'!$E:$E,MATCH($A31,'Program List'!$A:$A,0))=0),"—",INDEX('Method A - Summary'!$F:$F,MATCH($A31,'Method A - Summary'!$A:$A,0))/INDEX('Program List'!$E:$E,MATCH($A31,'Program List'!$A:$A,0))),"—")</f>
        <v>—</v>
      </c>
      <c r="J31" s="183" t="str">
        <f aca="false">IFERROR(IF(OR(INDEX('Method A - Summary'!$F:$F,MATCH($A31,'Method A - Summary'!$A:$A,0))=0,INDEX('Program List'!$E:$E,MATCH($A31,'Program List'!$A:$A,0))=0),"—",MIN(1,INDEX('Method A - Summary'!$F:$F,MATCH($A31,'Method A - Summary'!$A:$A,0))/INDEX('Program List'!$E:$E,MATCH($A31,'Program List'!$A:$A,0)))),"—")</f>
        <v>—</v>
      </c>
      <c r="K31" s="114" t="str">
        <f aca="false">IFERROR(IF(INDEX('Method A - Summary'!$E:$E,MATCH($A31,'Method A - Summary'!$A:$A,0))="","—",INDEX('Method A - Summary'!$E:$E,MATCH($A31,'Method A - Summary'!$A:$A,0))),"—")</f>
        <v>—</v>
      </c>
    </row>
    <row r="32" customFormat="false" ht="14.25" hidden="false" customHeight="false" outlineLevel="0" collapsed="false">
      <c r="A32" s="148" t="str">
        <f aca="false">'Program List'!A3</f>
        <v>D318</v>
      </c>
      <c r="B32" s="149" t="str">
        <f aca="false">'Program List'!B3</f>
        <v>Ed.D. in Education Administration</v>
      </c>
      <c r="C32" s="184" t="str">
        <f aca="false">IF('HC by Program-Term'!$Y8="","—",'New vs Continuing — Term'!AS8)</f>
        <v>—</v>
      </c>
      <c r="D32" s="184" t="str">
        <f aca="false">IF('HC by Program-Term'!$Y8="","—",'HC by Program-Term'!V8)</f>
        <v>—</v>
      </c>
      <c r="E32" s="184" t="str">
        <f aca="false">IF('HC by Program-Term'!$Y8="","—",C32-D32)</f>
        <v>—</v>
      </c>
      <c r="F32" s="185" t="str">
        <f aca="false">IF('HC by Program-Term'!$Y8="","—",IF(C32=0,"—",E32/C32))</f>
        <v>—</v>
      </c>
      <c r="G32" s="186" t="n">
        <f aca="false">IFERROR(INDEX('Program List'!$E:$E,MATCH($A32,'Program List'!$A:$A,0)),"—")</f>
        <v>54</v>
      </c>
      <c r="H32" s="187" t="str">
        <f aca="false">IFERROR(IF(INDEX('Method A - Summary'!$F:$F,MATCH($A32,'Method A - Summary'!$A:$A,0))=0,"—",INDEX('Method A - Summary'!$F:$F,MATCH($A32,'Method A - Summary'!$A:$A,0))),"—")</f>
        <v>—</v>
      </c>
      <c r="I32" s="188" t="str">
        <f aca="false">IFERROR(IF(OR(INDEX('Method A - Summary'!$F:$F,MATCH($A32,'Method A - Summary'!$A:$A,0))=0,INDEX('Program List'!$E:$E,MATCH($A32,'Program List'!$A:$A,0))=0),"—",INDEX('Method A - Summary'!$F:$F,MATCH($A32,'Method A - Summary'!$A:$A,0))/INDEX('Program List'!$E:$E,MATCH($A32,'Program List'!$A:$A,0))),"—")</f>
        <v>—</v>
      </c>
      <c r="J32" s="189" t="str">
        <f aca="false">IFERROR(IF(OR(INDEX('Method A - Summary'!$F:$F,MATCH($A32,'Method A - Summary'!$A:$A,0))=0,INDEX('Program List'!$E:$E,MATCH($A32,'Program List'!$A:$A,0))=0),"—",MIN(1,INDEX('Method A - Summary'!$F:$F,MATCH($A32,'Method A - Summary'!$A:$A,0))/INDEX('Program List'!$E:$E,MATCH($A32,'Program List'!$A:$A,0)))),"—")</f>
        <v>—</v>
      </c>
      <c r="K32" s="185" t="str">
        <f aca="false">IFERROR(IF(INDEX('Method A - Summary'!$E:$E,MATCH($A32,'Method A - Summary'!$A:$A,0))="","—",INDEX('Method A - Summary'!$E:$E,MATCH($A32,'Method A - Summary'!$A:$A,0))),"—")</f>
        <v>—</v>
      </c>
    </row>
    <row r="33" customFormat="false" ht="14.25" hidden="false" customHeight="false" outlineLevel="0" collapsed="false">
      <c r="A33" s="144" t="str">
        <f aca="false">'Program List'!A4</f>
        <v>M366</v>
      </c>
      <c r="B33" s="145" t="str">
        <f aca="false">'Program List'!B4</f>
        <v>Executive MBA in Energy</v>
      </c>
      <c r="C33" s="112" t="n">
        <f aca="false">IF('HC by Program-Term'!$Y9="","—",'New vs Continuing — Term'!AS9)</f>
        <v>157</v>
      </c>
      <c r="D33" s="112" t="n">
        <f aca="false">IF('HC by Program-Term'!$Y9="","—",'HC by Program-Term'!V9)</f>
        <v>21</v>
      </c>
      <c r="E33" s="112" t="n">
        <f aca="false">IF('HC by Program-Term'!$Y9="","—",C33-D33)</f>
        <v>136</v>
      </c>
      <c r="F33" s="114" t="n">
        <f aca="false">IF('HC by Program-Term'!$Y9="","—",IF(C33=0,"—",E33/C33))</f>
        <v>0.866242038216561</v>
      </c>
      <c r="G33" s="113" t="n">
        <f aca="false">IFERROR(INDEX('Program List'!$E:$E,MATCH($A33,'Program List'!$A:$A,0)),"—")</f>
        <v>36</v>
      </c>
      <c r="H33" s="181" t="n">
        <f aca="false">IFERROR(IF(INDEX('Method A - Summary'!$F:$F,MATCH($A33,'Method A - Summary'!$A:$A,0))=0,"—",INDEX('Method A - Summary'!$F:$F,MATCH($A33,'Method A - Summary'!$A:$A,0))),"—")</f>
        <v>20.7064220183486</v>
      </c>
      <c r="I33" s="182" t="n">
        <f aca="false">IFERROR(IF(OR(INDEX('Method A - Summary'!$F:$F,MATCH($A33,'Method A - Summary'!$A:$A,0))=0,INDEX('Program List'!$E:$E,MATCH($A33,'Program List'!$A:$A,0))=0),"—",INDEX('Method A - Summary'!$F:$F,MATCH($A33,'Method A - Summary'!$A:$A,0))/INDEX('Program List'!$E:$E,MATCH($A33,'Program List'!$A:$A,0))),"—")</f>
        <v>0.575178389398572</v>
      </c>
      <c r="J33" s="183" t="n">
        <f aca="false">IFERROR(IF(OR(INDEX('Method A - Summary'!$F:$F,MATCH($A33,'Method A - Summary'!$A:$A,0))=0,INDEX('Program List'!$E:$E,MATCH($A33,'Program List'!$A:$A,0))=0),"—",MIN(1,INDEX('Method A - Summary'!$F:$F,MATCH($A33,'Method A - Summary'!$A:$A,0))/INDEX('Program List'!$E:$E,MATCH($A33,'Program List'!$A:$A,0)))),"—")</f>
        <v>0.575178389398572</v>
      </c>
      <c r="K33" s="114" t="n">
        <f aca="false">IFERROR(IF(INDEX('Method A - Summary'!$E:$E,MATCH($A33,'Method A - Summary'!$A:$A,0))="","—",INDEX('Method A - Summary'!$E:$E,MATCH($A33,'Method A - Summary'!$A:$A,0))),"—")</f>
        <v>0.973214285714286</v>
      </c>
    </row>
    <row r="34" customFormat="false" ht="14.25" hidden="false" customHeight="false" outlineLevel="0" collapsed="false">
      <c r="A34" s="148" t="str">
        <f aca="false">'Program List'!A5</f>
        <v>1231EX</v>
      </c>
      <c r="B34" s="149" t="str">
        <f aca="false">'Program List'!B5</f>
        <v>Executive Masters in Health Administration</v>
      </c>
      <c r="C34" s="184" t="str">
        <f aca="false">IF('HC by Program-Term'!$Y10="","—",'New vs Continuing — Term'!AS10)</f>
        <v>—</v>
      </c>
      <c r="D34" s="184" t="str">
        <f aca="false">IF('HC by Program-Term'!$Y10="","—",'HC by Program-Term'!V10)</f>
        <v>—</v>
      </c>
      <c r="E34" s="184" t="str">
        <f aca="false">IF('HC by Program-Term'!$Y10="","—",C34-D34)</f>
        <v>—</v>
      </c>
      <c r="F34" s="185" t="str">
        <f aca="false">IF('HC by Program-Term'!$Y10="","—",IF(C34=0,"—",E34/C34))</f>
        <v>—</v>
      </c>
      <c r="G34" s="186" t="n">
        <f aca="false">IFERROR(INDEX('Program List'!$E:$E,MATCH($A34,'Program List'!$A:$A,0)),"—")</f>
        <v>42</v>
      </c>
      <c r="H34" s="187" t="str">
        <f aca="false">IFERROR(IF(INDEX('Method A - Summary'!$F:$F,MATCH($A34,'Method A - Summary'!$A:$A,0))=0,"—",INDEX('Method A - Summary'!$F:$F,MATCH($A34,'Method A - Summary'!$A:$A,0))),"—")</f>
        <v>—</v>
      </c>
      <c r="I34" s="188" t="str">
        <f aca="false">IFERROR(IF(OR(INDEX('Method A - Summary'!$F:$F,MATCH($A34,'Method A - Summary'!$A:$A,0))=0,INDEX('Program List'!$E:$E,MATCH($A34,'Program List'!$A:$A,0))=0),"—",INDEX('Method A - Summary'!$F:$F,MATCH($A34,'Method A - Summary'!$A:$A,0))/INDEX('Program List'!$E:$E,MATCH($A34,'Program List'!$A:$A,0))),"—")</f>
        <v>—</v>
      </c>
      <c r="J34" s="189" t="str">
        <f aca="false">IFERROR(IF(OR(INDEX('Method A - Summary'!$F:$F,MATCH($A34,'Method A - Summary'!$A:$A,0))=0,INDEX('Program List'!$E:$E,MATCH($A34,'Program List'!$A:$A,0))=0),"—",MIN(1,INDEX('Method A - Summary'!$F:$F,MATCH($A34,'Method A - Summary'!$A:$A,0))/INDEX('Program List'!$E:$E,MATCH($A34,'Program List'!$A:$A,0)))),"—")</f>
        <v>—</v>
      </c>
      <c r="K34" s="185" t="str">
        <f aca="false">IFERROR(IF(INDEX('Method A - Summary'!$E:$E,MATCH($A34,'Method A - Summary'!$A:$A,0))="","—",INDEX('Method A - Summary'!$E:$E,MATCH($A34,'Method A - Summary'!$A:$A,0))),"—")</f>
        <v>—</v>
      </c>
    </row>
    <row r="35" customFormat="false" ht="14.25" hidden="false" customHeight="false" outlineLevel="0" collapsed="false">
      <c r="A35" s="144" t="str">
        <f aca="false">'Program List'!A6</f>
        <v>M013</v>
      </c>
      <c r="B35" s="145" t="str">
        <f aca="false">'Program List'!B6</f>
        <v>Master of Accountancy</v>
      </c>
      <c r="C35" s="112" t="n">
        <f aca="false">IF('HC by Program-Term'!$Y11="","—",'New vs Continuing — Term'!AS11)</f>
        <v>426</v>
      </c>
      <c r="D35" s="112" t="n">
        <f aca="false">IF('HC by Program-Term'!$Y11="","—",'HC by Program-Term'!V11)</f>
        <v>96</v>
      </c>
      <c r="E35" s="112" t="n">
        <f aca="false">IF('HC by Program-Term'!$Y11="","—",C35-D35)</f>
        <v>330</v>
      </c>
      <c r="F35" s="114" t="n">
        <f aca="false">IF('HC by Program-Term'!$Y11="","—",IF(C35=0,"—",E35/C35))</f>
        <v>0.774647887323944</v>
      </c>
      <c r="G35" s="113" t="n">
        <f aca="false">IFERROR(INDEX('Program List'!$E:$E,MATCH($A35,'Program List'!$A:$A,0)),"—")</f>
        <v>40</v>
      </c>
      <c r="H35" s="181" t="n">
        <f aca="false">IFERROR(IF(INDEX('Method A - Summary'!$F:$F,MATCH($A35,'Method A - Summary'!$A:$A,0))=0,"—",INDEX('Method A - Summary'!$F:$F,MATCH($A35,'Method A - Summary'!$A:$A,0))),"—")</f>
        <v>20.3191489361702</v>
      </c>
      <c r="I35" s="182" t="n">
        <f aca="false">IFERROR(IF(OR(INDEX('Method A - Summary'!$F:$F,MATCH($A35,'Method A - Summary'!$A:$A,0))=0,INDEX('Program List'!$E:$E,MATCH($A35,'Program List'!$A:$A,0))=0),"—",INDEX('Method A - Summary'!$F:$F,MATCH($A35,'Method A - Summary'!$A:$A,0))/INDEX('Program List'!$E:$E,MATCH($A35,'Program List'!$A:$A,0))),"—")</f>
        <v>0.507978723404255</v>
      </c>
      <c r="J35" s="183" t="n">
        <f aca="false">IFERROR(IF(OR(INDEX('Method A - Summary'!$F:$F,MATCH($A35,'Method A - Summary'!$A:$A,0))=0,INDEX('Program List'!$E:$E,MATCH($A35,'Program List'!$A:$A,0))=0),"—",MIN(1,INDEX('Method A - Summary'!$F:$F,MATCH($A35,'Method A - Summary'!$A:$A,0))/INDEX('Program List'!$E:$E,MATCH($A35,'Program List'!$A:$A,0)))),"—")</f>
        <v>0.507978723404255</v>
      </c>
      <c r="K35" s="114" t="n">
        <f aca="false">IFERROR(IF(INDEX('Method A - Summary'!$E:$E,MATCH($A35,'Method A - Summary'!$A:$A,0))="","—",INDEX('Method A - Summary'!$E:$E,MATCH($A35,'Method A - Summary'!$A:$A,0))),"—")</f>
        <v>0.691176470588235</v>
      </c>
    </row>
    <row r="36" customFormat="false" ht="14.25" hidden="false" customHeight="false" outlineLevel="0" collapsed="false">
      <c r="A36" s="148" t="str">
        <f aca="false">'Program List'!A7</f>
        <v>M075</v>
      </c>
      <c r="B36" s="149" t="str">
        <f aca="false">'Program List'!B7</f>
        <v>Master of Arts in Art and Technology</v>
      </c>
      <c r="C36" s="184" t="n">
        <f aca="false">IF('HC by Program-Term'!$Y12="","—",'New vs Continuing — Term'!AS12)</f>
        <v>235</v>
      </c>
      <c r="D36" s="184" t="n">
        <f aca="false">IF('HC by Program-Term'!$Y12="","—",'HC by Program-Term'!V12)</f>
        <v>43</v>
      </c>
      <c r="E36" s="184" t="n">
        <f aca="false">IF('HC by Program-Term'!$Y12="","—",C36-D36)</f>
        <v>192</v>
      </c>
      <c r="F36" s="185" t="n">
        <f aca="false">IF('HC by Program-Term'!$Y12="","—",IF(C36=0,"—",E36/C36))</f>
        <v>0.817021276595745</v>
      </c>
      <c r="G36" s="186" t="n">
        <f aca="false">IFERROR(INDEX('Program List'!$E:$E,MATCH($A36,'Program List'!$A:$A,0)),"—")</f>
        <v>33</v>
      </c>
      <c r="H36" s="187" t="n">
        <f aca="false">IFERROR(IF(INDEX('Method A - Summary'!$F:$F,MATCH($A36,'Method A - Summary'!$A:$A,0))=0,"—",INDEX('Method A - Summary'!$F:$F,MATCH($A36,'Method A - Summary'!$A:$A,0))),"—")</f>
        <v>18.0594059405941</v>
      </c>
      <c r="I36" s="188" t="n">
        <f aca="false">IFERROR(IF(OR(INDEX('Method A - Summary'!$F:$F,MATCH($A36,'Method A - Summary'!$A:$A,0))=0,INDEX('Program List'!$E:$E,MATCH($A36,'Program List'!$A:$A,0))=0),"—",INDEX('Method A - Summary'!$F:$F,MATCH($A36,'Method A - Summary'!$A:$A,0))/INDEX('Program List'!$E:$E,MATCH($A36,'Program List'!$A:$A,0))),"—")</f>
        <v>0.547254725472549</v>
      </c>
      <c r="J36" s="189" t="n">
        <f aca="false">IFERROR(IF(OR(INDEX('Method A - Summary'!$F:$F,MATCH($A36,'Method A - Summary'!$A:$A,0))=0,INDEX('Program List'!$E:$E,MATCH($A36,'Program List'!$A:$A,0))=0),"—",MIN(1,INDEX('Method A - Summary'!$F:$F,MATCH($A36,'Method A - Summary'!$A:$A,0))/INDEX('Program List'!$E:$E,MATCH($A36,'Program List'!$A:$A,0)))),"—")</f>
        <v>0.547254725472549</v>
      </c>
      <c r="K36" s="185" t="n">
        <f aca="false">IFERROR(IF(INDEX('Method A - Summary'!$E:$E,MATCH($A36,'Method A - Summary'!$A:$A,0))="","—",INDEX('Method A - Summary'!$E:$E,MATCH($A36,'Method A - Summary'!$A:$A,0))),"—")</f>
        <v>0.691780821917808</v>
      </c>
    </row>
    <row r="37" customFormat="false" ht="14.25" hidden="false" customHeight="false" outlineLevel="0" collapsed="false">
      <c r="A37" s="144" t="str">
        <f aca="false">'Program List'!A8</f>
        <v>M073</v>
      </c>
      <c r="B37" s="145" t="str">
        <f aca="false">'Program List'!B8</f>
        <v>Master of Arts in Arts Management</v>
      </c>
      <c r="C37" s="112" t="n">
        <f aca="false">IF('HC by Program-Term'!$Y13="","—",'New vs Continuing — Term'!AS13)</f>
        <v>217</v>
      </c>
      <c r="D37" s="112" t="n">
        <f aca="false">IF('HC by Program-Term'!$Y13="","—",'HC by Program-Term'!V13)</f>
        <v>71</v>
      </c>
      <c r="E37" s="112" t="n">
        <f aca="false">IF('HC by Program-Term'!$Y13="","—",C37-D37)</f>
        <v>146</v>
      </c>
      <c r="F37" s="114" t="n">
        <f aca="false">IF('HC by Program-Term'!$Y13="","—",IF(C37=0,"—",E37/C37))</f>
        <v>0.672811059907834</v>
      </c>
      <c r="G37" s="113" t="n">
        <f aca="false">IFERROR(INDEX('Program List'!$E:$E,MATCH($A37,'Program List'!$A:$A,0)),"—")</f>
        <v>30</v>
      </c>
      <c r="H37" s="181" t="n">
        <f aca="false">IFERROR(IF(INDEX('Method A - Summary'!$F:$F,MATCH($A37,'Method A - Summary'!$A:$A,0))=0,"—",INDEX('Method A - Summary'!$F:$F,MATCH($A37,'Method A - Summary'!$A:$A,0))),"—")</f>
        <v>13.1129032258065</v>
      </c>
      <c r="I37" s="182" t="n">
        <f aca="false">IFERROR(IF(OR(INDEX('Method A - Summary'!$F:$F,MATCH($A37,'Method A - Summary'!$A:$A,0))=0,INDEX('Program List'!$E:$E,MATCH($A37,'Program List'!$A:$A,0))=0),"—",INDEX('Method A - Summary'!$F:$F,MATCH($A37,'Method A - Summary'!$A:$A,0))/INDEX('Program List'!$E:$E,MATCH($A37,'Program List'!$A:$A,0))),"—")</f>
        <v>0.43709677419355</v>
      </c>
      <c r="J37" s="183" t="n">
        <f aca="false">IFERROR(IF(OR(INDEX('Method A - Summary'!$F:$F,MATCH($A37,'Method A - Summary'!$A:$A,0))=0,INDEX('Program List'!$E:$E,MATCH($A37,'Program List'!$A:$A,0))=0),"—",MIN(1,INDEX('Method A - Summary'!$F:$F,MATCH($A37,'Method A - Summary'!$A:$A,0))/INDEX('Program List'!$E:$E,MATCH($A37,'Program List'!$A:$A,0)))),"—")</f>
        <v>0.43709677419355</v>
      </c>
      <c r="K37" s="114" t="n">
        <f aca="false">IFERROR(IF(INDEX('Method A - Summary'!$E:$E,MATCH($A37,'Method A - Summary'!$A:$A,0))="","—",INDEX('Method A - Summary'!$E:$E,MATCH($A37,'Method A - Summary'!$A:$A,0))),"—")</f>
        <v>0.775</v>
      </c>
    </row>
    <row r="38" customFormat="false" ht="14.25" hidden="false" customHeight="false" outlineLevel="0" collapsed="false">
      <c r="A38" s="148" t="str">
        <f aca="false">'Program List'!A9</f>
        <v>M494</v>
      </c>
      <c r="B38" s="149" t="str">
        <f aca="false">'Program List'!B9</f>
        <v>Master of Arts in Global Affairs</v>
      </c>
      <c r="C38" s="184" t="n">
        <f aca="false">IF('HC by Program-Term'!$Y14="","—",'New vs Continuing — Term'!AS14)</f>
        <v>412</v>
      </c>
      <c r="D38" s="184" t="n">
        <f aca="false">IF('HC by Program-Term'!$Y14="","—",'HC by Program-Term'!V14)</f>
        <v>100</v>
      </c>
      <c r="E38" s="184" t="n">
        <f aca="false">IF('HC by Program-Term'!$Y14="","—",C38-D38)</f>
        <v>312</v>
      </c>
      <c r="F38" s="185" t="n">
        <f aca="false">IF('HC by Program-Term'!$Y14="","—",IF(C38=0,"—",E38/C38))</f>
        <v>0.757281553398058</v>
      </c>
      <c r="G38" s="186" t="n">
        <f aca="false">IFERROR(INDEX('Program List'!$E:$E,MATCH($A38,'Program List'!$A:$A,0)),"—")</f>
        <v>33</v>
      </c>
      <c r="H38" s="187" t="n">
        <f aca="false">IFERROR(IF(INDEX('Method A - Summary'!$F:$F,MATCH($A38,'Method A - Summary'!$A:$A,0))=0,"—",INDEX('Method A - Summary'!$F:$F,MATCH($A38,'Method A - Summary'!$A:$A,0))),"—")</f>
        <v>25.7651515151515</v>
      </c>
      <c r="I38" s="188" t="n">
        <f aca="false">IFERROR(IF(OR(INDEX('Method A - Summary'!$F:$F,MATCH($A38,'Method A - Summary'!$A:$A,0))=0,INDEX('Program List'!$E:$E,MATCH($A38,'Program List'!$A:$A,0))=0),"—",INDEX('Method A - Summary'!$F:$F,MATCH($A38,'Method A - Summary'!$A:$A,0))/INDEX('Program List'!$E:$E,MATCH($A38,'Program List'!$A:$A,0))),"—")</f>
        <v>0.780762167125803</v>
      </c>
      <c r="J38" s="189" t="n">
        <f aca="false">IFERROR(IF(OR(INDEX('Method A - Summary'!$F:$F,MATCH($A38,'Method A - Summary'!$A:$A,0))=0,INDEX('Program List'!$E:$E,MATCH($A38,'Program List'!$A:$A,0))=0),"—",MIN(1,INDEX('Method A - Summary'!$F:$F,MATCH($A38,'Method A - Summary'!$A:$A,0))/INDEX('Program List'!$E:$E,MATCH($A38,'Program List'!$A:$A,0)))),"—")</f>
        <v>0.780762167125803</v>
      </c>
      <c r="K38" s="185" t="n">
        <f aca="false">IFERROR(IF(INDEX('Method A - Summary'!$E:$E,MATCH($A38,'Method A - Summary'!$A:$A,0))="","—",INDEX('Method A - Summary'!$E:$E,MATCH($A38,'Method A - Summary'!$A:$A,0))),"—")</f>
        <v>0.532258064516129</v>
      </c>
    </row>
    <row r="39" customFormat="false" ht="14.25" hidden="false" customHeight="false" outlineLevel="0" collapsed="false">
      <c r="A39" s="144" t="str">
        <f aca="false">'Program List'!A10</f>
        <v>M700</v>
      </c>
      <c r="B39" s="145" t="str">
        <f aca="false">'Program List'!B10</f>
        <v>Master of Arts in Museum Studies</v>
      </c>
      <c r="C39" s="112" t="n">
        <f aca="false">IF('HC by Program-Term'!$Y15="","—",'New vs Continuing — Term'!AS15)</f>
        <v>870</v>
      </c>
      <c r="D39" s="112" t="n">
        <f aca="false">IF('HC by Program-Term'!$Y15="","—",'HC by Program-Term'!V15)</f>
        <v>221</v>
      </c>
      <c r="E39" s="112" t="n">
        <f aca="false">IF('HC by Program-Term'!$Y15="","—",C39-D39)</f>
        <v>649</v>
      </c>
      <c r="F39" s="114" t="n">
        <f aca="false">IF('HC by Program-Term'!$Y15="","—",IF(C39=0,"—",E39/C39))</f>
        <v>0.745977011494253</v>
      </c>
      <c r="G39" s="113" t="n">
        <f aca="false">IFERROR(INDEX('Program List'!$E:$E,MATCH($A39,'Program List'!$A:$A,0)),"—")</f>
        <v>33</v>
      </c>
      <c r="H39" s="181" t="n">
        <f aca="false">IFERROR(IF(INDEX('Method A - Summary'!$F:$F,MATCH($A39,'Method A - Summary'!$A:$A,0))=0,"—",INDEX('Method A - Summary'!$F:$F,MATCH($A39,'Method A - Summary'!$A:$A,0))),"—")</f>
        <v>21.6741935483871</v>
      </c>
      <c r="I39" s="182" t="n">
        <f aca="false">IFERROR(IF(OR(INDEX('Method A - Summary'!$F:$F,MATCH($A39,'Method A - Summary'!$A:$A,0))=0,INDEX('Program List'!$E:$E,MATCH($A39,'Program List'!$A:$A,0))=0),"—",INDEX('Method A - Summary'!$F:$F,MATCH($A39,'Method A - Summary'!$A:$A,0))/INDEX('Program List'!$E:$E,MATCH($A39,'Program List'!$A:$A,0))),"—")</f>
        <v>0.656793743890518</v>
      </c>
      <c r="J39" s="183" t="n">
        <f aca="false">IFERROR(IF(OR(INDEX('Method A - Summary'!$F:$F,MATCH($A39,'Method A - Summary'!$A:$A,0))=0,INDEX('Program List'!$E:$E,MATCH($A39,'Program List'!$A:$A,0))=0),"—",MIN(1,INDEX('Method A - Summary'!$F:$F,MATCH($A39,'Method A - Summary'!$A:$A,0))/INDEX('Program List'!$E:$E,MATCH($A39,'Program List'!$A:$A,0)))),"—")</f>
        <v>0.656793743890518</v>
      </c>
      <c r="K39" s="114" t="n">
        <f aca="false">IFERROR(IF(INDEX('Method A - Summary'!$E:$E,MATCH($A39,'Method A - Summary'!$A:$A,0))="","—",INDEX('Method A - Summary'!$E:$E,MATCH($A39,'Method A - Summary'!$A:$A,0))),"—")</f>
        <v>0.654008438818565</v>
      </c>
    </row>
    <row r="40" customFormat="false" ht="14.25" hidden="false" customHeight="false" outlineLevel="0" collapsed="false">
      <c r="A40" s="148" t="str">
        <f aca="false">'Program List'!A11</f>
        <v>M762</v>
      </c>
      <c r="B40" s="149" t="str">
        <f aca="false">'Program List'!B11</f>
        <v>Master of Arts in Organizational Leadership</v>
      </c>
      <c r="C40" s="184" t="n">
        <f aca="false">IF('HC by Program-Term'!$Y16="","—",'New vs Continuing — Term'!AS16)</f>
        <v>782</v>
      </c>
      <c r="D40" s="184" t="n">
        <f aca="false">IF('HC by Program-Term'!$Y16="","—",'HC by Program-Term'!V16)</f>
        <v>155</v>
      </c>
      <c r="E40" s="184" t="n">
        <f aca="false">IF('HC by Program-Term'!$Y16="","—",C40-D40)</f>
        <v>627</v>
      </c>
      <c r="F40" s="185" t="n">
        <f aca="false">IF('HC by Program-Term'!$Y16="","—",IF(C40=0,"—",E40/C40))</f>
        <v>0.801790281329923</v>
      </c>
      <c r="G40" s="186" t="n">
        <f aca="false">IFERROR(INDEX('Program List'!$E:$E,MATCH($A40,'Program List'!$A:$A,0)),"—")</f>
        <v>30</v>
      </c>
      <c r="H40" s="187" t="n">
        <f aca="false">IFERROR(IF(INDEX('Method A - Summary'!$F:$F,MATCH($A40,'Method A - Summary'!$A:$A,0))=0,"—",INDEX('Method A - Summary'!$F:$F,MATCH($A40,'Method A - Summary'!$A:$A,0))),"—")</f>
        <v>21.53125</v>
      </c>
      <c r="I40" s="188" t="n">
        <f aca="false">IFERROR(IF(OR(INDEX('Method A - Summary'!$F:$F,MATCH($A40,'Method A - Summary'!$A:$A,0))=0,INDEX('Program List'!$E:$E,MATCH($A40,'Program List'!$A:$A,0))=0),"—",INDEX('Method A - Summary'!$F:$F,MATCH($A40,'Method A - Summary'!$A:$A,0))/INDEX('Program List'!$E:$E,MATCH($A40,'Program List'!$A:$A,0))),"—")</f>
        <v>0.717708333333333</v>
      </c>
      <c r="J40" s="189" t="n">
        <f aca="false">IFERROR(IF(OR(INDEX('Method A - Summary'!$F:$F,MATCH($A40,'Method A - Summary'!$A:$A,0))=0,INDEX('Program List'!$E:$E,MATCH($A40,'Program List'!$A:$A,0))=0),"—",MIN(1,INDEX('Method A - Summary'!$F:$F,MATCH($A40,'Method A - Summary'!$A:$A,0))/INDEX('Program List'!$E:$E,MATCH($A40,'Program List'!$A:$A,0)))),"—")</f>
        <v>0.717708333333333</v>
      </c>
      <c r="K40" s="185" t="n">
        <f aca="false">IFERROR(IF(INDEX('Method A - Summary'!$E:$E,MATCH($A40,'Method A - Summary'!$A:$A,0))="","—",INDEX('Method A - Summary'!$E:$E,MATCH($A40,'Method A - Summary'!$A:$A,0))),"—")</f>
        <v>0.57029702970297</v>
      </c>
    </row>
    <row r="41" customFormat="false" ht="14.25" hidden="false" customHeight="false" outlineLevel="0" collapsed="false">
      <c r="A41" s="144" t="str">
        <f aca="false">'Program List'!A12</f>
        <v>M859</v>
      </c>
      <c r="B41" s="145" t="str">
        <f aca="false">'Program List'!B12</f>
        <v>Master of Arts in Strategic Communication and Digital Strategy</v>
      </c>
      <c r="C41" s="112" t="n">
        <f aca="false">IF('HC by Program-Term'!$Y17="","—",'New vs Continuing — Term'!AS17)</f>
        <v>398</v>
      </c>
      <c r="D41" s="112" t="n">
        <f aca="false">IF('HC by Program-Term'!$Y17="","—",'HC by Program-Term'!V17)</f>
        <v>80</v>
      </c>
      <c r="E41" s="112" t="n">
        <f aca="false">IF('HC by Program-Term'!$Y17="","—",C41-D41)</f>
        <v>318</v>
      </c>
      <c r="F41" s="114" t="n">
        <f aca="false">IF('HC by Program-Term'!$Y17="","—",IF(C41=0,"—",E41/C41))</f>
        <v>0.798994974874372</v>
      </c>
      <c r="G41" s="113" t="n">
        <f aca="false">IFERROR(INDEX('Program List'!$E:$E,MATCH($A41,'Program List'!$A:$A,0)),"—")</f>
        <v>33</v>
      </c>
      <c r="H41" s="181" t="n">
        <f aca="false">IFERROR(IF(INDEX('Method A - Summary'!$F:$F,MATCH($A41,'Method A - Summary'!$A:$A,0))=0,"—",INDEX('Method A - Summary'!$F:$F,MATCH($A41,'Method A - Summary'!$A:$A,0))),"—")</f>
        <v>19.5</v>
      </c>
      <c r="I41" s="182" t="n">
        <f aca="false">IFERROR(IF(OR(INDEX('Method A - Summary'!$F:$F,MATCH($A41,'Method A - Summary'!$A:$A,0))=0,INDEX('Program List'!$E:$E,MATCH($A41,'Program List'!$A:$A,0))=0),"—",INDEX('Method A - Summary'!$F:$F,MATCH($A41,'Method A - Summary'!$A:$A,0))/INDEX('Program List'!$E:$E,MATCH($A41,'Program List'!$A:$A,0))),"—")</f>
        <v>0.590909090909091</v>
      </c>
      <c r="J41" s="183" t="n">
        <f aca="false">IFERROR(IF(OR(INDEX('Method A - Summary'!$F:$F,MATCH($A41,'Method A - Summary'!$A:$A,0))=0,INDEX('Program List'!$E:$E,MATCH($A41,'Program List'!$A:$A,0))=0),"—",MIN(1,INDEX('Method A - Summary'!$F:$F,MATCH($A41,'Method A - Summary'!$A:$A,0))/INDEX('Program List'!$E:$E,MATCH($A41,'Program List'!$A:$A,0)))),"—")</f>
        <v>0.590909090909091</v>
      </c>
      <c r="K41" s="114" t="n">
        <f aca="false">IFERROR(IF(INDEX('Method A - Summary'!$E:$E,MATCH($A41,'Method A - Summary'!$A:$A,0))="","—",INDEX('Method A - Summary'!$E:$E,MATCH($A41,'Method A - Summary'!$A:$A,0))),"—")</f>
        <v>0.8125</v>
      </c>
    </row>
    <row r="42" customFormat="false" ht="14.25" hidden="false" customHeight="false" outlineLevel="0" collapsed="false">
      <c r="A42" s="148" t="str">
        <f aca="false">'Program List'!A13</f>
        <v>M202</v>
      </c>
      <c r="B42" s="149" t="str">
        <f aca="false">'Program List'!B13</f>
        <v>Master of Clinical Mental Health Counseling</v>
      </c>
      <c r="C42" s="184" t="n">
        <f aca="false">IF('HC by Program-Term'!$Y18="","—",'New vs Continuing — Term'!AS18)</f>
        <v>435</v>
      </c>
      <c r="D42" s="184" t="n">
        <f aca="false">IF('HC by Program-Term'!$Y18="","—",'HC by Program-Term'!V18)</f>
        <v>174</v>
      </c>
      <c r="E42" s="184" t="n">
        <f aca="false">IF('HC by Program-Term'!$Y18="","—",C42-D42)</f>
        <v>261</v>
      </c>
      <c r="F42" s="185" t="n">
        <f aca="false">IF('HC by Program-Term'!$Y18="","—",IF(C42=0,"—",E42/C42))</f>
        <v>0.6</v>
      </c>
      <c r="G42" s="186" t="n">
        <f aca="false">IFERROR(INDEX('Program List'!$E:$E,MATCH($A42,'Program List'!$A:$A,0)),"—")</f>
        <v>60</v>
      </c>
      <c r="H42" s="187" t="n">
        <f aca="false">IFERROR(IF(INDEX('Method A - Summary'!$F:$F,MATCH($A42,'Method A - Summary'!$A:$A,0))=0,"—",INDEX('Method A - Summary'!$F:$F,MATCH($A42,'Method A - Summary'!$A:$A,0))),"—")</f>
        <v>39.2433862433862</v>
      </c>
      <c r="I42" s="188" t="n">
        <f aca="false">IFERROR(IF(OR(INDEX('Method A - Summary'!$F:$F,MATCH($A42,'Method A - Summary'!$A:$A,0))=0,INDEX('Program List'!$E:$E,MATCH($A42,'Program List'!$A:$A,0))=0),"—",INDEX('Method A - Summary'!$F:$F,MATCH($A42,'Method A - Summary'!$A:$A,0))/INDEX('Program List'!$E:$E,MATCH($A42,'Program List'!$A:$A,0))),"—")</f>
        <v>0.65405643738977</v>
      </c>
      <c r="J42" s="189" t="n">
        <f aca="false">IFERROR(IF(OR(INDEX('Method A - Summary'!$F:$F,MATCH($A42,'Method A - Summary'!$A:$A,0))=0,INDEX('Program List'!$E:$E,MATCH($A42,'Program List'!$A:$A,0))=0),"—",MIN(1,INDEX('Method A - Summary'!$F:$F,MATCH($A42,'Method A - Summary'!$A:$A,0))/INDEX('Program List'!$E:$E,MATCH($A42,'Program List'!$A:$A,0)))),"—")</f>
        <v>0.65405643738977</v>
      </c>
      <c r="K42" s="185" t="n">
        <f aca="false">IFERROR(IF(INDEX('Method A - Summary'!$E:$E,MATCH($A42,'Method A - Summary'!$A:$A,0))="","—",INDEX('Method A - Summary'!$E:$E,MATCH($A42,'Method A - Summary'!$A:$A,0))),"—")</f>
        <v>0.7875</v>
      </c>
    </row>
    <row r="43" customFormat="false" ht="14.25" hidden="false" customHeight="false" outlineLevel="0" collapsed="false">
      <c r="A43" s="144" t="str">
        <f aca="false">'Program List'!A14</f>
        <v>M246</v>
      </c>
      <c r="B43" s="145" t="str">
        <f aca="false">'Program List'!B14</f>
        <v>Master of Construction Business</v>
      </c>
      <c r="C43" s="112" t="n">
        <f aca="false">IF('HC by Program-Term'!$Y19="","—",'New vs Continuing — Term'!AS19)</f>
        <v>192</v>
      </c>
      <c r="D43" s="112" t="n">
        <f aca="false">IF('HC by Program-Term'!$Y19="","—",'HC by Program-Term'!V19)</f>
        <v>45</v>
      </c>
      <c r="E43" s="112" t="n">
        <f aca="false">IF('HC by Program-Term'!$Y19="","—",C43-D43)</f>
        <v>147</v>
      </c>
      <c r="F43" s="114" t="n">
        <f aca="false">IF('HC by Program-Term'!$Y19="","—",IF(C43=0,"—",E43/C43))</f>
        <v>0.765625</v>
      </c>
      <c r="G43" s="113" t="n">
        <f aca="false">IFERROR(INDEX('Program List'!$E:$E,MATCH($A43,'Program List'!$A:$A,0)),"—")</f>
        <v>32</v>
      </c>
      <c r="H43" s="181" t="n">
        <f aca="false">IFERROR(IF(INDEX('Method A - Summary'!$F:$F,MATCH($A43,'Method A - Summary'!$A:$A,0))=0,"—",INDEX('Method A - Summary'!$F:$F,MATCH($A43,'Method A - Summary'!$A:$A,0))),"—")</f>
        <v>16.14</v>
      </c>
      <c r="I43" s="182" t="n">
        <f aca="false">IFERROR(IF(OR(INDEX('Method A - Summary'!$F:$F,MATCH($A43,'Method A - Summary'!$A:$A,0))=0,INDEX('Program List'!$E:$E,MATCH($A43,'Program List'!$A:$A,0))=0),"—",INDEX('Method A - Summary'!$F:$F,MATCH($A43,'Method A - Summary'!$A:$A,0))/INDEX('Program List'!$E:$E,MATCH($A43,'Program List'!$A:$A,0))),"—")</f>
        <v>0.504375</v>
      </c>
      <c r="J43" s="183" t="n">
        <f aca="false">IFERROR(IF(OR(INDEX('Method A - Summary'!$F:$F,MATCH($A43,'Method A - Summary'!$A:$A,0))=0,INDEX('Program List'!$E:$E,MATCH($A43,'Program List'!$A:$A,0))=0),"—",MIN(1,INDEX('Method A - Summary'!$F:$F,MATCH($A43,'Method A - Summary'!$A:$A,0))/INDEX('Program List'!$E:$E,MATCH($A43,'Program List'!$A:$A,0)))),"—")</f>
        <v>0.504375</v>
      </c>
      <c r="K43" s="114" t="n">
        <f aca="false">IFERROR(IF(INDEX('Method A - Summary'!$E:$E,MATCH($A43,'Method A - Summary'!$A:$A,0))="","—",INDEX('Method A - Summary'!$E:$E,MATCH($A43,'Method A - Summary'!$A:$A,0))),"—")</f>
        <v>0.869565217391304</v>
      </c>
    </row>
    <row r="44" customFormat="false" ht="14.25" hidden="false" customHeight="false" outlineLevel="0" collapsed="false">
      <c r="A44" s="148" t="str">
        <f aca="false">'Program List'!A15</f>
        <v>M297</v>
      </c>
      <c r="B44" s="149" t="str">
        <f aca="false">'Program List'!B15</f>
        <v>Master of Econometrics</v>
      </c>
      <c r="C44" s="184" t="str">
        <f aca="false">IF('HC by Program-Term'!$Y20="","—",'New vs Continuing — Term'!AS20)</f>
        <v>—</v>
      </c>
      <c r="D44" s="184" t="str">
        <f aca="false">IF('HC by Program-Term'!$Y20="","—",'HC by Program-Term'!V20)</f>
        <v>—</v>
      </c>
      <c r="E44" s="184" t="str">
        <f aca="false">IF('HC by Program-Term'!$Y20="","—",C44-D44)</f>
        <v>—</v>
      </c>
      <c r="F44" s="185" t="str">
        <f aca="false">IF('HC by Program-Term'!$Y20="","—",IF(C44=0,"—",E44/C44))</f>
        <v>—</v>
      </c>
      <c r="G44" s="186" t="n">
        <f aca="false">IFERROR(INDEX('Program List'!$E:$E,MATCH($A44,'Program List'!$A:$A,0)),"—")</f>
        <v>30</v>
      </c>
      <c r="H44" s="187" t="str">
        <f aca="false">IFERROR(IF(INDEX('Method A - Summary'!$F:$F,MATCH($A44,'Method A - Summary'!$A:$A,0))=0,"—",INDEX('Method A - Summary'!$F:$F,MATCH($A44,'Method A - Summary'!$A:$A,0))),"—")</f>
        <v>—</v>
      </c>
      <c r="I44" s="188" t="str">
        <f aca="false">IFERROR(IF(OR(INDEX('Method A - Summary'!$F:$F,MATCH($A44,'Method A - Summary'!$A:$A,0))=0,INDEX('Program List'!$E:$E,MATCH($A44,'Program List'!$A:$A,0))=0),"—",INDEX('Method A - Summary'!$F:$F,MATCH($A44,'Method A - Summary'!$A:$A,0))/INDEX('Program List'!$E:$E,MATCH($A44,'Program List'!$A:$A,0))),"—")</f>
        <v>—</v>
      </c>
      <c r="J44" s="189" t="str">
        <f aca="false">IFERROR(IF(OR(INDEX('Method A - Summary'!$F:$F,MATCH($A44,'Method A - Summary'!$A:$A,0))=0,INDEX('Program List'!$E:$E,MATCH($A44,'Program List'!$A:$A,0))=0),"—",MIN(1,INDEX('Method A - Summary'!$F:$F,MATCH($A44,'Method A - Summary'!$A:$A,0))/INDEX('Program List'!$E:$E,MATCH($A44,'Program List'!$A:$A,0)))),"—")</f>
        <v>—</v>
      </c>
      <c r="K44" s="185" t="str">
        <f aca="false">IFERROR(IF(INDEX('Method A - Summary'!$E:$E,MATCH($A44,'Method A - Summary'!$A:$A,0))="","—",INDEX('Method A - Summary'!$E:$E,MATCH($A44,'Method A - Summary'!$A:$A,0))),"—")</f>
        <v>—</v>
      </c>
    </row>
    <row r="45" customFormat="false" ht="14.25" hidden="false" customHeight="false" outlineLevel="0" collapsed="false">
      <c r="A45" s="144" t="str">
        <f aca="false">'Program List'!A16</f>
        <v>M383</v>
      </c>
      <c r="B45" s="145" t="str">
        <f aca="false">'Program List'!B16</f>
        <v>Master of Entrepreneurship &amp; Innovation</v>
      </c>
      <c r="C45" s="112" t="str">
        <f aca="false">IF('HC by Program-Term'!$Y21="","—",'New vs Continuing — Term'!AS21)</f>
        <v>—</v>
      </c>
      <c r="D45" s="112" t="str">
        <f aca="false">IF('HC by Program-Term'!$Y21="","—",'HC by Program-Term'!V21)</f>
        <v>—</v>
      </c>
      <c r="E45" s="112" t="str">
        <f aca="false">IF('HC by Program-Term'!$Y21="","—",C45-D45)</f>
        <v>—</v>
      </c>
      <c r="F45" s="114" t="str">
        <f aca="false">IF('HC by Program-Term'!$Y21="","—",IF(C45=0,"—",E45/C45))</f>
        <v>—</v>
      </c>
      <c r="G45" s="113" t="n">
        <f aca="false">IFERROR(INDEX('Program List'!$E:$E,MATCH($A45,'Program List'!$A:$A,0)),"—")</f>
        <v>30</v>
      </c>
      <c r="H45" s="181" t="str">
        <f aca="false">IFERROR(IF(INDEX('Method A - Summary'!$F:$F,MATCH($A45,'Method A - Summary'!$A:$A,0))=0,"—",INDEX('Method A - Summary'!$F:$F,MATCH($A45,'Method A - Summary'!$A:$A,0))),"—")</f>
        <v>—</v>
      </c>
      <c r="I45" s="182" t="str">
        <f aca="false">IFERROR(IF(OR(INDEX('Method A - Summary'!$F:$F,MATCH($A45,'Method A - Summary'!$A:$A,0))=0,INDEX('Program List'!$E:$E,MATCH($A45,'Program List'!$A:$A,0))=0),"—",INDEX('Method A - Summary'!$F:$F,MATCH($A45,'Method A - Summary'!$A:$A,0))/INDEX('Program List'!$E:$E,MATCH($A45,'Program List'!$A:$A,0))),"—")</f>
        <v>—</v>
      </c>
      <c r="J45" s="183" t="str">
        <f aca="false">IFERROR(IF(OR(INDEX('Method A - Summary'!$F:$F,MATCH($A45,'Method A - Summary'!$A:$A,0))=0,INDEX('Program List'!$E:$E,MATCH($A45,'Program List'!$A:$A,0))=0),"—",MIN(1,INDEX('Method A - Summary'!$F:$F,MATCH($A45,'Method A - Summary'!$A:$A,0))/INDEX('Program List'!$E:$E,MATCH($A45,'Program List'!$A:$A,0)))),"—")</f>
        <v>—</v>
      </c>
      <c r="K45" s="114" t="str">
        <f aca="false">IFERROR(IF(INDEX('Method A - Summary'!$E:$E,MATCH($A45,'Method A - Summary'!$A:$A,0))="","—",INDEX('Method A - Summary'!$E:$E,MATCH($A45,'Method A - Summary'!$A:$A,0))),"—")</f>
        <v>—</v>
      </c>
    </row>
    <row r="46" customFormat="false" ht="14.25" hidden="false" customHeight="false" outlineLevel="0" collapsed="false">
      <c r="A46" s="148" t="str">
        <f aca="false">'Program List'!A17</f>
        <v>M518</v>
      </c>
      <c r="B46" s="149" t="str">
        <f aca="false">'Program List'!B17</f>
        <v>Master of Environmental Science: Hydrology and Water Security</v>
      </c>
      <c r="C46" s="184" t="n">
        <f aca="false">IF('HC by Program-Term'!$Y22="","—",'New vs Continuing — Term'!AS22)</f>
        <v>398</v>
      </c>
      <c r="D46" s="184" t="n">
        <f aca="false">IF('HC by Program-Term'!$Y22="","—",'HC by Program-Term'!V22)</f>
        <v>94</v>
      </c>
      <c r="E46" s="184" t="n">
        <f aca="false">IF('HC by Program-Term'!$Y22="","—",C46-D46)</f>
        <v>304</v>
      </c>
      <c r="F46" s="185" t="n">
        <f aca="false">IF('HC by Program-Term'!$Y22="","—",IF(C46=0,"—",E46/C46))</f>
        <v>0.763819095477387</v>
      </c>
      <c r="G46" s="186" t="n">
        <f aca="false">IFERROR(INDEX('Program List'!$E:$E,MATCH($A46,'Program List'!$A:$A,0)),"—")</f>
        <v>30</v>
      </c>
      <c r="H46" s="187" t="n">
        <f aca="false">IFERROR(IF(INDEX('Method A - Summary'!$F:$F,MATCH($A46,'Method A - Summary'!$A:$A,0))=0,"—",INDEX('Method A - Summary'!$F:$F,MATCH($A46,'Method A - Summary'!$A:$A,0))),"—")</f>
        <v>19.2717391304348</v>
      </c>
      <c r="I46" s="188" t="n">
        <f aca="false">IFERROR(IF(OR(INDEX('Method A - Summary'!$F:$F,MATCH($A46,'Method A - Summary'!$A:$A,0))=0,INDEX('Program List'!$E:$E,MATCH($A46,'Program List'!$A:$A,0))=0),"—",INDEX('Method A - Summary'!$F:$F,MATCH($A46,'Method A - Summary'!$A:$A,0))/INDEX('Program List'!$E:$E,MATCH($A46,'Program List'!$A:$A,0))),"—")</f>
        <v>0.642391304347827</v>
      </c>
      <c r="J46" s="189" t="n">
        <f aca="false">IFERROR(IF(OR(INDEX('Method A - Summary'!$F:$F,MATCH($A46,'Method A - Summary'!$A:$A,0))=0,INDEX('Program List'!$E:$E,MATCH($A46,'Program List'!$A:$A,0))=0),"—",MIN(1,INDEX('Method A - Summary'!$F:$F,MATCH($A46,'Method A - Summary'!$A:$A,0))/INDEX('Program List'!$E:$E,MATCH($A46,'Program List'!$A:$A,0)))),"—")</f>
        <v>0.642391304347827</v>
      </c>
      <c r="K46" s="185" t="n">
        <f aca="false">IFERROR(IF(INDEX('Method A - Summary'!$E:$E,MATCH($A46,'Method A - Summary'!$A:$A,0))="","—",INDEX('Method A - Summary'!$E:$E,MATCH($A46,'Method A - Summary'!$A:$A,0))),"—")</f>
        <v>0.724409448818898</v>
      </c>
    </row>
    <row r="47" customFormat="false" ht="14.25" hidden="false" customHeight="false" outlineLevel="0" collapsed="false">
      <c r="A47" s="144" t="str">
        <f aca="false">'Program List'!A18</f>
        <v>M368</v>
      </c>
      <c r="B47" s="145" t="str">
        <f aca="false">'Program List'!B18</f>
        <v>Master of Legal Studies - Energy</v>
      </c>
      <c r="C47" s="112" t="n">
        <f aca="false">IF('HC by Program-Term'!$Y23="","—",'New vs Continuing — Term'!AS23)</f>
        <v>133</v>
      </c>
      <c r="D47" s="112" t="n">
        <f aca="false">IF('HC by Program-Term'!$Y23="","—",'HC by Program-Term'!V23)</f>
        <v>36</v>
      </c>
      <c r="E47" s="112" t="n">
        <f aca="false">IF('HC by Program-Term'!$Y23="","—",C47-D47)</f>
        <v>97</v>
      </c>
      <c r="F47" s="114" t="n">
        <f aca="false">IF('HC by Program-Term'!$Y23="","—",IF(C47=0,"—",E47/C47))</f>
        <v>0.729323308270677</v>
      </c>
      <c r="G47" s="113" t="n">
        <f aca="false">IFERROR(INDEX('Program List'!$E:$E,MATCH($A47,'Program List'!$A:$A,0)),"—")</f>
        <v>32</v>
      </c>
      <c r="H47" s="181" t="n">
        <f aca="false">IFERROR(IF(INDEX('Method A - Summary'!$F:$F,MATCH($A47,'Method A - Summary'!$A:$A,0))=0,"—",INDEX('Method A - Summary'!$F:$F,MATCH($A47,'Method A - Summary'!$A:$A,0))),"—")</f>
        <v>15.1379310344828</v>
      </c>
      <c r="I47" s="182" t="n">
        <f aca="false">IFERROR(IF(OR(INDEX('Method A - Summary'!$F:$F,MATCH($A47,'Method A - Summary'!$A:$A,0))=0,INDEX('Program List'!$E:$E,MATCH($A47,'Program List'!$A:$A,0))=0),"—",INDEX('Method A - Summary'!$F:$F,MATCH($A47,'Method A - Summary'!$A:$A,0))/INDEX('Program List'!$E:$E,MATCH($A47,'Program List'!$A:$A,0))),"—")</f>
        <v>0.473060344827588</v>
      </c>
      <c r="J47" s="183" t="n">
        <f aca="false">IFERROR(IF(OR(INDEX('Method A - Summary'!$F:$F,MATCH($A47,'Method A - Summary'!$A:$A,0))=0,INDEX('Program List'!$E:$E,MATCH($A47,'Program List'!$A:$A,0))=0),"—",MIN(1,INDEX('Method A - Summary'!$F:$F,MATCH($A47,'Method A - Summary'!$A:$A,0))/INDEX('Program List'!$E:$E,MATCH($A47,'Program List'!$A:$A,0)))),"—")</f>
        <v>0.473060344827588</v>
      </c>
      <c r="K47" s="114" t="n">
        <f aca="false">IFERROR(IF(INDEX('Method A - Summary'!$E:$E,MATCH($A47,'Method A - Summary'!$A:$A,0))="","—",INDEX('Method A - Summary'!$E:$E,MATCH($A47,'Method A - Summary'!$A:$A,0))),"—")</f>
        <v>0.707317073170732</v>
      </c>
    </row>
    <row r="48" customFormat="false" ht="14.25" hidden="false" customHeight="false" outlineLevel="0" collapsed="false">
      <c r="A48" s="148" t="str">
        <f aca="false">'Program List'!A19</f>
        <v>M636</v>
      </c>
      <c r="B48" s="149" t="str">
        <f aca="false">'Program List'!B19</f>
        <v>Master of Legal Studies - General</v>
      </c>
      <c r="C48" s="184" t="str">
        <f aca="false">IF('HC by Program-Term'!$Y24="","—",'New vs Continuing — Term'!AS24)</f>
        <v>—</v>
      </c>
      <c r="D48" s="184" t="str">
        <f aca="false">IF('HC by Program-Term'!$Y24="","—",'HC by Program-Term'!V24)</f>
        <v>—</v>
      </c>
      <c r="E48" s="184" t="str">
        <f aca="false">IF('HC by Program-Term'!$Y24="","—",C48-D48)</f>
        <v>—</v>
      </c>
      <c r="F48" s="185" t="str">
        <f aca="false">IF('HC by Program-Term'!$Y24="","—",IF(C48=0,"—",E48/C48))</f>
        <v>—</v>
      </c>
      <c r="G48" s="186" t="n">
        <f aca="false">IFERROR(INDEX('Program List'!$E:$E,MATCH($A48,'Program List'!$A:$A,0)),"—")</f>
        <v>32</v>
      </c>
      <c r="H48" s="187" t="str">
        <f aca="false">IFERROR(IF(INDEX('Method A - Summary'!$F:$F,MATCH($A48,'Method A - Summary'!$A:$A,0))=0,"—",INDEX('Method A - Summary'!$F:$F,MATCH($A48,'Method A - Summary'!$A:$A,0))),"—")</f>
        <v>—</v>
      </c>
      <c r="I48" s="188" t="str">
        <f aca="false">IFERROR(IF(OR(INDEX('Method A - Summary'!$F:$F,MATCH($A48,'Method A - Summary'!$A:$A,0))=0,INDEX('Program List'!$E:$E,MATCH($A48,'Program List'!$A:$A,0))=0),"—",INDEX('Method A - Summary'!$F:$F,MATCH($A48,'Method A - Summary'!$A:$A,0))/INDEX('Program List'!$E:$E,MATCH($A48,'Program List'!$A:$A,0))),"—")</f>
        <v>—</v>
      </c>
      <c r="J48" s="189" t="str">
        <f aca="false">IFERROR(IF(OR(INDEX('Method A - Summary'!$F:$F,MATCH($A48,'Method A - Summary'!$A:$A,0))=0,INDEX('Program List'!$E:$E,MATCH($A48,'Program List'!$A:$A,0))=0),"—",MIN(1,INDEX('Method A - Summary'!$F:$F,MATCH($A48,'Method A - Summary'!$A:$A,0))/INDEX('Program List'!$E:$E,MATCH($A48,'Program List'!$A:$A,0)))),"—")</f>
        <v>—</v>
      </c>
      <c r="K48" s="185" t="str">
        <f aca="false">IFERROR(IF(INDEX('Method A - Summary'!$E:$E,MATCH($A48,'Method A - Summary'!$A:$A,0))="","—",INDEX('Method A - Summary'!$E:$E,MATCH($A48,'Method A - Summary'!$A:$A,0))),"—")</f>
        <v>—</v>
      </c>
    </row>
    <row r="49" customFormat="false" ht="14.25" hidden="false" customHeight="false" outlineLevel="0" collapsed="false">
      <c r="A49" s="144" t="str">
        <f aca="false">'Program List'!A20</f>
        <v>M503</v>
      </c>
      <c r="B49" s="145" t="str">
        <f aca="false">'Program List'!B20</f>
        <v>Master of Legal Studies - Healthcare Law</v>
      </c>
      <c r="C49" s="112" t="n">
        <f aca="false">IF('HC by Program-Term'!$Y25="","—",'New vs Continuing — Term'!AS25)</f>
        <v>580</v>
      </c>
      <c r="D49" s="112" t="n">
        <f aca="false">IF('HC by Program-Term'!$Y25="","—",'HC by Program-Term'!V25)</f>
        <v>81</v>
      </c>
      <c r="E49" s="112" t="n">
        <f aca="false">IF('HC by Program-Term'!$Y25="","—",C49-D49)</f>
        <v>499</v>
      </c>
      <c r="F49" s="114" t="n">
        <f aca="false">IF('HC by Program-Term'!$Y25="","—",IF(C49=0,"—",E49/C49))</f>
        <v>0.860344827586207</v>
      </c>
      <c r="G49" s="113" t="n">
        <f aca="false">IFERROR(INDEX('Program List'!$E:$E,MATCH($A49,'Program List'!$A:$A,0)),"—")</f>
        <v>32</v>
      </c>
      <c r="H49" s="181" t="n">
        <f aca="false">IFERROR(IF(INDEX('Method A - Summary'!$F:$F,MATCH($A49,'Method A - Summary'!$A:$A,0))=0,"—",INDEX('Method A - Summary'!$F:$F,MATCH($A49,'Method A - Summary'!$A:$A,0))),"—")</f>
        <v>16.1464968152866</v>
      </c>
      <c r="I49" s="182" t="n">
        <f aca="false">IFERROR(IF(OR(INDEX('Method A - Summary'!$F:$F,MATCH($A49,'Method A - Summary'!$A:$A,0))=0,INDEX('Program List'!$E:$E,MATCH($A49,'Program List'!$A:$A,0))=0),"—",INDEX('Method A - Summary'!$F:$F,MATCH($A49,'Method A - Summary'!$A:$A,0))/INDEX('Program List'!$E:$E,MATCH($A49,'Program List'!$A:$A,0))),"—")</f>
        <v>0.504578025477706</v>
      </c>
      <c r="J49" s="183" t="n">
        <f aca="false">IFERROR(IF(OR(INDEX('Method A - Summary'!$F:$F,MATCH($A49,'Method A - Summary'!$A:$A,0))=0,INDEX('Program List'!$E:$E,MATCH($A49,'Program List'!$A:$A,0))=0),"—",MIN(1,INDEX('Method A - Summary'!$F:$F,MATCH($A49,'Method A - Summary'!$A:$A,0))/INDEX('Program List'!$E:$E,MATCH($A49,'Program List'!$A:$A,0)))),"—")</f>
        <v>0.504578025477706</v>
      </c>
      <c r="K49" s="114" t="n">
        <f aca="false">IFERROR(IF(INDEX('Method A - Summary'!$E:$E,MATCH($A49,'Method A - Summary'!$A:$A,0))="","—",INDEX('Method A - Summary'!$E:$E,MATCH($A49,'Method A - Summary'!$A:$A,0))),"—")</f>
        <v>0.733644859813084</v>
      </c>
    </row>
    <row r="50" customFormat="false" ht="14.25" hidden="false" customHeight="false" outlineLevel="0" collapsed="false">
      <c r="A50" s="148" t="str">
        <f aca="false">'Program List'!A21</f>
        <v>M522</v>
      </c>
      <c r="B50" s="149" t="str">
        <f aca="false">'Program List'!B21</f>
        <v>Master of Legal Studies - Indigenous Peoples Law</v>
      </c>
      <c r="C50" s="184" t="n">
        <f aca="false">IF('HC by Program-Term'!$Y26="","—",'New vs Continuing — Term'!AS26)</f>
        <v>768</v>
      </c>
      <c r="D50" s="184" t="n">
        <f aca="false">IF('HC by Program-Term'!$Y26="","—",'HC by Program-Term'!V26)</f>
        <v>90</v>
      </c>
      <c r="E50" s="184" t="n">
        <f aca="false">IF('HC by Program-Term'!$Y26="","—",C50-D50)</f>
        <v>678</v>
      </c>
      <c r="F50" s="185" t="n">
        <f aca="false">IF('HC by Program-Term'!$Y26="","—",IF(C50=0,"—",E50/C50))</f>
        <v>0.8828125</v>
      </c>
      <c r="G50" s="186" t="n">
        <f aca="false">IFERROR(INDEX('Program List'!$E:$E,MATCH($A50,'Program List'!$A:$A,0)),"—")</f>
        <v>33</v>
      </c>
      <c r="H50" s="187" t="n">
        <f aca="false">IFERROR(IF(INDEX('Method A - Summary'!$F:$F,MATCH($A50,'Method A - Summary'!$A:$A,0))=0,"—",INDEX('Method A - Summary'!$F:$F,MATCH($A50,'Method A - Summary'!$A:$A,0))),"—")</f>
        <v>18.5677083333333</v>
      </c>
      <c r="I50" s="188" t="n">
        <f aca="false">IFERROR(IF(OR(INDEX('Method A - Summary'!$F:$F,MATCH($A50,'Method A - Summary'!$A:$A,0))=0,INDEX('Program List'!$E:$E,MATCH($A50,'Program List'!$A:$A,0))=0),"—",INDEX('Method A - Summary'!$F:$F,MATCH($A50,'Method A - Summary'!$A:$A,0))/INDEX('Program List'!$E:$E,MATCH($A50,'Program List'!$A:$A,0))),"—")</f>
        <v>0.562657828282827</v>
      </c>
      <c r="J50" s="189" t="n">
        <f aca="false">IFERROR(IF(OR(INDEX('Method A - Summary'!$F:$F,MATCH($A50,'Method A - Summary'!$A:$A,0))=0,INDEX('Program List'!$E:$E,MATCH($A50,'Program List'!$A:$A,0))=0),"—",MIN(1,INDEX('Method A - Summary'!$F:$F,MATCH($A50,'Method A - Summary'!$A:$A,0))/INDEX('Program List'!$E:$E,MATCH($A50,'Program List'!$A:$A,0)))),"—")</f>
        <v>0.562657828282827</v>
      </c>
      <c r="K50" s="185" t="n">
        <f aca="false">IFERROR(IF(INDEX('Method A - Summary'!$E:$E,MATCH($A50,'Method A - Summary'!$A:$A,0))="","—",INDEX('Method A - Summary'!$E:$E,MATCH($A50,'Method A - Summary'!$A:$A,0))),"—")</f>
        <v>0.678445229681979</v>
      </c>
    </row>
    <row r="51" customFormat="false" ht="14.25" hidden="false" customHeight="false" outlineLevel="0" collapsed="false">
      <c r="A51" s="144" t="str">
        <f aca="false">'Program List'!A22</f>
        <v>M589</v>
      </c>
      <c r="B51" s="145" t="str">
        <f aca="false">'Program List'!B22</f>
        <v>Master of Legal Studies - International Business</v>
      </c>
      <c r="C51" s="112" t="n">
        <f aca="false">IF('HC by Program-Term'!$Y27="","—",'New vs Continuing — Term'!AS27)</f>
        <v>80</v>
      </c>
      <c r="D51" s="112" t="n">
        <f aca="false">IF('HC by Program-Term'!$Y27="","—",'HC by Program-Term'!V27)</f>
        <v>12</v>
      </c>
      <c r="E51" s="112" t="n">
        <f aca="false">IF('HC by Program-Term'!$Y27="","—",C51-D51)</f>
        <v>68</v>
      </c>
      <c r="F51" s="114" t="n">
        <f aca="false">IF('HC by Program-Term'!$Y27="","—",IF(C51=0,"—",E51/C51))</f>
        <v>0.85</v>
      </c>
      <c r="G51" s="113" t="n">
        <f aca="false">IFERROR(INDEX('Program List'!$E:$E,MATCH($A51,'Program List'!$A:$A,0)),"—")</f>
        <v>32</v>
      </c>
      <c r="H51" s="181" t="n">
        <f aca="false">IFERROR(IF(INDEX('Method A - Summary'!$F:$F,MATCH($A51,'Method A - Summary'!$A:$A,0))=0,"—",INDEX('Method A - Summary'!$F:$F,MATCH($A51,'Method A - Summary'!$A:$A,0))),"—")</f>
        <v>15.7708333333333</v>
      </c>
      <c r="I51" s="182" t="n">
        <f aca="false">IFERROR(IF(OR(INDEX('Method A - Summary'!$F:$F,MATCH($A51,'Method A - Summary'!$A:$A,0))=0,INDEX('Program List'!$E:$E,MATCH($A51,'Program List'!$A:$A,0))=0),"—",INDEX('Method A - Summary'!$F:$F,MATCH($A51,'Method A - Summary'!$A:$A,0))/INDEX('Program List'!$E:$E,MATCH($A51,'Program List'!$A:$A,0))),"—")</f>
        <v>0.492838541666666</v>
      </c>
      <c r="J51" s="183" t="n">
        <f aca="false">IFERROR(IF(OR(INDEX('Method A - Summary'!$F:$F,MATCH($A51,'Method A - Summary'!$A:$A,0))=0,INDEX('Program List'!$E:$E,MATCH($A51,'Program List'!$A:$A,0))=0),"—",MIN(1,INDEX('Method A - Summary'!$F:$F,MATCH($A51,'Method A - Summary'!$A:$A,0))/INDEX('Program List'!$E:$E,MATCH($A51,'Program List'!$A:$A,0)))),"—")</f>
        <v>0.492838541666666</v>
      </c>
      <c r="K51" s="114" t="n">
        <f aca="false">IFERROR(IF(INDEX('Method A - Summary'!$E:$E,MATCH($A51,'Method A - Summary'!$A:$A,0))="","—",INDEX('Method A - Summary'!$E:$E,MATCH($A51,'Method A - Summary'!$A:$A,0))),"—")</f>
        <v>0.705882352941177</v>
      </c>
    </row>
    <row r="52" customFormat="false" ht="14.25" hidden="false" customHeight="false" outlineLevel="0" collapsed="false">
      <c r="A52" s="148" t="str">
        <f aca="false">'Program List'!A23</f>
        <v>M029</v>
      </c>
      <c r="B52" s="149" t="str">
        <f aca="false">'Program List'!B23</f>
        <v>Master of Science in Applied Computing</v>
      </c>
      <c r="C52" s="184" t="str">
        <f aca="false">IF('HC by Program-Term'!$Y28="","—",'New vs Continuing — Term'!AS28)</f>
        <v>—</v>
      </c>
      <c r="D52" s="184" t="str">
        <f aca="false">IF('HC by Program-Term'!$Y28="","—",'HC by Program-Term'!V28)</f>
        <v>—</v>
      </c>
      <c r="E52" s="184" t="str">
        <f aca="false">IF('HC by Program-Term'!$Y28="","—",C52-D52)</f>
        <v>—</v>
      </c>
      <c r="F52" s="185" t="str">
        <f aca="false">IF('HC by Program-Term'!$Y28="","—",IF(C52=0,"—",E52/C52))</f>
        <v>—</v>
      </c>
      <c r="G52" s="186" t="n">
        <f aca="false">IFERROR(INDEX('Program List'!$E:$E,MATCH($A52,'Program List'!$A:$A,0)),"—")</f>
        <v>30</v>
      </c>
      <c r="H52" s="187" t="str">
        <f aca="false">IFERROR(IF(INDEX('Method A - Summary'!$F:$F,MATCH($A52,'Method A - Summary'!$A:$A,0))=0,"—",INDEX('Method A - Summary'!$F:$F,MATCH($A52,'Method A - Summary'!$A:$A,0))),"—")</f>
        <v>—</v>
      </c>
      <c r="I52" s="188" t="str">
        <f aca="false">IFERROR(IF(OR(INDEX('Method A - Summary'!$F:$F,MATCH($A52,'Method A - Summary'!$A:$A,0))=0,INDEX('Program List'!$E:$E,MATCH($A52,'Program List'!$A:$A,0))=0),"—",INDEX('Method A - Summary'!$F:$F,MATCH($A52,'Method A - Summary'!$A:$A,0))/INDEX('Program List'!$E:$E,MATCH($A52,'Program List'!$A:$A,0))),"—")</f>
        <v>—</v>
      </c>
      <c r="J52" s="189" t="str">
        <f aca="false">IFERROR(IF(OR(INDEX('Method A - Summary'!$F:$F,MATCH($A52,'Method A - Summary'!$A:$A,0))=0,INDEX('Program List'!$E:$E,MATCH($A52,'Program List'!$A:$A,0))=0),"—",MIN(1,INDEX('Method A - Summary'!$F:$F,MATCH($A52,'Method A - Summary'!$A:$A,0))/INDEX('Program List'!$E:$E,MATCH($A52,'Program List'!$A:$A,0)))),"—")</f>
        <v>—</v>
      </c>
      <c r="K52" s="185" t="str">
        <f aca="false">IFERROR(IF(INDEX('Method A - Summary'!$E:$E,MATCH($A52,'Method A - Summary'!$A:$A,0))="","—",INDEX('Method A - Summary'!$E:$E,MATCH($A52,'Method A - Summary'!$A:$A,0))),"—")</f>
        <v>—</v>
      </c>
    </row>
    <row r="53" customFormat="false" ht="14.25" hidden="false" customHeight="false" outlineLevel="0" collapsed="false">
      <c r="A53" s="144" t="str">
        <f aca="false">'Program List'!A24</f>
        <v>M035</v>
      </c>
      <c r="B53" s="145" t="str">
        <f aca="false">'Program List'!B24</f>
        <v>Master of Science in Applied Statistics</v>
      </c>
      <c r="C53" s="112" t="n">
        <f aca="false">IF('HC by Program-Term'!$Y29="","—",'New vs Continuing — Term'!AS29)</f>
        <v>158</v>
      </c>
      <c r="D53" s="112" t="n">
        <f aca="false">IF('HC by Program-Term'!$Y29="","—",'HC by Program-Term'!V29)</f>
        <v>32</v>
      </c>
      <c r="E53" s="112" t="n">
        <f aca="false">IF('HC by Program-Term'!$Y29="","—",C53-D53)</f>
        <v>126</v>
      </c>
      <c r="F53" s="114" t="n">
        <f aca="false">IF('HC by Program-Term'!$Y29="","—",IF(C53=0,"—",E53/C53))</f>
        <v>0.79746835443038</v>
      </c>
      <c r="G53" s="113" t="n">
        <f aca="false">IFERROR(INDEX('Program List'!$E:$E,MATCH($A53,'Program List'!$A:$A,0)),"—")</f>
        <v>30</v>
      </c>
      <c r="H53" s="181" t="n">
        <f aca="false">IFERROR(IF(INDEX('Method A - Summary'!$F:$F,MATCH($A53,'Method A - Summary'!$A:$A,0))=0,"—",INDEX('Method A - Summary'!$F:$F,MATCH($A53,'Method A - Summary'!$A:$A,0))),"—")</f>
        <v>16.7142857142857</v>
      </c>
      <c r="I53" s="182" t="n">
        <f aca="false">IFERROR(IF(OR(INDEX('Method A - Summary'!$F:$F,MATCH($A53,'Method A - Summary'!$A:$A,0))=0,INDEX('Program List'!$E:$E,MATCH($A53,'Program List'!$A:$A,0))=0),"—",INDEX('Method A - Summary'!$F:$F,MATCH($A53,'Method A - Summary'!$A:$A,0))/INDEX('Program List'!$E:$E,MATCH($A53,'Program List'!$A:$A,0))),"—")</f>
        <v>0.557142857142857</v>
      </c>
      <c r="J53" s="183" t="n">
        <f aca="false">IFERROR(IF(OR(INDEX('Method A - Summary'!$F:$F,MATCH($A53,'Method A - Summary'!$A:$A,0))=0,INDEX('Program List'!$E:$E,MATCH($A53,'Program List'!$A:$A,0))=0),"—",MIN(1,INDEX('Method A - Summary'!$F:$F,MATCH($A53,'Method A - Summary'!$A:$A,0))/INDEX('Program List'!$E:$E,MATCH($A53,'Program List'!$A:$A,0)))),"—")</f>
        <v>0.557142857142857</v>
      </c>
      <c r="K53" s="114" t="n">
        <f aca="false">IFERROR(IF(INDEX('Method A - Summary'!$E:$E,MATCH($A53,'Method A - Summary'!$A:$A,0))="","—",INDEX('Method A - Summary'!$E:$E,MATCH($A53,'Method A - Summary'!$A:$A,0))),"—")</f>
        <v>0.428571428571429</v>
      </c>
    </row>
    <row r="54" customFormat="false" ht="14.25" hidden="false" customHeight="false" outlineLevel="0" collapsed="false">
      <c r="A54" s="148" t="str">
        <f aca="false">'Program List'!A25</f>
        <v>M145</v>
      </c>
      <c r="B54" s="149" t="str">
        <f aca="false">'Program List'!B25</f>
        <v>Master of Science in Business Analytics</v>
      </c>
      <c r="C54" s="184" t="n">
        <f aca="false">IF('HC by Program-Term'!$Y30="","—",'New vs Continuing — Term'!AS30)</f>
        <v>153</v>
      </c>
      <c r="D54" s="184" t="n">
        <f aca="false">IF('HC by Program-Term'!$Y30="","—",'HC by Program-Term'!V30)</f>
        <v>51</v>
      </c>
      <c r="E54" s="184" t="n">
        <f aca="false">IF('HC by Program-Term'!$Y30="","—",C54-D54)</f>
        <v>102</v>
      </c>
      <c r="F54" s="185" t="n">
        <f aca="false">IF('HC by Program-Term'!$Y30="","—",IF(C54=0,"—",E54/C54))</f>
        <v>0.666666666666667</v>
      </c>
      <c r="G54" s="186" t="n">
        <f aca="false">IFERROR(INDEX('Program List'!$E:$E,MATCH($A54,'Program List'!$A:$A,0)),"—")</f>
        <v>32</v>
      </c>
      <c r="H54" s="187" t="n">
        <f aca="false">IFERROR(IF(INDEX('Method A - Summary'!$F:$F,MATCH($A54,'Method A - Summary'!$A:$A,0))=0,"—",INDEX('Method A - Summary'!$F:$F,MATCH($A54,'Method A - Summary'!$A:$A,0))),"—")</f>
        <v>16.7659574468085</v>
      </c>
      <c r="I54" s="188" t="n">
        <f aca="false">IFERROR(IF(OR(INDEX('Method A - Summary'!$F:$F,MATCH($A54,'Method A - Summary'!$A:$A,0))=0,INDEX('Program List'!$E:$E,MATCH($A54,'Program List'!$A:$A,0))=0),"—",INDEX('Method A - Summary'!$F:$F,MATCH($A54,'Method A - Summary'!$A:$A,0))/INDEX('Program List'!$E:$E,MATCH($A54,'Program List'!$A:$A,0))),"—")</f>
        <v>0.523936170212766</v>
      </c>
      <c r="J54" s="189" t="n">
        <f aca="false">IFERROR(IF(OR(INDEX('Method A - Summary'!$F:$F,MATCH($A54,'Method A - Summary'!$A:$A,0))=0,INDEX('Program List'!$E:$E,MATCH($A54,'Program List'!$A:$A,0))=0),"—",MIN(1,INDEX('Method A - Summary'!$F:$F,MATCH($A54,'Method A - Summary'!$A:$A,0))/INDEX('Program List'!$E:$E,MATCH($A54,'Program List'!$A:$A,0)))),"—")</f>
        <v>0.523936170212766</v>
      </c>
      <c r="K54" s="185" t="n">
        <f aca="false">IFERROR(IF(INDEX('Method A - Summary'!$E:$E,MATCH($A54,'Method A - Summary'!$A:$A,0))="","—",INDEX('Method A - Summary'!$E:$E,MATCH($A54,'Method A - Summary'!$A:$A,0))),"—")</f>
        <v>0.61038961038961</v>
      </c>
    </row>
    <row r="55" customFormat="false" ht="14.25" hidden="false" customHeight="false" outlineLevel="0" collapsed="false">
      <c r="A55" s="144" t="str">
        <f aca="false">'Program List'!A26</f>
        <v>M191</v>
      </c>
      <c r="B55" s="145" t="str">
        <f aca="false">'Program List'!B26</f>
        <v>Master of Science in Civil Engineering</v>
      </c>
      <c r="C55" s="112" t="n">
        <f aca="false">IF('HC by Program-Term'!$Y31="","—",'New vs Continuing — Term'!AS31)</f>
        <v>241</v>
      </c>
      <c r="D55" s="112" t="n">
        <f aca="false">IF('HC by Program-Term'!$Y31="","—",'HC by Program-Term'!V31)</f>
        <v>67</v>
      </c>
      <c r="E55" s="112" t="n">
        <f aca="false">IF('HC by Program-Term'!$Y31="","—",C55-D55)</f>
        <v>174</v>
      </c>
      <c r="F55" s="114" t="n">
        <f aca="false">IF('HC by Program-Term'!$Y31="","—",IF(C55=0,"—",E55/C55))</f>
        <v>0.721991701244813</v>
      </c>
      <c r="G55" s="113" t="n">
        <f aca="false">IFERROR(INDEX('Program List'!$E:$E,MATCH($A55,'Program List'!$A:$A,0)),"—")</f>
        <v>30</v>
      </c>
      <c r="H55" s="181" t="n">
        <f aca="false">IFERROR(IF(INDEX('Method A - Summary'!$F:$F,MATCH($A55,'Method A - Summary'!$A:$A,0))=0,"—",INDEX('Method A - Summary'!$F:$F,MATCH($A55,'Method A - Summary'!$A:$A,0))),"—")</f>
        <v>16.6446280991736</v>
      </c>
      <c r="I55" s="182" t="n">
        <f aca="false">IFERROR(IF(OR(INDEX('Method A - Summary'!$F:$F,MATCH($A55,'Method A - Summary'!$A:$A,0))=0,INDEX('Program List'!$E:$E,MATCH($A55,'Program List'!$A:$A,0))=0),"—",INDEX('Method A - Summary'!$F:$F,MATCH($A55,'Method A - Summary'!$A:$A,0))/INDEX('Program List'!$E:$E,MATCH($A55,'Program List'!$A:$A,0))),"—")</f>
        <v>0.55482093663912</v>
      </c>
      <c r="J55" s="183" t="n">
        <f aca="false">IFERROR(IF(OR(INDEX('Method A - Summary'!$F:$F,MATCH($A55,'Method A - Summary'!$A:$A,0))=0,INDEX('Program List'!$E:$E,MATCH($A55,'Program List'!$A:$A,0))=0),"—",MIN(1,INDEX('Method A - Summary'!$F:$F,MATCH($A55,'Method A - Summary'!$A:$A,0))/INDEX('Program List'!$E:$E,MATCH($A55,'Program List'!$A:$A,0)))),"—")</f>
        <v>0.55482093663912</v>
      </c>
      <c r="K55" s="114" t="n">
        <f aca="false">IFERROR(IF(INDEX('Method A - Summary'!$E:$E,MATCH($A55,'Method A - Summary'!$A:$A,0))="","—",INDEX('Method A - Summary'!$E:$E,MATCH($A55,'Method A - Summary'!$A:$A,0))),"—")</f>
        <v>0.83448275862069</v>
      </c>
    </row>
    <row r="56" customFormat="false" ht="14.25" hidden="false" customHeight="false" outlineLevel="0" collapsed="false">
      <c r="A56" s="148" t="str">
        <f aca="false">'Program List'!A27</f>
        <v>M260</v>
      </c>
      <c r="B56" s="149" t="str">
        <f aca="false">'Program List'!B27</f>
        <v>Master of Science in Criminal Justice</v>
      </c>
      <c r="C56" s="184" t="n">
        <f aca="false">IF('HC by Program-Term'!$Y32="","—",'New vs Continuing — Term'!AS32)</f>
        <v>345</v>
      </c>
      <c r="D56" s="184" t="n">
        <f aca="false">IF('HC by Program-Term'!$Y32="","—",'HC by Program-Term'!V32)</f>
        <v>63</v>
      </c>
      <c r="E56" s="184" t="n">
        <f aca="false">IF('HC by Program-Term'!$Y32="","—",C56-D56)</f>
        <v>282</v>
      </c>
      <c r="F56" s="185" t="n">
        <f aca="false">IF('HC by Program-Term'!$Y32="","—",IF(C56=0,"—",E56/C56))</f>
        <v>0.817391304347826</v>
      </c>
      <c r="G56" s="186" t="n">
        <f aca="false">IFERROR(INDEX('Program List'!$E:$E,MATCH($A56,'Program List'!$A:$A,0)),"—")</f>
        <v>30</v>
      </c>
      <c r="H56" s="187" t="n">
        <f aca="false">IFERROR(IF(INDEX('Method A - Summary'!$F:$F,MATCH($A56,'Method A - Summary'!$A:$A,0))=0,"—",INDEX('Method A - Summary'!$F:$F,MATCH($A56,'Method A - Summary'!$A:$A,0))),"—")</f>
        <v>21.2231404958678</v>
      </c>
      <c r="I56" s="188" t="n">
        <f aca="false">IFERROR(IF(OR(INDEX('Method A - Summary'!$F:$F,MATCH($A56,'Method A - Summary'!$A:$A,0))=0,INDEX('Program List'!$E:$E,MATCH($A56,'Program List'!$A:$A,0))=0),"—",INDEX('Method A - Summary'!$F:$F,MATCH($A56,'Method A - Summary'!$A:$A,0))/INDEX('Program List'!$E:$E,MATCH($A56,'Program List'!$A:$A,0))),"—")</f>
        <v>0.707438016528927</v>
      </c>
      <c r="J56" s="189" t="n">
        <f aca="false">IFERROR(IF(OR(INDEX('Method A - Summary'!$F:$F,MATCH($A56,'Method A - Summary'!$A:$A,0))=0,INDEX('Program List'!$E:$E,MATCH($A56,'Program List'!$A:$A,0))=0),"—",MIN(1,INDEX('Method A - Summary'!$F:$F,MATCH($A56,'Method A - Summary'!$A:$A,0))/INDEX('Program List'!$E:$E,MATCH($A56,'Program List'!$A:$A,0)))),"—")</f>
        <v>0.707438016528927</v>
      </c>
      <c r="K56" s="185" t="n">
        <f aca="false">IFERROR(IF(INDEX('Method A - Summary'!$E:$E,MATCH($A56,'Method A - Summary'!$A:$A,0))="","—",INDEX('Method A - Summary'!$E:$E,MATCH($A56,'Method A - Summary'!$A:$A,0))),"—")</f>
        <v>0.555045871559633</v>
      </c>
    </row>
    <row r="57" customFormat="false" ht="14.25" hidden="false" customHeight="false" outlineLevel="0" collapsed="false">
      <c r="A57" s="144" t="str">
        <f aca="false">'Program List'!A28</f>
        <v>M264</v>
      </c>
      <c r="B57" s="145" t="str">
        <f aca="false">'Program List'!B28</f>
        <v>Master of Science in Cybersecurity Leadership</v>
      </c>
      <c r="C57" s="112" t="str">
        <f aca="false">IF('HC by Program-Term'!$Y33="","—",'New vs Continuing — Term'!AS33)</f>
        <v>—</v>
      </c>
      <c r="D57" s="112" t="str">
        <f aca="false">IF('HC by Program-Term'!$Y33="","—",'HC by Program-Term'!V33)</f>
        <v>—</v>
      </c>
      <c r="E57" s="112" t="str">
        <f aca="false">IF('HC by Program-Term'!$Y33="","—",C57-D57)</f>
        <v>—</v>
      </c>
      <c r="F57" s="114" t="str">
        <f aca="false">IF('HC by Program-Term'!$Y33="","—",IF(C57=0,"—",E57/C57))</f>
        <v>—</v>
      </c>
      <c r="G57" s="113" t="n">
        <f aca="false">IFERROR(INDEX('Program List'!$E:$E,MATCH($A57,'Program List'!$A:$A,0)),"—")</f>
        <v>30</v>
      </c>
      <c r="H57" s="181" t="str">
        <f aca="false">IFERROR(IF(INDEX('Method A - Summary'!$F:$F,MATCH($A57,'Method A - Summary'!$A:$A,0))=0,"—",INDEX('Method A - Summary'!$F:$F,MATCH($A57,'Method A - Summary'!$A:$A,0))),"—")</f>
        <v>—</v>
      </c>
      <c r="I57" s="182" t="str">
        <f aca="false">IFERROR(IF(OR(INDEX('Method A - Summary'!$F:$F,MATCH($A57,'Method A - Summary'!$A:$A,0))=0,INDEX('Program List'!$E:$E,MATCH($A57,'Program List'!$A:$A,0))=0),"—",INDEX('Method A - Summary'!$F:$F,MATCH($A57,'Method A - Summary'!$A:$A,0))/INDEX('Program List'!$E:$E,MATCH($A57,'Program List'!$A:$A,0))),"—")</f>
        <v>—</v>
      </c>
      <c r="J57" s="183" t="str">
        <f aca="false">IFERROR(IF(OR(INDEX('Method A - Summary'!$F:$F,MATCH($A57,'Method A - Summary'!$A:$A,0))=0,INDEX('Program List'!$E:$E,MATCH($A57,'Program List'!$A:$A,0))=0),"—",MIN(1,INDEX('Method A - Summary'!$F:$F,MATCH($A57,'Method A - Summary'!$A:$A,0))/INDEX('Program List'!$E:$E,MATCH($A57,'Program List'!$A:$A,0)))),"—")</f>
        <v>—</v>
      </c>
      <c r="K57" s="114" t="str">
        <f aca="false">IFERROR(IF(INDEX('Method A - Summary'!$E:$E,MATCH($A57,'Method A - Summary'!$A:$A,0))="","—",INDEX('Method A - Summary'!$E:$E,MATCH($A57,'Method A - Summary'!$A:$A,0))),"—")</f>
        <v>—</v>
      </c>
    </row>
    <row r="58" customFormat="false" ht="14.25" hidden="false" customHeight="false" outlineLevel="0" collapsed="false">
      <c r="A58" s="148" t="str">
        <f aca="false">'Program List'!A29</f>
        <v>M374</v>
      </c>
      <c r="B58" s="149" t="str">
        <f aca="false">'Program List'!B29</f>
        <v>Master of Science in Engineering Leadership and Management</v>
      </c>
      <c r="C58" s="184" t="n">
        <f aca="false">IF('HC by Program-Term'!$Y34="","—",'New vs Continuing — Term'!AS34)</f>
        <v>187</v>
      </c>
      <c r="D58" s="184" t="n">
        <f aca="false">IF('HC by Program-Term'!$Y34="","—",'HC by Program-Term'!V34)</f>
        <v>91</v>
      </c>
      <c r="E58" s="184" t="n">
        <f aca="false">IF('HC by Program-Term'!$Y34="","—",C58-D58)</f>
        <v>96</v>
      </c>
      <c r="F58" s="185" t="n">
        <f aca="false">IF('HC by Program-Term'!$Y34="","—",IF(C58=0,"—",E58/C58))</f>
        <v>0.513368983957219</v>
      </c>
      <c r="G58" s="186" t="n">
        <f aca="false">IFERROR(INDEX('Program List'!$E:$E,MATCH($A58,'Program List'!$A:$A,0)),"—")</f>
        <v>30</v>
      </c>
      <c r="H58" s="187" t="n">
        <f aca="false">IFERROR(IF(INDEX('Method A - Summary'!$F:$F,MATCH($A58,'Method A - Summary'!$A:$A,0))=0,"—",INDEX('Method A - Summary'!$F:$F,MATCH($A58,'Method A - Summary'!$A:$A,0))),"—")</f>
        <v>16.5789473684211</v>
      </c>
      <c r="I58" s="188" t="n">
        <f aca="false">IFERROR(IF(OR(INDEX('Method A - Summary'!$F:$F,MATCH($A58,'Method A - Summary'!$A:$A,0))=0,INDEX('Program List'!$E:$E,MATCH($A58,'Program List'!$A:$A,0))=0),"—",INDEX('Method A - Summary'!$F:$F,MATCH($A58,'Method A - Summary'!$A:$A,0))/INDEX('Program List'!$E:$E,MATCH($A58,'Program List'!$A:$A,0))),"—")</f>
        <v>0.55263157894737</v>
      </c>
      <c r="J58" s="189" t="n">
        <f aca="false">IFERROR(IF(OR(INDEX('Method A - Summary'!$F:$F,MATCH($A58,'Method A - Summary'!$A:$A,0))=0,INDEX('Program List'!$E:$E,MATCH($A58,'Program List'!$A:$A,0))=0),"—",MIN(1,INDEX('Method A - Summary'!$F:$F,MATCH($A58,'Method A - Summary'!$A:$A,0))/INDEX('Program List'!$E:$E,MATCH($A58,'Program List'!$A:$A,0)))),"—")</f>
        <v>0.55263157894737</v>
      </c>
      <c r="K58" s="185" t="n">
        <f aca="false">IFERROR(IF(INDEX('Method A - Summary'!$E:$E,MATCH($A58,'Method A - Summary'!$A:$A,0))="","—",INDEX('Method A - Summary'!$E:$E,MATCH($A58,'Method A - Summary'!$A:$A,0))),"—")</f>
        <v>0.791666666666667</v>
      </c>
    </row>
    <row r="59" customFormat="false" ht="14.25" hidden="false" customHeight="false" outlineLevel="0" collapsed="false">
      <c r="A59" s="144" t="str">
        <f aca="false">'Program List'!A30</f>
        <v>M435</v>
      </c>
      <c r="B59" s="145" t="str">
        <f aca="false">'Program List'!B30</f>
        <v>Master of Science in Finance</v>
      </c>
      <c r="C59" s="112" t="n">
        <f aca="false">IF('HC by Program-Term'!$Y35="","—",'New vs Continuing — Term'!AS35)</f>
        <v>402</v>
      </c>
      <c r="D59" s="112" t="n">
        <f aca="false">IF('HC by Program-Term'!$Y35="","—",'HC by Program-Term'!V35)</f>
        <v>77</v>
      </c>
      <c r="E59" s="112" t="n">
        <f aca="false">IF('HC by Program-Term'!$Y35="","—",C59-D59)</f>
        <v>325</v>
      </c>
      <c r="F59" s="114" t="n">
        <f aca="false">IF('HC by Program-Term'!$Y35="","—",IF(C59=0,"—",E59/C59))</f>
        <v>0.808457711442786</v>
      </c>
      <c r="G59" s="113" t="n">
        <f aca="false">IFERROR(INDEX('Program List'!$E:$E,MATCH($A59,'Program List'!$A:$A,0)),"—")</f>
        <v>32</v>
      </c>
      <c r="H59" s="181" t="n">
        <f aca="false">IFERROR(IF(INDEX('Method A - Summary'!$F:$F,MATCH($A59,'Method A - Summary'!$A:$A,0))=0,"—",INDEX('Method A - Summary'!$F:$F,MATCH($A59,'Method A - Summary'!$A:$A,0))),"—")</f>
        <v>15.374358974359</v>
      </c>
      <c r="I59" s="182" t="n">
        <f aca="false">IFERROR(IF(OR(INDEX('Method A - Summary'!$F:$F,MATCH($A59,'Method A - Summary'!$A:$A,0))=0,INDEX('Program List'!$E:$E,MATCH($A59,'Program List'!$A:$A,0))=0),"—",INDEX('Method A - Summary'!$F:$F,MATCH($A59,'Method A - Summary'!$A:$A,0))/INDEX('Program List'!$E:$E,MATCH($A59,'Program List'!$A:$A,0))),"—")</f>
        <v>0.480448717948719</v>
      </c>
      <c r="J59" s="183" t="n">
        <f aca="false">IFERROR(IF(OR(INDEX('Method A - Summary'!$F:$F,MATCH($A59,'Method A - Summary'!$A:$A,0))=0,INDEX('Program List'!$E:$E,MATCH($A59,'Program List'!$A:$A,0))=0),"—",MIN(1,INDEX('Method A - Summary'!$F:$F,MATCH($A59,'Method A - Summary'!$A:$A,0))/INDEX('Program List'!$E:$E,MATCH($A59,'Program List'!$A:$A,0)))),"—")</f>
        <v>0.480448717948719</v>
      </c>
      <c r="K59" s="114" t="n">
        <f aca="false">IFERROR(IF(INDEX('Method A - Summary'!$E:$E,MATCH($A59,'Method A - Summary'!$A:$A,0))="","—",INDEX('Method A - Summary'!$E:$E,MATCH($A59,'Method A - Summary'!$A:$A,0))),"—")</f>
        <v>0.744274809160305</v>
      </c>
    </row>
    <row r="60" customFormat="false" ht="14.25" hidden="false" customHeight="false" outlineLevel="0" collapsed="false">
      <c r="A60" s="148" t="str">
        <f aca="false">'Program List'!A31</f>
        <v>M464</v>
      </c>
      <c r="B60" s="149" t="str">
        <f aca="false">'Program List'!B31</f>
        <v>Master of Science in Geospatial Technology</v>
      </c>
      <c r="C60" s="184" t="n">
        <f aca="false">IF('HC by Program-Term'!$Y36="","—",'New vs Continuing — Term'!AS36)</f>
        <v>131</v>
      </c>
      <c r="D60" s="184" t="n">
        <f aca="false">IF('HC by Program-Term'!$Y36="","—",'HC by Program-Term'!V36)</f>
        <v>15</v>
      </c>
      <c r="E60" s="184" t="n">
        <f aca="false">IF('HC by Program-Term'!$Y36="","—",C60-D60)</f>
        <v>116</v>
      </c>
      <c r="F60" s="185" t="n">
        <f aca="false">IF('HC by Program-Term'!$Y36="","—",IF(C60=0,"—",E60/C60))</f>
        <v>0.885496183206107</v>
      </c>
      <c r="G60" s="186" t="n">
        <f aca="false">IFERROR(INDEX('Program List'!$E:$E,MATCH($A60,'Program List'!$A:$A,0)),"—")</f>
        <v>33</v>
      </c>
      <c r="H60" s="187" t="n">
        <f aca="false">IFERROR(IF(INDEX('Method A - Summary'!$F:$F,MATCH($A60,'Method A - Summary'!$A:$A,0))=0,"—",INDEX('Method A - Summary'!$F:$F,MATCH($A60,'Method A - Summary'!$A:$A,0))),"—")</f>
        <v>20.4583333333333</v>
      </c>
      <c r="I60" s="188" t="n">
        <f aca="false">IFERROR(IF(OR(INDEX('Method A - Summary'!$F:$F,MATCH($A60,'Method A - Summary'!$A:$A,0))=0,INDEX('Program List'!$E:$E,MATCH($A60,'Program List'!$A:$A,0))=0),"—",INDEX('Method A - Summary'!$F:$F,MATCH($A60,'Method A - Summary'!$A:$A,0))/INDEX('Program List'!$E:$E,MATCH($A60,'Program List'!$A:$A,0))),"—")</f>
        <v>0.619949494949494</v>
      </c>
      <c r="J60" s="189" t="n">
        <f aca="false">IFERROR(IF(OR(INDEX('Method A - Summary'!$F:$F,MATCH($A60,'Method A - Summary'!$A:$A,0))=0,INDEX('Program List'!$E:$E,MATCH($A60,'Program List'!$A:$A,0))=0),"—",MIN(1,INDEX('Method A - Summary'!$F:$F,MATCH($A60,'Method A - Summary'!$A:$A,0))/INDEX('Program List'!$E:$E,MATCH($A60,'Program List'!$A:$A,0)))),"—")</f>
        <v>0.619949494949494</v>
      </c>
      <c r="K60" s="185" t="n">
        <f aca="false">IFERROR(IF(INDEX('Method A - Summary'!$E:$E,MATCH($A60,'Method A - Summary'!$A:$A,0))="","—",INDEX('Method A - Summary'!$E:$E,MATCH($A60,'Method A - Summary'!$A:$A,0))),"—")</f>
        <v>0.699029126213592</v>
      </c>
    </row>
    <row r="61" customFormat="false" ht="14.25" hidden="false" customHeight="false" outlineLevel="0" collapsed="false">
      <c r="A61" s="144" t="str">
        <f aca="false">'Program List'!A32</f>
        <v>M527</v>
      </c>
      <c r="B61" s="145" t="str">
        <f aca="false">'Program List'!B32</f>
        <v>Master of Science in Industrial and Systems Engineering</v>
      </c>
      <c r="C61" s="112" t="n">
        <f aca="false">IF('HC by Program-Term'!$Y37="","—",'New vs Continuing — Term'!AS37)</f>
        <v>246</v>
      </c>
      <c r="D61" s="112" t="n">
        <f aca="false">IF('HC by Program-Term'!$Y37="","—",'HC by Program-Term'!V37)</f>
        <v>93</v>
      </c>
      <c r="E61" s="112" t="n">
        <f aca="false">IF('HC by Program-Term'!$Y37="","—",C61-D61)</f>
        <v>153</v>
      </c>
      <c r="F61" s="114" t="n">
        <f aca="false">IF('HC by Program-Term'!$Y37="","—",IF(C61=0,"—",E61/C61))</f>
        <v>0.621951219512195</v>
      </c>
      <c r="G61" s="113" t="n">
        <f aca="false">IFERROR(INDEX('Program List'!$E:$E,MATCH($A61,'Program List'!$A:$A,0)),"—")</f>
        <v>30</v>
      </c>
      <c r="H61" s="181" t="n">
        <f aca="false">IFERROR(IF(INDEX('Method A - Summary'!$F:$F,MATCH($A61,'Method A - Summary'!$A:$A,0))=0,"—",INDEX('Method A - Summary'!$F:$F,MATCH($A61,'Method A - Summary'!$A:$A,0))),"—")</f>
        <v>18.4444444444444</v>
      </c>
      <c r="I61" s="182" t="n">
        <f aca="false">IFERROR(IF(OR(INDEX('Method A - Summary'!$F:$F,MATCH($A61,'Method A - Summary'!$A:$A,0))=0,INDEX('Program List'!$E:$E,MATCH($A61,'Program List'!$A:$A,0))=0),"—",INDEX('Method A - Summary'!$F:$F,MATCH($A61,'Method A - Summary'!$A:$A,0))/INDEX('Program List'!$E:$E,MATCH($A61,'Program List'!$A:$A,0))),"—")</f>
        <v>0.614814814814813</v>
      </c>
      <c r="J61" s="183" t="n">
        <f aca="false">IFERROR(IF(OR(INDEX('Method A - Summary'!$F:$F,MATCH($A61,'Method A - Summary'!$A:$A,0))=0,INDEX('Program List'!$E:$E,MATCH($A61,'Program List'!$A:$A,0))=0),"—",MIN(1,INDEX('Method A - Summary'!$F:$F,MATCH($A61,'Method A - Summary'!$A:$A,0))/INDEX('Program List'!$E:$E,MATCH($A61,'Program List'!$A:$A,0)))),"—")</f>
        <v>0.614814814814813</v>
      </c>
      <c r="K61" s="114" t="n">
        <f aca="false">IFERROR(IF(INDEX('Method A - Summary'!$E:$E,MATCH($A61,'Method A - Summary'!$A:$A,0))="","—",INDEX('Method A - Summary'!$E:$E,MATCH($A61,'Method A - Summary'!$A:$A,0))),"—")</f>
        <v>0.593406593406593</v>
      </c>
    </row>
    <row r="62" customFormat="false" ht="14.25" hidden="false" customHeight="false" outlineLevel="0" collapsed="false">
      <c r="A62" s="148" t="str">
        <f aca="false">'Program List'!A33</f>
        <v>M746</v>
      </c>
      <c r="B62" s="149" t="str">
        <f aca="false">'Program List'!B33</f>
        <v>Master of Science in Natural Gas Engineering and Management</v>
      </c>
      <c r="C62" s="184" t="n">
        <f aca="false">IF('HC by Program-Term'!$Y38="","—",'New vs Continuing — Term'!AS38)</f>
        <v>175</v>
      </c>
      <c r="D62" s="184" t="n">
        <f aca="false">IF('HC by Program-Term'!$Y38="","—",'HC by Program-Term'!V38)</f>
        <v>59</v>
      </c>
      <c r="E62" s="184" t="n">
        <f aca="false">IF('HC by Program-Term'!$Y38="","—",C62-D62)</f>
        <v>116</v>
      </c>
      <c r="F62" s="185" t="n">
        <f aca="false">IF('HC by Program-Term'!$Y38="","—",IF(C62=0,"—",E62/C62))</f>
        <v>0.662857142857143</v>
      </c>
      <c r="G62" s="186" t="n">
        <f aca="false">IFERROR(INDEX('Program List'!$E:$E,MATCH($A62,'Program List'!$A:$A,0)),"—")</f>
        <v>30</v>
      </c>
      <c r="H62" s="187" t="n">
        <f aca="false">IFERROR(IF(INDEX('Method A - Summary'!$F:$F,MATCH($A62,'Method A - Summary'!$A:$A,0))=0,"—",INDEX('Method A - Summary'!$F:$F,MATCH($A62,'Method A - Summary'!$A:$A,0))),"—")</f>
        <v>19.4074074074074</v>
      </c>
      <c r="I62" s="188" t="n">
        <f aca="false">IFERROR(IF(OR(INDEX('Method A - Summary'!$F:$F,MATCH($A62,'Method A - Summary'!$A:$A,0))=0,INDEX('Program List'!$E:$E,MATCH($A62,'Program List'!$A:$A,0))=0),"—",INDEX('Method A - Summary'!$F:$F,MATCH($A62,'Method A - Summary'!$A:$A,0))/INDEX('Program List'!$E:$E,MATCH($A62,'Program List'!$A:$A,0))),"—")</f>
        <v>0.646913580246913</v>
      </c>
      <c r="J62" s="189" t="n">
        <f aca="false">IFERROR(IF(OR(INDEX('Method A - Summary'!$F:$F,MATCH($A62,'Method A - Summary'!$A:$A,0))=0,INDEX('Program List'!$E:$E,MATCH($A62,'Program List'!$A:$A,0))=0),"—",MIN(1,INDEX('Method A - Summary'!$F:$F,MATCH($A62,'Method A - Summary'!$A:$A,0))/INDEX('Program List'!$E:$E,MATCH($A62,'Program List'!$A:$A,0)))),"—")</f>
        <v>0.646913580246913</v>
      </c>
      <c r="K62" s="185" t="n">
        <f aca="false">IFERROR(IF(INDEX('Method A - Summary'!$E:$E,MATCH($A62,'Method A - Summary'!$A:$A,0))="","—",INDEX('Method A - Summary'!$E:$E,MATCH($A62,'Method A - Summary'!$A:$A,0))),"—")</f>
        <v>0.658536585365854</v>
      </c>
    </row>
    <row r="63" customFormat="false" ht="14.25" hidden="false" customHeight="false" outlineLevel="0" collapsed="false">
      <c r="A63" s="144" t="str">
        <f aca="false">'Program List'!A34</f>
        <v>M861</v>
      </c>
      <c r="B63" s="145" t="str">
        <f aca="false">'Program List'!B34</f>
        <v>Master of Science in Supply Chain Management</v>
      </c>
      <c r="C63" s="112" t="n">
        <f aca="false">IF('HC by Program-Term'!$Y39="","—",'New vs Continuing — Term'!AS39)</f>
        <v>217</v>
      </c>
      <c r="D63" s="112" t="n">
        <f aca="false">IF('HC by Program-Term'!$Y39="","—",'HC by Program-Term'!V39)</f>
        <v>80</v>
      </c>
      <c r="E63" s="112" t="n">
        <f aca="false">IF('HC by Program-Term'!$Y39="","—",C63-D63)</f>
        <v>137</v>
      </c>
      <c r="F63" s="114" t="n">
        <f aca="false">IF('HC by Program-Term'!$Y39="","—",IF(C63=0,"—",E63/C63))</f>
        <v>0.631336405529954</v>
      </c>
      <c r="G63" s="113" t="n">
        <f aca="false">IFERROR(INDEX('Program List'!$E:$E,MATCH($A63,'Program List'!$A:$A,0)),"—")</f>
        <v>32</v>
      </c>
      <c r="H63" s="181" t="n">
        <f aca="false">IFERROR(IF(INDEX('Method A - Summary'!$F:$F,MATCH($A63,'Method A - Summary'!$A:$A,0))=0,"—",INDEX('Method A - Summary'!$F:$F,MATCH($A63,'Method A - Summary'!$A:$A,0))),"—")</f>
        <v>15</v>
      </c>
      <c r="I63" s="182" t="n">
        <f aca="false">IFERROR(IF(OR(INDEX('Method A - Summary'!$F:$F,MATCH($A63,'Method A - Summary'!$A:$A,0))=0,INDEX('Program List'!$E:$E,MATCH($A63,'Program List'!$A:$A,0))=0),"—",INDEX('Method A - Summary'!$F:$F,MATCH($A63,'Method A - Summary'!$A:$A,0))/INDEX('Program List'!$E:$E,MATCH($A63,'Program List'!$A:$A,0))),"—")</f>
        <v>0.46875</v>
      </c>
      <c r="J63" s="183" t="n">
        <f aca="false">IFERROR(IF(OR(INDEX('Method A - Summary'!$F:$F,MATCH($A63,'Method A - Summary'!$A:$A,0))=0,INDEX('Program List'!$E:$E,MATCH($A63,'Program List'!$A:$A,0))=0),"—",MIN(1,INDEX('Method A - Summary'!$F:$F,MATCH($A63,'Method A - Summary'!$A:$A,0))/INDEX('Program List'!$E:$E,MATCH($A63,'Program List'!$A:$A,0)))),"—")</f>
        <v>0.46875</v>
      </c>
      <c r="K63" s="114" t="n">
        <f aca="false">IFERROR(IF(INDEX('Method A - Summary'!$E:$E,MATCH($A63,'Method A - Summary'!$A:$A,0))="","—",INDEX('Method A - Summary'!$E:$E,MATCH($A63,'Method A - Summary'!$A:$A,0))),"—")</f>
        <v>0.818181818181818</v>
      </c>
    </row>
    <row r="64" customFormat="false" ht="14.25" hidden="false" customHeight="false" outlineLevel="0" collapsed="false">
      <c r="A64" s="148" t="str">
        <f aca="false">'Program List'!A35</f>
        <v>M869</v>
      </c>
      <c r="B64" s="149" t="str">
        <f aca="false">'Program List'!B35</f>
        <v>Master of Science in Sustainability - Energy and Materials Mgmt</v>
      </c>
      <c r="C64" s="184" t="n">
        <f aca="false">IF('HC by Program-Term'!$Y40="","—",'New vs Continuing — Term'!AS40)</f>
        <v>129</v>
      </c>
      <c r="D64" s="184" t="n">
        <f aca="false">IF('HC by Program-Term'!$Y40="","—",'HC by Program-Term'!V40)</f>
        <v>40</v>
      </c>
      <c r="E64" s="184" t="n">
        <f aca="false">IF('HC by Program-Term'!$Y40="","—",C64-D64)</f>
        <v>89</v>
      </c>
      <c r="F64" s="185" t="n">
        <f aca="false">IF('HC by Program-Term'!$Y40="","—",IF(C64=0,"—",E64/C64))</f>
        <v>0.689922480620155</v>
      </c>
      <c r="G64" s="186" t="n">
        <f aca="false">IFERROR(INDEX('Program List'!$E:$E,MATCH($A64,'Program List'!$A:$A,0)),"—")</f>
        <v>30</v>
      </c>
      <c r="H64" s="187" t="n">
        <f aca="false">IFERROR(IF(INDEX('Method A - Summary'!$F:$F,MATCH($A64,'Method A - Summary'!$A:$A,0))=0,"—",INDEX('Method A - Summary'!$F:$F,MATCH($A64,'Method A - Summary'!$A:$A,0))),"—")</f>
        <v>15.5625</v>
      </c>
      <c r="I64" s="188" t="n">
        <f aca="false">IFERROR(IF(OR(INDEX('Method A - Summary'!$F:$F,MATCH($A64,'Method A - Summary'!$A:$A,0))=0,INDEX('Program List'!$E:$E,MATCH($A64,'Program List'!$A:$A,0))=0),"—",INDEX('Method A - Summary'!$F:$F,MATCH($A64,'Method A - Summary'!$A:$A,0))/INDEX('Program List'!$E:$E,MATCH($A64,'Program List'!$A:$A,0))),"—")</f>
        <v>0.51875</v>
      </c>
      <c r="J64" s="189" t="n">
        <f aca="false">IFERROR(IF(OR(INDEX('Method A - Summary'!$F:$F,MATCH($A64,'Method A - Summary'!$A:$A,0))=0,INDEX('Program List'!$E:$E,MATCH($A64,'Program List'!$A:$A,0))=0),"—",MIN(1,INDEX('Method A - Summary'!$F:$F,MATCH($A64,'Method A - Summary'!$A:$A,0))/INDEX('Program List'!$E:$E,MATCH($A64,'Program List'!$A:$A,0)))),"—")</f>
        <v>0.51875</v>
      </c>
      <c r="K64" s="185" t="n">
        <f aca="false">IFERROR(IF(INDEX('Method A - Summary'!$E:$E,MATCH($A64,'Method A - Summary'!$A:$A,0))="","—",INDEX('Method A - Summary'!$E:$E,MATCH($A64,'Method A - Summary'!$A:$A,0))),"—")</f>
        <v>0.615384615384615</v>
      </c>
    </row>
    <row r="65" customFormat="false" ht="14.25" hidden="false" customHeight="false" outlineLevel="0" collapsed="false">
      <c r="A65" s="144" t="str">
        <f aca="false">'Program List'!A36</f>
        <v>M867</v>
      </c>
      <c r="B65" s="145" t="str">
        <f aca="false">'Program List'!B36</f>
        <v>Master of Science in Sustainable Architecture</v>
      </c>
      <c r="C65" s="112" t="n">
        <f aca="false">IF('HC by Program-Term'!$Y41="","—",'New vs Continuing — Term'!AS41)</f>
        <v>71</v>
      </c>
      <c r="D65" s="112" t="n">
        <f aca="false">IF('HC by Program-Term'!$Y41="","—",'HC by Program-Term'!V41)</f>
        <v>19</v>
      </c>
      <c r="E65" s="112" t="n">
        <f aca="false">IF('HC by Program-Term'!$Y41="","—",C65-D65)</f>
        <v>52</v>
      </c>
      <c r="F65" s="114" t="n">
        <f aca="false">IF('HC by Program-Term'!$Y41="","—",IF(C65=0,"—",E65/C65))</f>
        <v>0.732394366197183</v>
      </c>
      <c r="G65" s="113" t="n">
        <f aca="false">IFERROR(INDEX('Program List'!$E:$E,MATCH($A65,'Program List'!$A:$A,0)),"—")</f>
        <v>30</v>
      </c>
      <c r="H65" s="181" t="n">
        <f aca="false">IFERROR(IF(INDEX('Method A - Summary'!$F:$F,MATCH($A65,'Method A - Summary'!$A:$A,0))=0,"—",INDEX('Method A - Summary'!$F:$F,MATCH($A65,'Method A - Summary'!$A:$A,0))),"—")</f>
        <v>13.7333333333333</v>
      </c>
      <c r="I65" s="182" t="n">
        <f aca="false">IFERROR(IF(OR(INDEX('Method A - Summary'!$F:$F,MATCH($A65,'Method A - Summary'!$A:$A,0))=0,INDEX('Program List'!$E:$E,MATCH($A65,'Program List'!$A:$A,0))=0),"—",INDEX('Method A - Summary'!$F:$F,MATCH($A65,'Method A - Summary'!$A:$A,0))/INDEX('Program List'!$E:$E,MATCH($A65,'Program List'!$A:$A,0))),"—")</f>
        <v>0.457777777777777</v>
      </c>
      <c r="J65" s="183" t="n">
        <f aca="false">IFERROR(IF(OR(INDEX('Method A - Summary'!$F:$F,MATCH($A65,'Method A - Summary'!$A:$A,0))=0,INDEX('Program List'!$E:$E,MATCH($A65,'Program List'!$A:$A,0))=0),"—",MIN(1,INDEX('Method A - Summary'!$F:$F,MATCH($A65,'Method A - Summary'!$A:$A,0))/INDEX('Program List'!$E:$E,MATCH($A65,'Program List'!$A:$A,0)))),"—")</f>
        <v>0.457777777777777</v>
      </c>
      <c r="K65" s="114" t="n">
        <f aca="false">IFERROR(IF(INDEX('Method A - Summary'!$E:$E,MATCH($A65,'Method A - Summary'!$A:$A,0))="","—",INDEX('Method A - Summary'!$E:$E,MATCH($A65,'Method A - Summary'!$A:$A,0))),"—")</f>
        <v>0.75</v>
      </c>
    </row>
    <row r="66" customFormat="false" ht="14.25" hidden="false" customHeight="false" outlineLevel="0" collapsed="false">
      <c r="A66" s="148" t="str">
        <f aca="false">'Program List'!A37</f>
        <v>M844</v>
      </c>
      <c r="B66" s="149" t="str">
        <f aca="false">'Program List'!B37</f>
        <v>Master of Social Work</v>
      </c>
      <c r="C66" s="184" t="n">
        <f aca="false">IF('HC by Program-Term'!$Y42="","—",'New vs Continuing — Term'!AS42)</f>
        <v>1245</v>
      </c>
      <c r="D66" s="184" t="n">
        <f aca="false">IF('HC by Program-Term'!$Y42="","—",'HC by Program-Term'!V42)</f>
        <v>468</v>
      </c>
      <c r="E66" s="184" t="n">
        <f aca="false">IF('HC by Program-Term'!$Y42="","—",C66-D66)</f>
        <v>777</v>
      </c>
      <c r="F66" s="185" t="n">
        <f aca="false">IF('HC by Program-Term'!$Y42="","—",IF(C66=0,"—",E66/C66))</f>
        <v>0.624096385542169</v>
      </c>
      <c r="G66" s="186" t="n">
        <f aca="false">IFERROR(INDEX('Program List'!$E:$E,MATCH($A66,'Program List'!$A:$A,0)),"—")</f>
        <v>60</v>
      </c>
      <c r="H66" s="187" t="n">
        <f aca="false">IFERROR(IF(INDEX('Method A - Summary'!$F:$F,MATCH($A66,'Method A - Summary'!$A:$A,0))=0,"—",INDEX('Method A - Summary'!$F:$F,MATCH($A66,'Method A - Summary'!$A:$A,0))),"—")</f>
        <v>40.8117647058824</v>
      </c>
      <c r="I66" s="188" t="n">
        <f aca="false">IFERROR(IF(OR(INDEX('Method A - Summary'!$F:$F,MATCH($A66,'Method A - Summary'!$A:$A,0))=0,INDEX('Program List'!$E:$E,MATCH($A66,'Program List'!$A:$A,0))=0),"—",INDEX('Method A - Summary'!$F:$F,MATCH($A66,'Method A - Summary'!$A:$A,0))/INDEX('Program List'!$E:$E,MATCH($A66,'Program List'!$A:$A,0))),"—")</f>
        <v>0.680196078431373</v>
      </c>
      <c r="J66" s="189" t="n">
        <f aca="false">IFERROR(IF(OR(INDEX('Method A - Summary'!$F:$F,MATCH($A66,'Method A - Summary'!$A:$A,0))=0,INDEX('Program List'!$E:$E,MATCH($A66,'Program List'!$A:$A,0))=0),"—",MIN(1,INDEX('Method A - Summary'!$F:$F,MATCH($A66,'Method A - Summary'!$A:$A,0))/INDEX('Program List'!$E:$E,MATCH($A66,'Program List'!$A:$A,0)))),"—")</f>
        <v>0.680196078431373</v>
      </c>
      <c r="K66" s="185" t="n">
        <f aca="false">IFERROR(IF(INDEX('Method A - Summary'!$E:$E,MATCH($A66,'Method A - Summary'!$A:$A,0))="","—",INDEX('Method A - Summary'!$E:$E,MATCH($A66,'Method A - Summary'!$A:$A,0))),"—")</f>
        <v>0.771725032425422</v>
      </c>
    </row>
    <row r="67" customFormat="false" ht="14.25" hidden="false" customHeight="false" outlineLevel="0" collapsed="false">
      <c r="A67" s="144" t="str">
        <f aca="false">'Program List'!A38</f>
        <v>1237Q</v>
      </c>
      <c r="B67" s="145" t="str">
        <f aca="false">'Program List'!B38</f>
        <v>Masters in Public Health</v>
      </c>
      <c r="C67" s="112" t="str">
        <f aca="false">IF('HC by Program-Term'!$Y43="","—",'New vs Continuing — Term'!AS43)</f>
        <v>—</v>
      </c>
      <c r="D67" s="112" t="str">
        <f aca="false">IF('HC by Program-Term'!$Y43="","—",'HC by Program-Term'!V43)</f>
        <v>—</v>
      </c>
      <c r="E67" s="112" t="str">
        <f aca="false">IF('HC by Program-Term'!$Y43="","—",C67-D67)</f>
        <v>—</v>
      </c>
      <c r="F67" s="114" t="str">
        <f aca="false">IF('HC by Program-Term'!$Y43="","—",IF(C67=0,"—",E67/C67))</f>
        <v>—</v>
      </c>
      <c r="G67" s="113" t="n">
        <f aca="false">IFERROR(INDEX('Program List'!$E:$E,MATCH($A67,'Program List'!$A:$A,0)),"—")</f>
        <v>42</v>
      </c>
      <c r="H67" s="181" t="str">
        <f aca="false">IFERROR(IF(INDEX('Method A - Summary'!$F:$F,MATCH($A67,'Method A - Summary'!$A:$A,0))=0,"—",INDEX('Method A - Summary'!$F:$F,MATCH($A67,'Method A - Summary'!$A:$A,0))),"—")</f>
        <v>—</v>
      </c>
      <c r="I67" s="182" t="str">
        <f aca="false">IFERROR(IF(OR(INDEX('Method A - Summary'!$F:$F,MATCH($A67,'Method A - Summary'!$A:$A,0))=0,INDEX('Program List'!$E:$E,MATCH($A67,'Program List'!$A:$A,0))=0),"—",INDEX('Method A - Summary'!$F:$F,MATCH($A67,'Method A - Summary'!$A:$A,0))/INDEX('Program List'!$E:$E,MATCH($A67,'Program List'!$A:$A,0))),"—")</f>
        <v>—</v>
      </c>
      <c r="J67" s="183" t="str">
        <f aca="false">IFERROR(IF(OR(INDEX('Method A - Summary'!$F:$F,MATCH($A67,'Method A - Summary'!$A:$A,0))=0,INDEX('Program List'!$E:$E,MATCH($A67,'Program List'!$A:$A,0))=0),"—",MIN(1,INDEX('Method A - Summary'!$F:$F,MATCH($A67,'Method A - Summary'!$A:$A,0))/INDEX('Program List'!$E:$E,MATCH($A67,'Program List'!$A:$A,0)))),"—")</f>
        <v>—</v>
      </c>
      <c r="K67" s="114" t="str">
        <f aca="false">IFERROR(IF(INDEX('Method A - Summary'!$E:$E,MATCH($A67,'Method A - Summary'!$A:$A,0))="","—",INDEX('Method A - Summary'!$E:$E,MATCH($A67,'Method A - Summary'!$A:$A,0))),"—")</f>
        <v>—</v>
      </c>
    </row>
    <row r="68" customFormat="false" ht="14.25" hidden="false" customHeight="false" outlineLevel="0" collapsed="false">
      <c r="A68" s="148" t="str">
        <f aca="false">'Program List'!A39</f>
        <v>M355</v>
      </c>
      <c r="B68" s="149" t="str">
        <f aca="false">'Program List'!B39</f>
        <v>Online LL.M. Energy and Natural Resources</v>
      </c>
      <c r="C68" s="184" t="n">
        <f aca="false">IF('HC by Program-Term'!$Y44="","—",'New vs Continuing — Term'!AS44)</f>
        <v>16</v>
      </c>
      <c r="D68" s="184" t="n">
        <f aca="false">IF('HC by Program-Term'!$Y44="","—",'HC by Program-Term'!V44)</f>
        <v>2</v>
      </c>
      <c r="E68" s="184" t="n">
        <f aca="false">IF('HC by Program-Term'!$Y44="","—",C68-D68)</f>
        <v>14</v>
      </c>
      <c r="F68" s="185" t="n">
        <f aca="false">IF('HC by Program-Term'!$Y44="","—",IF(C68=0,"—",E68/C68))</f>
        <v>0.875</v>
      </c>
      <c r="G68" s="186" t="n">
        <f aca="false">IFERROR(INDEX('Program List'!$E:$E,MATCH($A68,'Program List'!$A:$A,0)),"—")</f>
        <v>24</v>
      </c>
      <c r="H68" s="187" t="n">
        <f aca="false">IFERROR(IF(INDEX('Method A - Summary'!$F:$F,MATCH($A68,'Method A - Summary'!$A:$A,0))=0,"—",INDEX('Method A - Summary'!$F:$F,MATCH($A68,'Method A - Summary'!$A:$A,0))),"—")</f>
        <v>12.5</v>
      </c>
      <c r="I68" s="188" t="n">
        <f aca="false">IFERROR(IF(OR(INDEX('Method A - Summary'!$F:$F,MATCH($A68,'Method A - Summary'!$A:$A,0))=0,INDEX('Program List'!$E:$E,MATCH($A68,'Program List'!$A:$A,0))=0),"—",INDEX('Method A - Summary'!$F:$F,MATCH($A68,'Method A - Summary'!$A:$A,0))/INDEX('Program List'!$E:$E,MATCH($A68,'Program List'!$A:$A,0))),"—")</f>
        <v>0.520833333333333</v>
      </c>
      <c r="J68" s="189" t="n">
        <f aca="false">IFERROR(IF(OR(INDEX('Method A - Summary'!$F:$F,MATCH($A68,'Method A - Summary'!$A:$A,0))=0,INDEX('Program List'!$E:$E,MATCH($A68,'Program List'!$A:$A,0))=0),"—",MIN(1,INDEX('Method A - Summary'!$F:$F,MATCH($A68,'Method A - Summary'!$A:$A,0))/INDEX('Program List'!$E:$E,MATCH($A68,'Program List'!$A:$A,0)))),"—")</f>
        <v>0.520833333333333</v>
      </c>
      <c r="K68" s="185" t="n">
        <f aca="false">IFERROR(IF(INDEX('Method A - Summary'!$E:$E,MATCH($A68,'Method A - Summary'!$A:$A,0))="","—",INDEX('Method A - Summary'!$E:$E,MATCH($A68,'Method A - Summary'!$A:$A,0))),"—")</f>
        <v>0.444444444444444</v>
      </c>
    </row>
    <row r="69" customFormat="false" ht="14.25" hidden="false" customHeight="false" outlineLevel="0" collapsed="false">
      <c r="A69" s="144" t="str">
        <f aca="false">'Program List'!A40</f>
        <v>M504</v>
      </c>
      <c r="B69" s="145" t="str">
        <f aca="false">'Program List'!B40</f>
        <v>Online LL.M. Healthcare Law</v>
      </c>
      <c r="C69" s="112" t="n">
        <f aca="false">IF('HC by Program-Term'!$Y45="","—",'New vs Continuing — Term'!AS45)</f>
        <v>16</v>
      </c>
      <c r="D69" s="112" t="n">
        <f aca="false">IF('HC by Program-Term'!$Y45="","—",'HC by Program-Term'!V45)</f>
        <v>3</v>
      </c>
      <c r="E69" s="112" t="n">
        <f aca="false">IF('HC by Program-Term'!$Y45="","—",C69-D69)</f>
        <v>13</v>
      </c>
      <c r="F69" s="114" t="n">
        <f aca="false">IF('HC by Program-Term'!$Y45="","—",IF(C69=0,"—",E69/C69))</f>
        <v>0.8125</v>
      </c>
      <c r="G69" s="113" t="n">
        <f aca="false">IFERROR(INDEX('Program List'!$E:$E,MATCH($A69,'Program List'!$A:$A,0)),"—")</f>
        <v>24</v>
      </c>
      <c r="H69" s="181" t="n">
        <f aca="false">IFERROR(IF(INDEX('Method A - Summary'!$F:$F,MATCH($A69,'Method A - Summary'!$A:$A,0))=0,"—",INDEX('Method A - Summary'!$F:$F,MATCH($A69,'Method A - Summary'!$A:$A,0))),"—")</f>
        <v>11.3333333333333</v>
      </c>
      <c r="I69" s="182" t="n">
        <f aca="false">IFERROR(IF(OR(INDEX('Method A - Summary'!$F:$F,MATCH($A69,'Method A - Summary'!$A:$A,0))=0,INDEX('Program List'!$E:$E,MATCH($A69,'Program List'!$A:$A,0))=0),"—",INDEX('Method A - Summary'!$F:$F,MATCH($A69,'Method A - Summary'!$A:$A,0))/INDEX('Program List'!$E:$E,MATCH($A69,'Program List'!$A:$A,0))),"—")</f>
        <v>0.472222222222221</v>
      </c>
      <c r="J69" s="183" t="n">
        <f aca="false">IFERROR(IF(OR(INDEX('Method A - Summary'!$F:$F,MATCH($A69,'Method A - Summary'!$A:$A,0))=0,INDEX('Program List'!$E:$E,MATCH($A69,'Program List'!$A:$A,0))=0),"—",MIN(1,INDEX('Method A - Summary'!$F:$F,MATCH($A69,'Method A - Summary'!$A:$A,0))/INDEX('Program List'!$E:$E,MATCH($A69,'Program List'!$A:$A,0)))),"—")</f>
        <v>0.472222222222221</v>
      </c>
      <c r="K69" s="114" t="n">
        <f aca="false">IFERROR(IF(INDEX('Method A - Summary'!$E:$E,MATCH($A69,'Method A - Summary'!$A:$A,0))="","—",INDEX('Method A - Summary'!$E:$E,MATCH($A69,'Method A - Summary'!$A:$A,0))),"—")</f>
        <v>0.333333333333333</v>
      </c>
    </row>
    <row r="70" customFormat="false" ht="14.25" hidden="false" customHeight="false" outlineLevel="0" collapsed="false">
      <c r="A70" s="148" t="str">
        <f aca="false">'Program List'!A41</f>
        <v>M526</v>
      </c>
      <c r="B70" s="149" t="str">
        <f aca="false">'Program List'!B41</f>
        <v>Online LL.M. Indigenous Peoples Law</v>
      </c>
      <c r="C70" s="184" t="n">
        <f aca="false">IF('HC by Program-Term'!$Y46="","—",'New vs Continuing — Term'!AS46)</f>
        <v>30</v>
      </c>
      <c r="D70" s="184" t="n">
        <f aca="false">IF('HC by Program-Term'!$Y46="","—",'HC by Program-Term'!V46)</f>
        <v>1</v>
      </c>
      <c r="E70" s="184" t="n">
        <f aca="false">IF('HC by Program-Term'!$Y46="","—",C70-D70)</f>
        <v>29</v>
      </c>
      <c r="F70" s="185" t="n">
        <f aca="false">IF('HC by Program-Term'!$Y46="","—",IF(C70=0,"—",E70/C70))</f>
        <v>0.966666666666667</v>
      </c>
      <c r="G70" s="186" t="n">
        <f aca="false">IFERROR(INDEX('Program List'!$E:$E,MATCH($A70,'Program List'!$A:$A,0)),"—")</f>
        <v>25</v>
      </c>
      <c r="H70" s="187" t="n">
        <f aca="false">IFERROR(IF(INDEX('Method A - Summary'!$F:$F,MATCH($A70,'Method A - Summary'!$A:$A,0))=0,"—",INDEX('Method A - Summary'!$F:$F,MATCH($A70,'Method A - Summary'!$A:$A,0))),"—")</f>
        <v>15</v>
      </c>
      <c r="I70" s="188" t="n">
        <f aca="false">IFERROR(IF(OR(INDEX('Method A - Summary'!$F:$F,MATCH($A70,'Method A - Summary'!$A:$A,0))=0,INDEX('Program List'!$E:$E,MATCH($A70,'Program List'!$A:$A,0))=0),"—",INDEX('Method A - Summary'!$F:$F,MATCH($A70,'Method A - Summary'!$A:$A,0))/INDEX('Program List'!$E:$E,MATCH($A70,'Program List'!$A:$A,0))),"—")</f>
        <v>0.6</v>
      </c>
      <c r="J70" s="189" t="n">
        <f aca="false">IFERROR(IF(OR(INDEX('Method A - Summary'!$F:$F,MATCH($A70,'Method A - Summary'!$A:$A,0))=0,INDEX('Program List'!$E:$E,MATCH($A70,'Program List'!$A:$A,0))=0),"—",MIN(1,INDEX('Method A - Summary'!$F:$F,MATCH($A70,'Method A - Summary'!$A:$A,0))/INDEX('Program List'!$E:$E,MATCH($A70,'Program List'!$A:$A,0)))),"—")</f>
        <v>0.6</v>
      </c>
      <c r="K70" s="185" t="n">
        <f aca="false">IFERROR(IF(INDEX('Method A - Summary'!$E:$E,MATCH($A70,'Method A - Summary'!$A:$A,0))="","—",INDEX('Method A - Summary'!$E:$E,MATCH($A70,'Method A - Summary'!$A:$A,0))),"—")</f>
        <v>0.368421052631579</v>
      </c>
    </row>
    <row r="71" customFormat="false" ht="14.25" hidden="false" customHeight="false" outlineLevel="0" collapsed="false">
      <c r="A71" s="144" t="str">
        <f aca="false">'Program List'!A42</f>
        <v>M592</v>
      </c>
      <c r="B71" s="145" t="str">
        <f aca="false">'Program List'!B42</f>
        <v>Online LL.M. International Business</v>
      </c>
      <c r="C71" s="112" t="n">
        <f aca="false">IF('HC by Program-Term'!$Y47="","—",'New vs Continuing — Term'!AS47)</f>
        <v>6</v>
      </c>
      <c r="D71" s="112" t="n">
        <f aca="false">IF('HC by Program-Term'!$Y47="","—",'HC by Program-Term'!V47)</f>
        <v>2</v>
      </c>
      <c r="E71" s="112" t="n">
        <f aca="false">IF('HC by Program-Term'!$Y47="","—",C71-D71)</f>
        <v>4</v>
      </c>
      <c r="F71" s="114" t="n">
        <f aca="false">IF('HC by Program-Term'!$Y47="","—",IF(C71=0,"—",E71/C71))</f>
        <v>0.666666666666667</v>
      </c>
      <c r="G71" s="113" t="n">
        <f aca="false">IFERROR(INDEX('Program List'!$E:$E,MATCH($A71,'Program List'!$A:$A,0)),"—")</f>
        <v>24</v>
      </c>
      <c r="H71" s="181" t="n">
        <f aca="false">IFERROR(IF(INDEX('Method A - Summary'!$F:$F,MATCH($A71,'Method A - Summary'!$A:$A,0))=0,"—",INDEX('Method A - Summary'!$F:$F,MATCH($A71,'Method A - Summary'!$A:$A,0))),"—")</f>
        <v>5</v>
      </c>
      <c r="I71" s="182" t="n">
        <f aca="false">IFERROR(IF(OR(INDEX('Method A - Summary'!$F:$F,MATCH($A71,'Method A - Summary'!$A:$A,0))=0,INDEX('Program List'!$E:$E,MATCH($A71,'Program List'!$A:$A,0))=0),"—",INDEX('Method A - Summary'!$F:$F,MATCH($A71,'Method A - Summary'!$A:$A,0))/INDEX('Program List'!$E:$E,MATCH($A71,'Program List'!$A:$A,0))),"—")</f>
        <v>0.208333333333333</v>
      </c>
      <c r="J71" s="183" t="n">
        <f aca="false">IFERROR(IF(OR(INDEX('Method A - Summary'!$F:$F,MATCH($A71,'Method A - Summary'!$A:$A,0))=0,INDEX('Program List'!$E:$E,MATCH($A71,'Program List'!$A:$A,0))=0),"—",MIN(1,INDEX('Method A - Summary'!$F:$F,MATCH($A71,'Method A - Summary'!$A:$A,0))/INDEX('Program List'!$E:$E,MATCH($A71,'Program List'!$A:$A,0)))),"—")</f>
        <v>0.208333333333333</v>
      </c>
      <c r="K71" s="114" t="n">
        <f aca="false">IFERROR(IF(INDEX('Method A - Summary'!$E:$E,MATCH($A71,'Method A - Summary'!$A:$A,0))="","—",INDEX('Method A - Summary'!$E:$E,MATCH($A71,'Method A - Summary'!$A:$A,0))),"—")</f>
        <v>0.5</v>
      </c>
    </row>
    <row r="72" customFormat="false" ht="14.25" hidden="false" customHeight="false" outlineLevel="0" collapsed="false">
      <c r="A72" s="87"/>
      <c r="B72" s="152" t="s">
        <v>700</v>
      </c>
      <c r="C72" s="153" t="n">
        <f aca="false">SUM(C31:C71)</f>
        <v>9851</v>
      </c>
      <c r="D72" s="153" t="n">
        <f aca="false">SUM(D31:D71)</f>
        <v>2482</v>
      </c>
      <c r="E72" s="153" t="n">
        <f aca="false">SUM(E31:E71)</f>
        <v>7369</v>
      </c>
      <c r="F72" s="190" t="n">
        <f aca="false">IF(C72=0,"—",E72/C72)</f>
        <v>0.748045883666633</v>
      </c>
      <c r="G72" s="87"/>
      <c r="H72" s="87"/>
      <c r="I72" s="87"/>
      <c r="J72" s="87"/>
      <c r="K72" s="87"/>
    </row>
  </sheetData>
  <mergeCells count="1">
    <mergeCell ref="A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2" activeCellId="0" sqref="I22"/>
    </sheetView>
  </sheetViews>
  <sheetFormatPr defaultColWidth="8.66796875" defaultRowHeight="14.25" zeroHeight="false" outlineLevelRow="0" outlineLevelCol="0"/>
  <cols>
    <col collapsed="false" customWidth="true" hidden="false" outlineLevel="0" max="1" min="1" style="0" width="12.79"/>
    <col collapsed="false" customWidth="true" hidden="false" outlineLevel="0" max="2" min="2" style="0" width="54.86"/>
    <col collapsed="false" customWidth="true" hidden="false" outlineLevel="0" max="3" min="3" style="0" width="44.33"/>
    <col collapsed="false" customWidth="true" hidden="false" outlineLevel="0" max="4" min="4" style="0" width="20.73"/>
    <col collapsed="false" customWidth="true" hidden="false" outlineLevel="0" max="5" min="5" style="0" width="13.14"/>
    <col collapsed="false" customWidth="true" hidden="false" outlineLevel="0" max="6" min="6" style="0" width="15.66"/>
    <col collapsed="false" customWidth="true" hidden="false" outlineLevel="0" max="7" min="7" style="0" width="18.2"/>
    <col collapsed="false" customWidth="true" hidden="false" outlineLevel="0" max="8" min="8" style="0" width="14.47"/>
    <col collapsed="false" customWidth="true" hidden="false" outlineLevel="0" max="9" min="9" style="0" width="25.26"/>
    <col collapsed="false" customWidth="true" hidden="false" outlineLevel="0" max="10" min="10" style="0" width="25.67"/>
    <col collapsed="false" customWidth="true" hidden="false" outlineLevel="0" max="11" min="11" style="0" width="8.2"/>
    <col collapsed="false" customWidth="true" hidden="false" outlineLevel="0" max="12" min="12" style="0" width="9.53"/>
    <col collapsed="false" customWidth="true" hidden="false" outlineLevel="0" max="13" min="13" style="0" width="6.59"/>
    <col collapsed="false" customWidth="true" hidden="false" outlineLevel="0" max="14" min="14" style="0" width="8.2"/>
    <col collapsed="false" customWidth="true" hidden="false" outlineLevel="0" max="15" min="15" style="0" width="9.53"/>
    <col collapsed="false" customWidth="true" hidden="false" outlineLevel="0" max="16" min="16" style="0" width="6.59"/>
    <col collapsed="false" customWidth="true" hidden="false" outlineLevel="0" max="17" min="17" style="0" width="8.2"/>
    <col collapsed="false" customWidth="true" hidden="false" outlineLevel="0" max="18" min="18" style="0" width="9.53"/>
    <col collapsed="false" customWidth="true" hidden="false" outlineLevel="0" max="19" min="19" style="0" width="6.59"/>
    <col collapsed="false" customWidth="true" hidden="false" outlineLevel="0" max="20" min="20" style="0" width="8.2"/>
    <col collapsed="false" customWidth="true" hidden="false" outlineLevel="0" max="21" min="21" style="0" width="9.53"/>
    <col collapsed="false" customWidth="true" hidden="false" outlineLevel="0" max="22" min="22" style="0" width="6.59"/>
    <col collapsed="false" customWidth="true" hidden="false" outlineLevel="0" max="23" min="23" style="0" width="8.34"/>
  </cols>
  <sheetData>
    <row r="1" customFormat="false" ht="18" hidden="false" customHeight="true" outlineLevel="0" collapsed="false">
      <c r="A1" s="139" t="s">
        <v>754</v>
      </c>
    </row>
    <row r="2" customFormat="false" ht="14.25" hidden="false" customHeight="false" outlineLevel="0" collapsed="false">
      <c r="A2" s="191" t="s">
        <v>755</v>
      </c>
      <c r="B2" s="171"/>
      <c r="C2" s="171"/>
      <c r="D2" s="171"/>
      <c r="E2" s="171"/>
      <c r="F2" s="171"/>
      <c r="G2" s="171"/>
      <c r="H2" s="171"/>
      <c r="I2" s="171"/>
      <c r="J2" s="171"/>
      <c r="K2" s="171"/>
      <c r="L2" s="171"/>
      <c r="M2" s="171"/>
      <c r="N2" s="171"/>
      <c r="O2" s="171"/>
      <c r="P2" s="171"/>
    </row>
    <row r="4" customFormat="false" ht="15.75" hidden="false" customHeight="true" outlineLevel="0" collapsed="false">
      <c r="A4" s="172" t="s">
        <v>756</v>
      </c>
    </row>
    <row r="5" customFormat="false" ht="14.25" hidden="false" customHeight="false" outlineLevel="0" collapsed="false">
      <c r="A5" s="192" t="s">
        <v>757</v>
      </c>
      <c r="B5" s="192" t="s">
        <v>758</v>
      </c>
      <c r="C5" s="192" t="s">
        <v>759</v>
      </c>
      <c r="D5" s="192" t="s">
        <v>760</v>
      </c>
      <c r="E5" s="192" t="s">
        <v>761</v>
      </c>
      <c r="F5" s="192" t="s">
        <v>762</v>
      </c>
    </row>
    <row r="6" customFormat="false" ht="14.25" hidden="false" customHeight="false" outlineLevel="0" collapsed="false">
      <c r="A6" s="76" t="n">
        <v>1</v>
      </c>
      <c r="B6" s="112" t="n">
        <f aca="false">'Headcount Waterfall'!B7</f>
        <v>5841</v>
      </c>
      <c r="C6" s="112" t="s">
        <v>282</v>
      </c>
      <c r="D6" s="114" t="s">
        <v>282</v>
      </c>
      <c r="E6" s="114" t="s">
        <v>282</v>
      </c>
      <c r="F6" s="114" t="n">
        <f aca="false">'Headcount Waterfall'!E7</f>
        <v>1</v>
      </c>
    </row>
    <row r="7" customFormat="false" ht="14.25" hidden="false" customHeight="false" outlineLevel="0" collapsed="false">
      <c r="A7" s="193" t="n">
        <v>2</v>
      </c>
      <c r="B7" s="184" t="n">
        <f aca="false">'Headcount Waterfall'!B8</f>
        <v>4638</v>
      </c>
      <c r="C7" s="184" t="n">
        <f aca="false">-'Headcount Waterfall'!C8</f>
        <v>1203</v>
      </c>
      <c r="D7" s="185" t="n">
        <f aca="false">'Headcount Waterfall'!D8</f>
        <v>0.794042116076014</v>
      </c>
      <c r="E7" s="185" t="n">
        <f aca="false">1-'Headcount Waterfall'!D8</f>
        <v>0.205957883923986</v>
      </c>
      <c r="F7" s="185" t="n">
        <f aca="false">'Headcount Waterfall'!E8</f>
        <v>0.794042116076014</v>
      </c>
    </row>
    <row r="8" customFormat="false" ht="14.25" hidden="false" customHeight="false" outlineLevel="0" collapsed="false">
      <c r="A8" s="76" t="n">
        <v>3</v>
      </c>
      <c r="B8" s="112" t="n">
        <f aca="false">'Headcount Waterfall'!B9</f>
        <v>4092</v>
      </c>
      <c r="C8" s="112" t="n">
        <f aca="false">-'Headcount Waterfall'!C9</f>
        <v>546</v>
      </c>
      <c r="D8" s="114" t="n">
        <f aca="false">'Headcount Waterfall'!D9</f>
        <v>0.882276843467012</v>
      </c>
      <c r="E8" s="114" t="n">
        <f aca="false">1-'Headcount Waterfall'!D9</f>
        <v>0.117723156532988</v>
      </c>
      <c r="F8" s="114" t="n">
        <f aca="false">'Headcount Waterfall'!E9</f>
        <v>0.700564971751412</v>
      </c>
    </row>
    <row r="9" customFormat="false" ht="14.25" hidden="false" customHeight="false" outlineLevel="0" collapsed="false">
      <c r="A9" s="193" t="n">
        <v>4</v>
      </c>
      <c r="B9" s="184" t="n">
        <f aca="false">'Headcount Waterfall'!B10</f>
        <v>4022</v>
      </c>
      <c r="C9" s="184" t="n">
        <f aca="false">-'Headcount Waterfall'!C10</f>
        <v>70</v>
      </c>
      <c r="D9" s="185" t="n">
        <f aca="false">'Headcount Waterfall'!D10</f>
        <v>0.982893450635386</v>
      </c>
      <c r="E9" s="185" t="n">
        <f aca="false">1-'Headcount Waterfall'!D10</f>
        <v>0.017106549364614</v>
      </c>
      <c r="F9" s="185" t="n">
        <f aca="false">'Headcount Waterfall'!E10</f>
        <v>0.688580722479028</v>
      </c>
    </row>
    <row r="10" customFormat="false" ht="14.25" hidden="false" customHeight="false" outlineLevel="0" collapsed="false">
      <c r="A10" s="76" t="n">
        <v>5</v>
      </c>
      <c r="B10" s="112" t="n">
        <f aca="false">'Headcount Waterfall'!B11</f>
        <v>2755</v>
      </c>
      <c r="C10" s="112" t="n">
        <f aca="false">-'Headcount Waterfall'!C11</f>
        <v>1267</v>
      </c>
      <c r="D10" s="114" t="n">
        <f aca="false">'Headcount Waterfall'!D11</f>
        <v>0.684982595723521</v>
      </c>
      <c r="E10" s="114" t="n">
        <f aca="false">1-'Headcount Waterfall'!D11</f>
        <v>0.315017404276479</v>
      </c>
      <c r="F10" s="114" t="n">
        <f aca="false">'Headcount Waterfall'!E11</f>
        <v>0.471665810648862</v>
      </c>
    </row>
    <row r="11" customFormat="false" ht="14.25" hidden="false" customHeight="false" outlineLevel="0" collapsed="false">
      <c r="A11" s="193" t="n">
        <v>6</v>
      </c>
      <c r="B11" s="184" t="n">
        <f aca="false">'Headcount Waterfall'!B12</f>
        <v>1774</v>
      </c>
      <c r="C11" s="184" t="n">
        <f aca="false">-'Headcount Waterfall'!C12</f>
        <v>981</v>
      </c>
      <c r="D11" s="185" t="n">
        <f aca="false">'Headcount Waterfall'!D12</f>
        <v>0.643920145190563</v>
      </c>
      <c r="E11" s="185" t="n">
        <f aca="false">1-'Headcount Waterfall'!D12</f>
        <v>0.356079854809437</v>
      </c>
      <c r="F11" s="185" t="n">
        <f aca="false">'Headcount Waterfall'!E12</f>
        <v>0.303715117274439</v>
      </c>
    </row>
    <row r="12" customFormat="false" ht="14.25" hidden="false" customHeight="false" outlineLevel="0" collapsed="false">
      <c r="A12" s="76" t="n">
        <v>7</v>
      </c>
      <c r="B12" s="112" t="n">
        <f aca="false">'Headcount Waterfall'!B13</f>
        <v>1355</v>
      </c>
      <c r="C12" s="112" t="n">
        <f aca="false">-'Headcount Waterfall'!C13</f>
        <v>419</v>
      </c>
      <c r="D12" s="114" t="n">
        <f aca="false">'Headcount Waterfall'!D13</f>
        <v>0.76381059751973</v>
      </c>
      <c r="E12" s="114" t="n">
        <f aca="false">1-'Headcount Waterfall'!D13</f>
        <v>0.23618940248027</v>
      </c>
      <c r="F12" s="114" t="n">
        <f aca="false">'Headcount Waterfall'!E13</f>
        <v>0.231980825201164</v>
      </c>
    </row>
    <row r="13" customFormat="false" ht="14.25" hidden="false" customHeight="false" outlineLevel="0" collapsed="false">
      <c r="A13" s="193" t="n">
        <v>8</v>
      </c>
      <c r="B13" s="184" t="n">
        <f aca="false">'Headcount Waterfall'!B14</f>
        <v>822</v>
      </c>
      <c r="C13" s="184" t="n">
        <f aca="false">-'Headcount Waterfall'!C14</f>
        <v>533</v>
      </c>
      <c r="D13" s="185" t="n">
        <f aca="false">'Headcount Waterfall'!D14</f>
        <v>0.606642066420664</v>
      </c>
      <c r="E13" s="185" t="n">
        <f aca="false">1-'Headcount Waterfall'!D14</f>
        <v>0.393357933579336</v>
      </c>
      <c r="F13" s="185" t="n">
        <f aca="false">'Headcount Waterfall'!E14</f>
        <v>0.140729327170005</v>
      </c>
    </row>
    <row r="14" customFormat="false" ht="14.25" hidden="false" customHeight="false" outlineLevel="0" collapsed="false">
      <c r="A14" s="76" t="n">
        <v>9</v>
      </c>
      <c r="B14" s="112" t="n">
        <f aca="false">'Headcount Waterfall'!B15</f>
        <v>463</v>
      </c>
      <c r="C14" s="112" t="n">
        <f aca="false">-'Headcount Waterfall'!C15</f>
        <v>359</v>
      </c>
      <c r="D14" s="114" t="n">
        <f aca="false">'Headcount Waterfall'!D15</f>
        <v>0.563260340632603</v>
      </c>
      <c r="E14" s="114" t="n">
        <f aca="false">1-'Headcount Waterfall'!D15</f>
        <v>0.436739659367397</v>
      </c>
      <c r="F14" s="114" t="n">
        <f aca="false">'Headcount Waterfall'!E15</f>
        <v>0.0792672487587742</v>
      </c>
    </row>
    <row r="15" customFormat="false" ht="14.25" hidden="false" customHeight="false" outlineLevel="0" collapsed="false">
      <c r="A15" s="193" t="n">
        <v>10</v>
      </c>
      <c r="B15" s="184" t="n">
        <f aca="false">'Headcount Waterfall'!B16</f>
        <v>262</v>
      </c>
      <c r="C15" s="184" t="n">
        <f aca="false">-'Headcount Waterfall'!C16</f>
        <v>201</v>
      </c>
      <c r="D15" s="185" t="n">
        <f aca="false">'Headcount Waterfall'!D16</f>
        <v>0.565874730021598</v>
      </c>
      <c r="E15" s="185" t="n">
        <f aca="false">1-'Headcount Waterfall'!D16</f>
        <v>0.434125269978402</v>
      </c>
      <c r="F15" s="185" t="n">
        <f aca="false">'Headcount Waterfall'!E16</f>
        <v>0.0448553329909262</v>
      </c>
    </row>
    <row r="16" customFormat="false" ht="14.25" hidden="false" customHeight="false" outlineLevel="0" collapsed="false">
      <c r="A16" s="76" t="n">
        <v>11</v>
      </c>
      <c r="B16" s="112" t="n">
        <f aca="false">'Headcount Waterfall'!B17</f>
        <v>140</v>
      </c>
      <c r="C16" s="112" t="n">
        <f aca="false">-'Headcount Waterfall'!C17</f>
        <v>122</v>
      </c>
      <c r="D16" s="114" t="n">
        <f aca="false">'Headcount Waterfall'!D17</f>
        <v>0.534351145038168</v>
      </c>
      <c r="E16" s="114" t="n">
        <f aca="false">1-'Headcount Waterfall'!D17</f>
        <v>0.465648854961832</v>
      </c>
      <c r="F16" s="114" t="n">
        <f aca="false">'Headcount Waterfall'!E17</f>
        <v>0.0239684985447697</v>
      </c>
    </row>
    <row r="17" customFormat="false" ht="14.25" hidden="false" customHeight="false" outlineLevel="0" collapsed="false">
      <c r="A17" s="193" t="n">
        <v>12</v>
      </c>
      <c r="B17" s="184" t="n">
        <f aca="false">'Headcount Waterfall'!B18</f>
        <v>75</v>
      </c>
      <c r="C17" s="184" t="n">
        <f aca="false">-'Headcount Waterfall'!C18</f>
        <v>65</v>
      </c>
      <c r="D17" s="185" t="n">
        <f aca="false">'Headcount Waterfall'!D18</f>
        <v>0.535714285714286</v>
      </c>
      <c r="E17" s="185" t="n">
        <f aca="false">1-'Headcount Waterfall'!D18</f>
        <v>0.464285714285714</v>
      </c>
      <c r="F17" s="185" t="n">
        <f aca="false">'Headcount Waterfall'!E18</f>
        <v>0.0128402670775552</v>
      </c>
    </row>
    <row r="18" customFormat="false" ht="14.25" hidden="false" customHeight="false" outlineLevel="0" collapsed="false">
      <c r="A18" s="76" t="n">
        <v>13</v>
      </c>
      <c r="B18" s="112" t="n">
        <f aca="false">'Headcount Waterfall'!B19</f>
        <v>51</v>
      </c>
      <c r="C18" s="112" t="n">
        <f aca="false">-'Headcount Waterfall'!C19</f>
        <v>24</v>
      </c>
      <c r="D18" s="114" t="n">
        <f aca="false">'Headcount Waterfall'!D19</f>
        <v>0.68</v>
      </c>
      <c r="E18" s="114" t="n">
        <f aca="false">1-'Headcount Waterfall'!D19</f>
        <v>0.32</v>
      </c>
      <c r="F18" s="114" t="n">
        <f aca="false">'Headcount Waterfall'!E19</f>
        <v>0.00873138161273755</v>
      </c>
    </row>
    <row r="19" customFormat="false" ht="14.25" hidden="false" customHeight="false" outlineLevel="0" collapsed="false">
      <c r="A19" s="193" t="n">
        <v>14</v>
      </c>
      <c r="B19" s="184" t="n">
        <f aca="false">'Headcount Waterfall'!B20</f>
        <v>25</v>
      </c>
      <c r="C19" s="184" t="n">
        <f aca="false">-'Headcount Waterfall'!C20</f>
        <v>26</v>
      </c>
      <c r="D19" s="185" t="n">
        <f aca="false">'Headcount Waterfall'!D20</f>
        <v>0.490196078431373</v>
      </c>
      <c r="E19" s="185" t="n">
        <f aca="false">1-'Headcount Waterfall'!D20</f>
        <v>0.509803921568627</v>
      </c>
      <c r="F19" s="185" t="n">
        <f aca="false">'Headcount Waterfall'!E20</f>
        <v>0.00428008902585174</v>
      </c>
    </row>
    <row r="20" customFormat="false" ht="14.25" hidden="false" customHeight="false" outlineLevel="0" collapsed="false">
      <c r="A20" s="76" t="n">
        <v>15</v>
      </c>
      <c r="B20" s="112" t="n">
        <f aca="false">'Headcount Waterfall'!B21</f>
        <v>18</v>
      </c>
      <c r="C20" s="112" t="n">
        <f aca="false">-'Headcount Waterfall'!C21</f>
        <v>7</v>
      </c>
      <c r="D20" s="114" t="n">
        <f aca="false">'Headcount Waterfall'!D21</f>
        <v>0.72</v>
      </c>
      <c r="E20" s="114" t="n">
        <f aca="false">1-'Headcount Waterfall'!D21</f>
        <v>0.28</v>
      </c>
      <c r="F20" s="114" t="n">
        <f aca="false">'Headcount Waterfall'!E21</f>
        <v>0.00308166409861325</v>
      </c>
    </row>
    <row r="21" customFormat="false" ht="14.25" hidden="false" customHeight="false" outlineLevel="0" collapsed="false">
      <c r="A21" s="193" t="n">
        <v>16</v>
      </c>
      <c r="B21" s="184" t="n">
        <f aca="false">'Headcount Waterfall'!B22</f>
        <v>12</v>
      </c>
      <c r="C21" s="184" t="n">
        <f aca="false">-'Headcount Waterfall'!C22</f>
        <v>6</v>
      </c>
      <c r="D21" s="185" t="n">
        <f aca="false">'Headcount Waterfall'!D22</f>
        <v>0.666666666666667</v>
      </c>
      <c r="E21" s="185" t="n">
        <f aca="false">1-'Headcount Waterfall'!D22</f>
        <v>0.333333333333333</v>
      </c>
      <c r="F21" s="185" t="n">
        <f aca="false">'Headcount Waterfall'!E22</f>
        <v>0.00205444273240883</v>
      </c>
    </row>
    <row r="22" customFormat="false" ht="14.25" hidden="false" customHeight="false" outlineLevel="0" collapsed="false">
      <c r="A22" s="76" t="n">
        <v>17</v>
      </c>
      <c r="B22" s="112" t="n">
        <f aca="false">'Headcount Waterfall'!B23</f>
        <v>6</v>
      </c>
      <c r="C22" s="112" t="n">
        <f aca="false">-'Headcount Waterfall'!C23</f>
        <v>6</v>
      </c>
      <c r="D22" s="114" t="n">
        <f aca="false">'Headcount Waterfall'!D23</f>
        <v>0.5</v>
      </c>
      <c r="E22" s="114" t="n">
        <f aca="false">1-'Headcount Waterfall'!D23</f>
        <v>0.5</v>
      </c>
      <c r="F22" s="114" t="n">
        <f aca="false">'Headcount Waterfall'!E23</f>
        <v>0.00102722136620442</v>
      </c>
    </row>
    <row r="23" customFormat="false" ht="14.25" hidden="false" customHeight="false" outlineLevel="0" collapsed="false">
      <c r="A23" s="193" t="n">
        <v>18</v>
      </c>
      <c r="B23" s="184" t="n">
        <f aca="false">'Headcount Waterfall'!B24</f>
        <v>3</v>
      </c>
      <c r="C23" s="184" t="n">
        <f aca="false">-'Headcount Waterfall'!C24</f>
        <v>3</v>
      </c>
      <c r="D23" s="185" t="n">
        <f aca="false">'Headcount Waterfall'!D24</f>
        <v>0.5</v>
      </c>
      <c r="E23" s="185" t="n">
        <f aca="false">1-'Headcount Waterfall'!D24</f>
        <v>0.5</v>
      </c>
      <c r="F23" s="185" t="n">
        <f aca="false">'Headcount Waterfall'!E24</f>
        <v>0.000513610683102209</v>
      </c>
    </row>
    <row r="24" customFormat="false" ht="14.25" hidden="false" customHeight="false" outlineLevel="0" collapsed="false">
      <c r="A24" s="162" t="s">
        <v>763</v>
      </c>
      <c r="C24" s="194" t="str">
        <f aca="false">"Biggest single-term drop: T"&amp;(MATCH(MIN('Headcount Waterfall'!C8:C24),'Headcount Waterfall'!C8:C24,0)+1)&amp;" ("&amp;TEXT(-MIN('Headcount Waterfall'!C8:C24),"#,##0")&amp;" students)"</f>
        <v>Biggest single-term drop: T5 (1,267 students)</v>
      </c>
      <c r="D24" s="194"/>
      <c r="E24" s="194"/>
      <c r="F24" s="194"/>
    </row>
    <row r="25" customFormat="false" ht="14.25" hidden="false" customHeight="false" outlineLevel="0" collapsed="false">
      <c r="C25" s="194" t="str">
        <f aca="false">"Lowest step retention: T"&amp;(MATCH(MIN('Headcount Waterfall'!D8:D24),'Headcount Waterfall'!D8:D24,0)+1)&amp;" ("&amp;TEXT(MIN('Headcount Waterfall'!D8:D24),"0.0%")&amp;" stay)"</f>
        <v>Lowest step retention: T14 (49.0% stay)</v>
      </c>
      <c r="D25" s="194"/>
      <c r="E25" s="194"/>
      <c r="F25" s="194"/>
    </row>
    <row r="26" customFormat="false" ht="14.25" hidden="false" customHeight="false" outlineLevel="0" collapsed="false">
      <c r="C26" s="194" t="str">
        <f aca="false">"Gone by their 3rd term: "&amp;TEXT(1-'Headcount Waterfall'!E9,"0.0%")&amp;"  |  by 6th term: "&amp;TEXT(1-'Headcount Waterfall'!E12,"0.0%")</f>
        <v>Gone by their 3rd term: 29.9%  |  by 6th term: 69.6%</v>
      </c>
      <c r="D26" s="194"/>
      <c r="E26" s="194"/>
      <c r="F26" s="194"/>
    </row>
    <row r="29" customFormat="false" ht="15.75" hidden="false" customHeight="true" outlineLevel="0" collapsed="false">
      <c r="A29" s="172" t="s">
        <v>764</v>
      </c>
    </row>
    <row r="30" customFormat="false" ht="14.25" hidden="false" customHeight="false" outlineLevel="0" collapsed="false">
      <c r="A30" s="173" t="s">
        <v>699</v>
      </c>
      <c r="B30" s="142" t="s">
        <v>134</v>
      </c>
      <c r="C30" s="173" t="s">
        <v>765</v>
      </c>
      <c r="D30" s="173" t="s">
        <v>766</v>
      </c>
      <c r="E30" s="173" t="s">
        <v>767</v>
      </c>
      <c r="F30" s="173" t="s">
        <v>768</v>
      </c>
      <c r="G30" s="173" t="s">
        <v>769</v>
      </c>
      <c r="H30" s="173" t="s">
        <v>770</v>
      </c>
      <c r="I30" s="173" t="s">
        <v>771</v>
      </c>
      <c r="J30" s="173" t="s">
        <v>772</v>
      </c>
    </row>
    <row r="31" customFormat="false" ht="14.25" hidden="false" customHeight="false" outlineLevel="0" collapsed="false">
      <c r="A31" s="162" t="str">
        <f aca="false">'Program List'!A2</f>
        <v>1550C</v>
      </c>
      <c r="B31" s="163" t="str">
        <f aca="false">'Program List'!B2</f>
        <v>Certificate in Population Health</v>
      </c>
      <c r="C31" s="175" t="str">
        <f aca="false">IF('HC by Program-Term'!$Y7="","—",'New vs Continuing — Term'!AS7)</f>
        <v>—</v>
      </c>
      <c r="D31" s="175" t="str">
        <f aca="false">IF('HC by Program-Term'!$Y7="","—",'HC by Program-Term'!V7)</f>
        <v>—</v>
      </c>
      <c r="E31" s="195" t="str">
        <f aca="false">IF('HC by Program-Term'!$Y7="","—",C31-D31)</f>
        <v>—</v>
      </c>
      <c r="F31" s="196" t="str">
        <f aca="false">IF('HC by Program-Term'!$Y7="","—",IF(C31=0,"—",E31/C31))</f>
        <v>—</v>
      </c>
      <c r="G31" s="174" t="str">
        <f aca="false">IF('HC by Program-Term'!$Y7="","—",IFERROR(INDEX($C$122:$V$122,MATCH(MAX(C124:V124),C124:V124,0)),"—"))</f>
        <v>—</v>
      </c>
      <c r="H31" s="175" t="str">
        <f aca="false">IF('HC by Program-Term'!$Y7="","—",IFERROR(MAX(C124:V124),"—"))</f>
        <v>—</v>
      </c>
      <c r="I31" s="197" t="str">
        <f aca="false">IFERROR(IF(INDEX('Method A - Summary'!$E:$E,MATCH($A31,'Method A - Summary'!$A:$A,0))="","—",1-INDEX('Method A - Summary'!$E:$E,MATCH($A31,'Method A - Summary'!$A:$A,0))),"—")</f>
        <v>—</v>
      </c>
      <c r="J31" s="174" t="str">
        <f aca="false">IFERROR(INDEX('Method A - Summary'!$K:$K,MATCH($A31,'Method A - Summary'!$A:$A,0)),"—")</f>
        <v>Not reached in observed data</v>
      </c>
    </row>
    <row r="32" customFormat="false" ht="14.25" hidden="false" customHeight="false" outlineLevel="0" collapsed="false">
      <c r="A32" s="165" t="str">
        <f aca="false">'Program List'!A3</f>
        <v>D318</v>
      </c>
      <c r="B32" s="166" t="str">
        <f aca="false">'Program List'!B3</f>
        <v>Ed.D. in Education Administration</v>
      </c>
      <c r="C32" s="177" t="str">
        <f aca="false">IF('HC by Program-Term'!$Y8="","—",'New vs Continuing — Term'!AS8)</f>
        <v>—</v>
      </c>
      <c r="D32" s="177" t="str">
        <f aca="false">IF('HC by Program-Term'!$Y8="","—",'HC by Program-Term'!V8)</f>
        <v>—</v>
      </c>
      <c r="E32" s="198" t="str">
        <f aca="false">IF('HC by Program-Term'!$Y8="","—",C32-D32)</f>
        <v>—</v>
      </c>
      <c r="F32" s="199" t="str">
        <f aca="false">IF('HC by Program-Term'!$Y8="","—",IF(C32=0,"—",E32/C32))</f>
        <v>—</v>
      </c>
      <c r="G32" s="176" t="str">
        <f aca="false">IF('HC by Program-Term'!$Y8="","—",IFERROR(INDEX($C$122:$V$122,MATCH(MAX(C125:V125),C125:V125,0)),"—"))</f>
        <v>—</v>
      </c>
      <c r="H32" s="177" t="str">
        <f aca="false">IF('HC by Program-Term'!$Y8="","—",IFERROR(MAX(C125:V125),"—"))</f>
        <v>—</v>
      </c>
      <c r="I32" s="200" t="str">
        <f aca="false">IFERROR(IF(INDEX('Method A - Summary'!$E:$E,MATCH($A32,'Method A - Summary'!$A:$A,0))="","—",1-INDEX('Method A - Summary'!$E:$E,MATCH($A32,'Method A - Summary'!$A:$A,0))),"—")</f>
        <v>—</v>
      </c>
      <c r="J32" s="176" t="n">
        <f aca="false">IFERROR(INDEX('Method A - Summary'!$K:$K,MATCH($A32,'Method A - Summary'!$A:$A,0)),"—")</f>
        <v>3</v>
      </c>
    </row>
    <row r="33" customFormat="false" ht="14.25" hidden="false" customHeight="false" outlineLevel="0" collapsed="false">
      <c r="A33" s="162" t="str">
        <f aca="false">'Program List'!A4</f>
        <v>M366</v>
      </c>
      <c r="B33" s="163" t="str">
        <f aca="false">'Program List'!B4</f>
        <v>Executive MBA in Energy</v>
      </c>
      <c r="C33" s="175" t="n">
        <f aca="false">IF('HC by Program-Term'!$Y9="","—",'New vs Continuing — Term'!AS9)</f>
        <v>157</v>
      </c>
      <c r="D33" s="175" t="n">
        <f aca="false">IF('HC by Program-Term'!$Y9="","—",'HC by Program-Term'!V9)</f>
        <v>21</v>
      </c>
      <c r="E33" s="195" t="n">
        <f aca="false">IF('HC by Program-Term'!$Y9="","—",C33-D33)</f>
        <v>136</v>
      </c>
      <c r="F33" s="196" t="n">
        <f aca="false">IF('HC by Program-Term'!$Y9="","—",IF(C33=0,"—",E33/C33))</f>
        <v>0.866242038216561</v>
      </c>
      <c r="G33" s="174" t="str">
        <f aca="false">IF('HC by Program-Term'!$Y9="","—",IFERROR(INDEX($C$122:$V$122,MATCH(MAX(C126:V126),C126:V126,0)),"—"))</f>
        <v>Spring 2024</v>
      </c>
      <c r="H33" s="175" t="n">
        <f aca="false">IF('HC by Program-Term'!$Y9="","—",IFERROR(MAX(C126:V126),"—"))</f>
        <v>19</v>
      </c>
      <c r="I33" s="197" t="n">
        <f aca="false">IFERROR(IF(INDEX('Method A - Summary'!$E:$E,MATCH($A33,'Method A - Summary'!$A:$A,0))="","—",1-INDEX('Method A - Summary'!$E:$E,MATCH($A33,'Method A - Summary'!$A:$A,0))),"—")</f>
        <v>0.026785714285714</v>
      </c>
      <c r="J33" s="174" t="n">
        <f aca="false">IFERROR(INDEX('Method A - Summary'!$K:$K,MATCH($A33,'Method A - Summary'!$A:$A,0)),"—")</f>
        <v>6</v>
      </c>
    </row>
    <row r="34" customFormat="false" ht="14.25" hidden="false" customHeight="false" outlineLevel="0" collapsed="false">
      <c r="A34" s="165" t="str">
        <f aca="false">'Program List'!A5</f>
        <v>1231EX</v>
      </c>
      <c r="B34" s="166" t="str">
        <f aca="false">'Program List'!B5</f>
        <v>Executive Masters in Health Administration</v>
      </c>
      <c r="C34" s="177" t="str">
        <f aca="false">IF('HC by Program-Term'!$Y10="","—",'New vs Continuing — Term'!AS10)</f>
        <v>—</v>
      </c>
      <c r="D34" s="177" t="str">
        <f aca="false">IF('HC by Program-Term'!$Y10="","—",'HC by Program-Term'!V10)</f>
        <v>—</v>
      </c>
      <c r="E34" s="198" t="str">
        <f aca="false">IF('HC by Program-Term'!$Y10="","—",C34-D34)</f>
        <v>—</v>
      </c>
      <c r="F34" s="199" t="str">
        <f aca="false">IF('HC by Program-Term'!$Y10="","—",IF(C34=0,"—",E34/C34))</f>
        <v>—</v>
      </c>
      <c r="G34" s="176" t="str">
        <f aca="false">IF('HC by Program-Term'!$Y10="","—",IFERROR(INDEX($C$122:$V$122,MATCH(MAX(C127:V127),C127:V127,0)),"—"))</f>
        <v>—</v>
      </c>
      <c r="H34" s="177" t="str">
        <f aca="false">IF('HC by Program-Term'!$Y10="","—",IFERROR(MAX(C127:V127),"—"))</f>
        <v>—</v>
      </c>
      <c r="I34" s="200" t="str">
        <f aca="false">IFERROR(IF(INDEX('Method A - Summary'!$E:$E,MATCH($A34,'Method A - Summary'!$A:$A,0))="","—",1-INDEX('Method A - Summary'!$E:$E,MATCH($A34,'Method A - Summary'!$A:$A,0))),"—")</f>
        <v>—</v>
      </c>
      <c r="J34" s="176" t="str">
        <f aca="false">IFERROR(INDEX('Method A - Summary'!$K:$K,MATCH($A34,'Method A - Summary'!$A:$A,0)),"—")</f>
        <v>Not reached in observed data</v>
      </c>
    </row>
    <row r="35" customFormat="false" ht="14.25" hidden="false" customHeight="false" outlineLevel="0" collapsed="false">
      <c r="A35" s="162" t="str">
        <f aca="false">'Program List'!A6</f>
        <v>M013</v>
      </c>
      <c r="B35" s="163" t="str">
        <f aca="false">'Program List'!B6</f>
        <v>Master of Accountancy</v>
      </c>
      <c r="C35" s="175" t="n">
        <f aca="false">IF('HC by Program-Term'!$Y11="","—",'New vs Continuing — Term'!AS11)</f>
        <v>426</v>
      </c>
      <c r="D35" s="175" t="n">
        <f aca="false">IF('HC by Program-Term'!$Y11="","—",'HC by Program-Term'!V11)</f>
        <v>96</v>
      </c>
      <c r="E35" s="195" t="n">
        <f aca="false">IF('HC by Program-Term'!$Y11="","—",C35-D35)</f>
        <v>330</v>
      </c>
      <c r="F35" s="196" t="n">
        <f aca="false">IF('HC by Program-Term'!$Y11="","—",IF(C35=0,"—",E35/C35))</f>
        <v>0.774647887323944</v>
      </c>
      <c r="G35" s="174" t="str">
        <f aca="false">IF('HC by Program-Term'!$Y11="","—",IFERROR(INDEX($C$122:$V$122,MATCH(MAX(C128:V128),C128:V128,0)),"—"))</f>
        <v>Summer 2023</v>
      </c>
      <c r="H35" s="175" t="n">
        <f aca="false">IF('HC by Program-Term'!$Y11="","—",IFERROR(MAX(C128:V128),"—"))</f>
        <v>45</v>
      </c>
      <c r="I35" s="197" t="n">
        <f aca="false">IFERROR(IF(INDEX('Method A - Summary'!$E:$E,MATCH($A35,'Method A - Summary'!$A:$A,0))="","—",1-INDEX('Method A - Summary'!$E:$E,MATCH($A35,'Method A - Summary'!$A:$A,0))),"—")</f>
        <v>0.308823529411765</v>
      </c>
      <c r="J35" s="174" t="n">
        <f aca="false">IFERROR(INDEX('Method A - Summary'!$K:$K,MATCH($A35,'Method A - Summary'!$A:$A,0)),"—")</f>
        <v>9</v>
      </c>
    </row>
    <row r="36" customFormat="false" ht="14.25" hidden="false" customHeight="false" outlineLevel="0" collapsed="false">
      <c r="A36" s="165" t="str">
        <f aca="false">'Program List'!A7</f>
        <v>M075</v>
      </c>
      <c r="B36" s="166" t="str">
        <f aca="false">'Program List'!B7</f>
        <v>Master of Arts in Art and Technology</v>
      </c>
      <c r="C36" s="177" t="n">
        <f aca="false">IF('HC by Program-Term'!$Y12="","—",'New vs Continuing — Term'!AS12)</f>
        <v>235</v>
      </c>
      <c r="D36" s="177" t="n">
        <f aca="false">IF('HC by Program-Term'!$Y12="","—",'HC by Program-Term'!V12)</f>
        <v>43</v>
      </c>
      <c r="E36" s="198" t="n">
        <f aca="false">IF('HC by Program-Term'!$Y12="","—",C36-D36)</f>
        <v>192</v>
      </c>
      <c r="F36" s="199" t="n">
        <f aca="false">IF('HC by Program-Term'!$Y12="","—",IF(C36=0,"—",E36/C36))</f>
        <v>0.817021276595745</v>
      </c>
      <c r="G36" s="176" t="str">
        <f aca="false">IF('HC by Program-Term'!$Y12="","—",IFERROR(INDEX($C$122:$V$122,MATCH(MAX(C129:V129),C129:V129,0)),"—"))</f>
        <v>Summer 2024</v>
      </c>
      <c r="H36" s="177" t="n">
        <f aca="false">IF('HC by Program-Term'!$Y12="","—",IFERROR(MAX(C129:V129),"—"))</f>
        <v>33</v>
      </c>
      <c r="I36" s="200" t="n">
        <f aca="false">IFERROR(IF(INDEX('Method A - Summary'!$E:$E,MATCH($A36,'Method A - Summary'!$A:$A,0))="","—",1-INDEX('Method A - Summary'!$E:$E,MATCH($A36,'Method A - Summary'!$A:$A,0))),"—")</f>
        <v>0.308219178082192</v>
      </c>
      <c r="J36" s="176" t="n">
        <f aca="false">IFERROR(INDEX('Method A - Summary'!$K:$K,MATCH($A36,'Method A - Summary'!$A:$A,0)),"—")</f>
        <v>6</v>
      </c>
    </row>
    <row r="37" customFormat="false" ht="14.25" hidden="false" customHeight="false" outlineLevel="0" collapsed="false">
      <c r="A37" s="162" t="str">
        <f aca="false">'Program List'!A8</f>
        <v>M073</v>
      </c>
      <c r="B37" s="163" t="str">
        <f aca="false">'Program List'!B8</f>
        <v>Master of Arts in Arts Management</v>
      </c>
      <c r="C37" s="175" t="n">
        <f aca="false">IF('HC by Program-Term'!$Y13="","—",'New vs Continuing — Term'!AS13)</f>
        <v>217</v>
      </c>
      <c r="D37" s="175" t="n">
        <f aca="false">IF('HC by Program-Term'!$Y13="","—",'HC by Program-Term'!V13)</f>
        <v>71</v>
      </c>
      <c r="E37" s="195" t="n">
        <f aca="false">IF('HC by Program-Term'!$Y13="","—",C37-D37)</f>
        <v>146</v>
      </c>
      <c r="F37" s="196" t="n">
        <f aca="false">IF('HC by Program-Term'!$Y13="","—",IF(C37=0,"—",E37/C37))</f>
        <v>0.672811059907834</v>
      </c>
      <c r="G37" s="174" t="str">
        <f aca="false">IF('HC by Program-Term'!$Y13="","—",IFERROR(INDEX($C$122:$V$122,MATCH(MAX(C130:V130),C130:V130,0)),"—"))</f>
        <v>Summer 2025</v>
      </c>
      <c r="H37" s="175" t="n">
        <f aca="false">IF('HC by Program-Term'!$Y13="","—",IFERROR(MAX(C130:V130),"—"))</f>
        <v>40</v>
      </c>
      <c r="I37" s="197" t="n">
        <f aca="false">IFERROR(IF(INDEX('Method A - Summary'!$E:$E,MATCH($A37,'Method A - Summary'!$A:$A,0))="","—",1-INDEX('Method A - Summary'!$E:$E,MATCH($A37,'Method A - Summary'!$A:$A,0))),"—")</f>
        <v>0.225</v>
      </c>
      <c r="J37" s="174" t="n">
        <f aca="false">IFERROR(INDEX('Method A - Summary'!$K:$K,MATCH($A37,'Method A - Summary'!$A:$A,0)),"—")</f>
        <v>5</v>
      </c>
    </row>
    <row r="38" customFormat="false" ht="14.25" hidden="false" customHeight="false" outlineLevel="0" collapsed="false">
      <c r="A38" s="165" t="str">
        <f aca="false">'Program List'!A9</f>
        <v>M494</v>
      </c>
      <c r="B38" s="166" t="str">
        <f aca="false">'Program List'!B9</f>
        <v>Master of Arts in Global Affairs</v>
      </c>
      <c r="C38" s="177" t="n">
        <f aca="false">IF('HC by Program-Term'!$Y14="","—",'New vs Continuing — Term'!AS14)</f>
        <v>412</v>
      </c>
      <c r="D38" s="177" t="n">
        <f aca="false">IF('HC by Program-Term'!$Y14="","—",'HC by Program-Term'!V14)</f>
        <v>100</v>
      </c>
      <c r="E38" s="198" t="n">
        <f aca="false">IF('HC by Program-Term'!$Y14="","—",C38-D38)</f>
        <v>312</v>
      </c>
      <c r="F38" s="199" t="n">
        <f aca="false">IF('HC by Program-Term'!$Y14="","—",IF(C38=0,"—",E38/C38))</f>
        <v>0.757281553398058</v>
      </c>
      <c r="G38" s="176" t="str">
        <f aca="false">IF('HC by Program-Term'!$Y14="","—",IFERROR(INDEX($C$122:$V$122,MATCH(MAX(C131:V131),C131:V131,0)),"—"))</f>
        <v>Summer 2024</v>
      </c>
      <c r="H38" s="177" t="n">
        <f aca="false">IF('HC by Program-Term'!$Y14="","—",IFERROR(MAX(C131:V131),"—"))</f>
        <v>60</v>
      </c>
      <c r="I38" s="200" t="n">
        <f aca="false">IFERROR(IF(INDEX('Method A - Summary'!$E:$E,MATCH($A38,'Method A - Summary'!$A:$A,0))="","—",1-INDEX('Method A - Summary'!$E:$E,MATCH($A38,'Method A - Summary'!$A:$A,0))),"—")</f>
        <v>0.467741935483871</v>
      </c>
      <c r="J38" s="176" t="n">
        <f aca="false">IFERROR(INDEX('Method A - Summary'!$K:$K,MATCH($A38,'Method A - Summary'!$A:$A,0)),"—")</f>
        <v>9</v>
      </c>
    </row>
    <row r="39" customFormat="false" ht="14.25" hidden="false" customHeight="false" outlineLevel="0" collapsed="false">
      <c r="A39" s="162" t="str">
        <f aca="false">'Program List'!A10</f>
        <v>M700</v>
      </c>
      <c r="B39" s="163" t="str">
        <f aca="false">'Program List'!B10</f>
        <v>Master of Arts in Museum Studies</v>
      </c>
      <c r="C39" s="175" t="n">
        <f aca="false">IF('HC by Program-Term'!$Y15="","—",'New vs Continuing — Term'!AS15)</f>
        <v>870</v>
      </c>
      <c r="D39" s="175" t="n">
        <f aca="false">IF('HC by Program-Term'!$Y15="","—",'HC by Program-Term'!V15)</f>
        <v>221</v>
      </c>
      <c r="E39" s="195" t="n">
        <f aca="false">IF('HC by Program-Term'!$Y15="","—",C39-D39)</f>
        <v>649</v>
      </c>
      <c r="F39" s="196" t="n">
        <f aca="false">IF('HC by Program-Term'!$Y15="","—",IF(C39=0,"—",E39/C39))</f>
        <v>0.745977011494253</v>
      </c>
      <c r="G39" s="174" t="str">
        <f aca="false">IF('HC by Program-Term'!$Y15="","—",IFERROR(INDEX($C$122:$V$122,MATCH(MAX(C132:V132),C132:V132,0)),"—"))</f>
        <v>Summer 2024</v>
      </c>
      <c r="H39" s="175" t="n">
        <f aca="false">IF('HC by Program-Term'!$Y15="","—",IFERROR(MAX(C132:V132),"—"))</f>
        <v>94</v>
      </c>
      <c r="I39" s="197" t="n">
        <f aca="false">IFERROR(IF(INDEX('Method A - Summary'!$E:$E,MATCH($A39,'Method A - Summary'!$A:$A,0))="","—",1-INDEX('Method A - Summary'!$E:$E,MATCH($A39,'Method A - Summary'!$A:$A,0))),"—")</f>
        <v>0.345991561181435</v>
      </c>
      <c r="J39" s="174" t="n">
        <f aca="false">IFERROR(INDEX('Method A - Summary'!$K:$K,MATCH($A39,'Method A - Summary'!$A:$A,0)),"—")</f>
        <v>9</v>
      </c>
    </row>
    <row r="40" customFormat="false" ht="14.25" hidden="false" customHeight="false" outlineLevel="0" collapsed="false">
      <c r="A40" s="165" t="str">
        <f aca="false">'Program List'!A11</f>
        <v>M762</v>
      </c>
      <c r="B40" s="166" t="str">
        <f aca="false">'Program List'!B11</f>
        <v>Master of Arts in Organizational Leadership</v>
      </c>
      <c r="C40" s="177" t="n">
        <f aca="false">IF('HC by Program-Term'!$Y16="","—",'New vs Continuing — Term'!AS16)</f>
        <v>782</v>
      </c>
      <c r="D40" s="177" t="n">
        <f aca="false">IF('HC by Program-Term'!$Y16="","—",'HC by Program-Term'!V16)</f>
        <v>155</v>
      </c>
      <c r="E40" s="198" t="n">
        <f aca="false">IF('HC by Program-Term'!$Y16="","—",C40-D40)</f>
        <v>627</v>
      </c>
      <c r="F40" s="199" t="n">
        <f aca="false">IF('HC by Program-Term'!$Y16="","—",IF(C40=0,"—",E40/C40))</f>
        <v>0.801790281329923</v>
      </c>
      <c r="G40" s="176" t="str">
        <f aca="false">IF('HC by Program-Term'!$Y16="","—",IFERROR(INDEX($C$122:$V$122,MATCH(MAX(C133:V133),C133:V133,0)),"—"))</f>
        <v>Summer 2024</v>
      </c>
      <c r="H40" s="177" t="n">
        <f aca="false">IF('HC by Program-Term'!$Y16="","—",IFERROR(MAX(C133:V133),"—"))</f>
        <v>91</v>
      </c>
      <c r="I40" s="200" t="n">
        <f aca="false">IFERROR(IF(INDEX('Method A - Summary'!$E:$E,MATCH($A40,'Method A - Summary'!$A:$A,0))="","—",1-INDEX('Method A - Summary'!$E:$E,MATCH($A40,'Method A - Summary'!$A:$A,0))),"—")</f>
        <v>0.42970297029703</v>
      </c>
      <c r="J40" s="176" t="n">
        <f aca="false">IFERROR(INDEX('Method A - Summary'!$K:$K,MATCH($A40,'Method A - Summary'!$A:$A,0)),"—")</f>
        <v>9</v>
      </c>
    </row>
    <row r="41" customFormat="false" ht="14.25" hidden="false" customHeight="false" outlineLevel="0" collapsed="false">
      <c r="A41" s="162" t="str">
        <f aca="false">'Program List'!A12</f>
        <v>M859</v>
      </c>
      <c r="B41" s="163" t="str">
        <f aca="false">'Program List'!B12</f>
        <v>Master of Arts in Strategic Communication and Digital Strategy</v>
      </c>
      <c r="C41" s="175" t="n">
        <f aca="false">IF('HC by Program-Term'!$Y17="","—",'New vs Continuing — Term'!AS17)</f>
        <v>398</v>
      </c>
      <c r="D41" s="175" t="n">
        <f aca="false">IF('HC by Program-Term'!$Y17="","—",'HC by Program-Term'!V17)</f>
        <v>80</v>
      </c>
      <c r="E41" s="195" t="n">
        <f aca="false">IF('HC by Program-Term'!$Y17="","—",C41-D41)</f>
        <v>318</v>
      </c>
      <c r="F41" s="196" t="n">
        <f aca="false">IF('HC by Program-Term'!$Y17="","—",IF(C41=0,"—",E41/C41))</f>
        <v>0.798994974874372</v>
      </c>
      <c r="G41" s="174" t="str">
        <f aca="false">IF('HC by Program-Term'!$Y17="","—",IFERROR(INDEX($C$122:$V$122,MATCH(MAX(C134:V134),C134:V134,0)),"—"))</f>
        <v>Summer 2024</v>
      </c>
      <c r="H41" s="175" t="n">
        <f aca="false">IF('HC by Program-Term'!$Y17="","—",IFERROR(MAX(C134:V134),"—"))</f>
        <v>41</v>
      </c>
      <c r="I41" s="197" t="n">
        <f aca="false">IFERROR(IF(INDEX('Method A - Summary'!$E:$E,MATCH($A41,'Method A - Summary'!$A:$A,0))="","—",1-INDEX('Method A - Summary'!$E:$E,MATCH($A41,'Method A - Summary'!$A:$A,0))),"—")</f>
        <v>0.1875</v>
      </c>
      <c r="J41" s="174" t="n">
        <f aca="false">IFERROR(INDEX('Method A - Summary'!$K:$K,MATCH($A41,'Method A - Summary'!$A:$A,0)),"—")</f>
        <v>6</v>
      </c>
    </row>
    <row r="42" customFormat="false" ht="14.25" hidden="false" customHeight="false" outlineLevel="0" collapsed="false">
      <c r="A42" s="165" t="str">
        <f aca="false">'Program List'!A13</f>
        <v>M202</v>
      </c>
      <c r="B42" s="166" t="str">
        <f aca="false">'Program List'!B13</f>
        <v>Master of Clinical Mental Health Counseling</v>
      </c>
      <c r="C42" s="177" t="n">
        <f aca="false">IF('HC by Program-Term'!$Y18="","—",'New vs Continuing — Term'!AS18)</f>
        <v>435</v>
      </c>
      <c r="D42" s="177" t="n">
        <f aca="false">IF('HC by Program-Term'!$Y18="","—",'HC by Program-Term'!V18)</f>
        <v>174</v>
      </c>
      <c r="E42" s="198" t="n">
        <f aca="false">IF('HC by Program-Term'!$Y18="","—",C42-D42)</f>
        <v>261</v>
      </c>
      <c r="F42" s="199" t="n">
        <f aca="false">IF('HC by Program-Term'!$Y18="","—",IF(C42=0,"—",E42/C42))</f>
        <v>0.6</v>
      </c>
      <c r="G42" s="176" t="str">
        <f aca="false">IF('HC by Program-Term'!$Y18="","—",IFERROR(INDEX($C$122:$V$122,MATCH(MAX(C135:V135),C135:V135,0)),"—"))</f>
        <v>Summer 2026</v>
      </c>
      <c r="H42" s="177" t="n">
        <f aca="false">IF('HC by Program-Term'!$Y18="","—",IFERROR(MAX(C135:V135),"—"))</f>
        <v>44</v>
      </c>
      <c r="I42" s="200" t="n">
        <f aca="false">IFERROR(IF(INDEX('Method A - Summary'!$E:$E,MATCH($A42,'Method A - Summary'!$A:$A,0))="","—",1-INDEX('Method A - Summary'!$E:$E,MATCH($A42,'Method A - Summary'!$A:$A,0))),"—")</f>
        <v>0.2125</v>
      </c>
      <c r="J42" s="176" t="n">
        <f aca="false">IFERROR(INDEX('Method A - Summary'!$K:$K,MATCH($A42,'Method A - Summary'!$A:$A,0)),"—")</f>
        <v>9</v>
      </c>
    </row>
    <row r="43" customFormat="false" ht="14.25" hidden="false" customHeight="false" outlineLevel="0" collapsed="false">
      <c r="A43" s="162" t="str">
        <f aca="false">'Program List'!A14</f>
        <v>M246</v>
      </c>
      <c r="B43" s="163" t="str">
        <f aca="false">'Program List'!B14</f>
        <v>Master of Construction Business</v>
      </c>
      <c r="C43" s="175" t="n">
        <f aca="false">IF('HC by Program-Term'!$Y19="","—",'New vs Continuing — Term'!AS19)</f>
        <v>192</v>
      </c>
      <c r="D43" s="175" t="n">
        <f aca="false">IF('HC by Program-Term'!$Y19="","—",'HC by Program-Term'!V19)</f>
        <v>45</v>
      </c>
      <c r="E43" s="195" t="n">
        <f aca="false">IF('HC by Program-Term'!$Y19="","—",C43-D43)</f>
        <v>147</v>
      </c>
      <c r="F43" s="196" t="n">
        <f aca="false">IF('HC by Program-Term'!$Y19="","—",IF(C43=0,"—",E43/C43))</f>
        <v>0.765625</v>
      </c>
      <c r="G43" s="174" t="str">
        <f aca="false">IF('HC by Program-Term'!$Y19="","—",IFERROR(INDEX($C$122:$V$122,MATCH(MAX(C136:V136),C136:V136,0)),"—"))</f>
        <v>Spring 2024</v>
      </c>
      <c r="H43" s="175" t="n">
        <f aca="false">IF('HC by Program-Term'!$Y19="","—",IFERROR(MAX(C136:V136),"—"))</f>
        <v>24</v>
      </c>
      <c r="I43" s="197" t="n">
        <f aca="false">IFERROR(IF(INDEX('Method A - Summary'!$E:$E,MATCH($A43,'Method A - Summary'!$A:$A,0))="","—",1-INDEX('Method A - Summary'!$E:$E,MATCH($A43,'Method A - Summary'!$A:$A,0))),"—")</f>
        <v>0.130434782608696</v>
      </c>
      <c r="J43" s="174" t="n">
        <f aca="false">IFERROR(INDEX('Method A - Summary'!$K:$K,MATCH($A43,'Method A - Summary'!$A:$A,0)),"—")</f>
        <v>7</v>
      </c>
    </row>
    <row r="44" customFormat="false" ht="14.25" hidden="false" customHeight="false" outlineLevel="0" collapsed="false">
      <c r="A44" s="165" t="str">
        <f aca="false">'Program List'!A15</f>
        <v>M297</v>
      </c>
      <c r="B44" s="166" t="str">
        <f aca="false">'Program List'!B15</f>
        <v>Master of Econometrics</v>
      </c>
      <c r="C44" s="177" t="str">
        <f aca="false">IF('HC by Program-Term'!$Y20="","—",'New vs Continuing — Term'!AS20)</f>
        <v>—</v>
      </c>
      <c r="D44" s="177" t="str">
        <f aca="false">IF('HC by Program-Term'!$Y20="","—",'HC by Program-Term'!V20)</f>
        <v>—</v>
      </c>
      <c r="E44" s="198" t="str">
        <f aca="false">IF('HC by Program-Term'!$Y20="","—",C44-D44)</f>
        <v>—</v>
      </c>
      <c r="F44" s="199" t="str">
        <f aca="false">IF('HC by Program-Term'!$Y20="","—",IF(C44=0,"—",E44/C44))</f>
        <v>—</v>
      </c>
      <c r="G44" s="176" t="str">
        <f aca="false">IF('HC by Program-Term'!$Y20="","—",IFERROR(INDEX($C$122:$V$122,MATCH(MAX(C137:V137),C137:V137,0)),"—"))</f>
        <v>—</v>
      </c>
      <c r="H44" s="177" t="str">
        <f aca="false">IF('HC by Program-Term'!$Y20="","—",IFERROR(MAX(C137:V137),"—"))</f>
        <v>—</v>
      </c>
      <c r="I44" s="200" t="str">
        <f aca="false">IFERROR(IF(INDEX('Method A - Summary'!$E:$E,MATCH($A44,'Method A - Summary'!$A:$A,0))="","—",1-INDEX('Method A - Summary'!$E:$E,MATCH($A44,'Method A - Summary'!$A:$A,0))),"—")</f>
        <v>—</v>
      </c>
      <c r="J44" s="176" t="n">
        <f aca="false">IFERROR(INDEX('Method A - Summary'!$K:$K,MATCH($A44,'Method A - Summary'!$A:$A,0)),"—")</f>
        <v>3</v>
      </c>
    </row>
    <row r="45" customFormat="false" ht="14.25" hidden="false" customHeight="false" outlineLevel="0" collapsed="false">
      <c r="A45" s="162" t="str">
        <f aca="false">'Program List'!A16</f>
        <v>M383</v>
      </c>
      <c r="B45" s="163" t="str">
        <f aca="false">'Program List'!B16</f>
        <v>Master of Entrepreneurship &amp; Innovation</v>
      </c>
      <c r="C45" s="175" t="str">
        <f aca="false">IF('HC by Program-Term'!$Y21="","—",'New vs Continuing — Term'!AS21)</f>
        <v>—</v>
      </c>
      <c r="D45" s="175" t="str">
        <f aca="false">IF('HC by Program-Term'!$Y21="","—",'HC by Program-Term'!V21)</f>
        <v>—</v>
      </c>
      <c r="E45" s="195" t="str">
        <f aca="false">IF('HC by Program-Term'!$Y21="","—",C45-D45)</f>
        <v>—</v>
      </c>
      <c r="F45" s="196" t="str">
        <f aca="false">IF('HC by Program-Term'!$Y21="","—",IF(C45=0,"—",E45/C45))</f>
        <v>—</v>
      </c>
      <c r="G45" s="174" t="str">
        <f aca="false">IF('HC by Program-Term'!$Y21="","—",IFERROR(INDEX($C$122:$V$122,MATCH(MAX(C138:V138),C138:V138,0)),"—"))</f>
        <v>—</v>
      </c>
      <c r="H45" s="175" t="str">
        <f aca="false">IF('HC by Program-Term'!$Y21="","—",IFERROR(MAX(C138:V138),"—"))</f>
        <v>—</v>
      </c>
      <c r="I45" s="197" t="str">
        <f aca="false">IFERROR(IF(INDEX('Method A - Summary'!$E:$E,MATCH($A45,'Method A - Summary'!$A:$A,0))="","—",1-INDEX('Method A - Summary'!$E:$E,MATCH($A45,'Method A - Summary'!$A:$A,0))),"—")</f>
        <v>—</v>
      </c>
      <c r="J45" s="174" t="n">
        <f aca="false">IFERROR(INDEX('Method A - Summary'!$K:$K,MATCH($A45,'Method A - Summary'!$A:$A,0)),"—")</f>
        <v>3</v>
      </c>
    </row>
    <row r="46" customFormat="false" ht="14.25" hidden="false" customHeight="false" outlineLevel="0" collapsed="false">
      <c r="A46" s="165" t="str">
        <f aca="false">'Program List'!A17</f>
        <v>M518</v>
      </c>
      <c r="B46" s="166" t="str">
        <f aca="false">'Program List'!B17</f>
        <v>Master of Environmental Science: Hydrology and Water Security</v>
      </c>
      <c r="C46" s="177" t="n">
        <f aca="false">IF('HC by Program-Term'!$Y22="","—",'New vs Continuing — Term'!AS22)</f>
        <v>398</v>
      </c>
      <c r="D46" s="177" t="n">
        <f aca="false">IF('HC by Program-Term'!$Y22="","—",'HC by Program-Term'!V22)</f>
        <v>94</v>
      </c>
      <c r="E46" s="198" t="n">
        <f aca="false">IF('HC by Program-Term'!$Y22="","—",C46-D46)</f>
        <v>304</v>
      </c>
      <c r="F46" s="199" t="n">
        <f aca="false">IF('HC by Program-Term'!$Y22="","—",IF(C46=0,"—",E46/C46))</f>
        <v>0.763819095477387</v>
      </c>
      <c r="G46" s="176" t="str">
        <f aca="false">IF('HC by Program-Term'!$Y22="","—",IFERROR(INDEX($C$122:$V$122,MATCH(MAX(C139:V139),C139:V139,0)),"—"))</f>
        <v>Summer 2023</v>
      </c>
      <c r="H46" s="177" t="n">
        <f aca="false">IF('HC by Program-Term'!$Y22="","—",IFERROR(MAX(C139:V139),"—"))</f>
        <v>47</v>
      </c>
      <c r="I46" s="200" t="n">
        <f aca="false">IFERROR(IF(INDEX('Method A - Summary'!$E:$E,MATCH($A46,'Method A - Summary'!$A:$A,0))="","—",1-INDEX('Method A - Summary'!$E:$E,MATCH($A46,'Method A - Summary'!$A:$A,0))),"—")</f>
        <v>0.275590551181102</v>
      </c>
      <c r="J46" s="176" t="n">
        <f aca="false">IFERROR(INDEX('Method A - Summary'!$K:$K,MATCH($A46,'Method A - Summary'!$A:$A,0)),"—")</f>
        <v>8</v>
      </c>
    </row>
    <row r="47" customFormat="false" ht="14.25" hidden="false" customHeight="false" outlineLevel="0" collapsed="false">
      <c r="A47" s="162" t="str">
        <f aca="false">'Program List'!A18</f>
        <v>M368</v>
      </c>
      <c r="B47" s="163" t="str">
        <f aca="false">'Program List'!B18</f>
        <v>Master of Legal Studies - Energy</v>
      </c>
      <c r="C47" s="175" t="n">
        <f aca="false">IF('HC by Program-Term'!$Y23="","—",'New vs Continuing — Term'!AS23)</f>
        <v>133</v>
      </c>
      <c r="D47" s="175" t="n">
        <f aca="false">IF('HC by Program-Term'!$Y23="","—",'HC by Program-Term'!V23)</f>
        <v>36</v>
      </c>
      <c r="E47" s="195" t="n">
        <f aca="false">IF('HC by Program-Term'!$Y23="","—",C47-D47)</f>
        <v>97</v>
      </c>
      <c r="F47" s="196" t="n">
        <f aca="false">IF('HC by Program-Term'!$Y23="","—",IF(C47=0,"—",E47/C47))</f>
        <v>0.729323308270677</v>
      </c>
      <c r="G47" s="174" t="str">
        <f aca="false">IF('HC by Program-Term'!$Y23="","—",IFERROR(INDEX($C$122:$V$122,MATCH(MAX(C140:V140),C140:V140,0)),"—"))</f>
        <v>Spring 2024</v>
      </c>
      <c r="H47" s="175" t="n">
        <f aca="false">IF('HC by Program-Term'!$Y23="","—",IFERROR(MAX(C140:V140),"—"))</f>
        <v>16</v>
      </c>
      <c r="I47" s="197" t="n">
        <f aca="false">IFERROR(IF(INDEX('Method A - Summary'!$E:$E,MATCH($A47,'Method A - Summary'!$A:$A,0))="","—",1-INDEX('Method A - Summary'!$E:$E,MATCH($A47,'Method A - Summary'!$A:$A,0))),"—")</f>
        <v>0.292682926829268</v>
      </c>
      <c r="J47" s="174" t="n">
        <f aca="false">IFERROR(INDEX('Method A - Summary'!$K:$K,MATCH($A47,'Method A - Summary'!$A:$A,0)),"—")</f>
        <v>5</v>
      </c>
    </row>
    <row r="48" customFormat="false" ht="14.25" hidden="false" customHeight="false" outlineLevel="0" collapsed="false">
      <c r="A48" s="165" t="str">
        <f aca="false">'Program List'!A19</f>
        <v>M636</v>
      </c>
      <c r="B48" s="166" t="str">
        <f aca="false">'Program List'!B19</f>
        <v>Master of Legal Studies - General</v>
      </c>
      <c r="C48" s="177" t="str">
        <f aca="false">IF('HC by Program-Term'!$Y24="","—",'New vs Continuing — Term'!AS24)</f>
        <v>—</v>
      </c>
      <c r="D48" s="177" t="str">
        <f aca="false">IF('HC by Program-Term'!$Y24="","—",'HC by Program-Term'!V24)</f>
        <v>—</v>
      </c>
      <c r="E48" s="198" t="str">
        <f aca="false">IF('HC by Program-Term'!$Y24="","—",C48-D48)</f>
        <v>—</v>
      </c>
      <c r="F48" s="199" t="str">
        <f aca="false">IF('HC by Program-Term'!$Y24="","—",IF(C48=0,"—",E48/C48))</f>
        <v>—</v>
      </c>
      <c r="G48" s="176" t="str">
        <f aca="false">IF('HC by Program-Term'!$Y24="","—",IFERROR(INDEX($C$122:$V$122,MATCH(MAX(C141:V141),C141:V141,0)),"—"))</f>
        <v>—</v>
      </c>
      <c r="H48" s="177" t="str">
        <f aca="false">IF('HC by Program-Term'!$Y24="","—",IFERROR(MAX(C141:V141),"—"))</f>
        <v>—</v>
      </c>
      <c r="I48" s="200" t="str">
        <f aca="false">IFERROR(IF(INDEX('Method A - Summary'!$E:$E,MATCH($A48,'Method A - Summary'!$A:$A,0))="","—",1-INDEX('Method A - Summary'!$E:$E,MATCH($A48,'Method A - Summary'!$A:$A,0))),"—")</f>
        <v>—</v>
      </c>
      <c r="J48" s="176" t="n">
        <f aca="false">IFERROR(INDEX('Method A - Summary'!$K:$K,MATCH($A48,'Method A - Summary'!$A:$A,0)),"—")</f>
        <v>3</v>
      </c>
    </row>
    <row r="49" customFormat="false" ht="14.25" hidden="false" customHeight="false" outlineLevel="0" collapsed="false">
      <c r="A49" s="162" t="str">
        <f aca="false">'Program List'!A20</f>
        <v>M503</v>
      </c>
      <c r="B49" s="163" t="str">
        <f aca="false">'Program List'!B20</f>
        <v>Master of Legal Studies - Healthcare Law</v>
      </c>
      <c r="C49" s="175" t="n">
        <f aca="false">IF('HC by Program-Term'!$Y25="","—",'New vs Continuing — Term'!AS25)</f>
        <v>580</v>
      </c>
      <c r="D49" s="175" t="n">
        <f aca="false">IF('HC by Program-Term'!$Y25="","—",'HC by Program-Term'!V25)</f>
        <v>81</v>
      </c>
      <c r="E49" s="195" t="n">
        <f aca="false">IF('HC by Program-Term'!$Y25="","—",C49-D49)</f>
        <v>499</v>
      </c>
      <c r="F49" s="196" t="n">
        <f aca="false">IF('HC by Program-Term'!$Y25="","—",IF(C49=0,"—",E49/C49))</f>
        <v>0.860344827586207</v>
      </c>
      <c r="G49" s="174" t="str">
        <f aca="false">IF('HC by Program-Term'!$Y25="","—",IFERROR(INDEX($C$122:$V$122,MATCH(MAX(C142:V142),C142:V142,0)),"—"))</f>
        <v>Summer 2023</v>
      </c>
      <c r="H49" s="175" t="n">
        <f aca="false">IF('HC by Program-Term'!$Y25="","—",IFERROR(MAX(C142:V142),"—"))</f>
        <v>62</v>
      </c>
      <c r="I49" s="197" t="n">
        <f aca="false">IFERROR(IF(INDEX('Method A - Summary'!$E:$E,MATCH($A49,'Method A - Summary'!$A:$A,0))="","—",1-INDEX('Method A - Summary'!$E:$E,MATCH($A49,'Method A - Summary'!$A:$A,0))),"—")</f>
        <v>0.266355140186916</v>
      </c>
      <c r="J49" s="174" t="n">
        <f aca="false">IFERROR(INDEX('Method A - Summary'!$K:$K,MATCH($A49,'Method A - Summary'!$A:$A,0)),"—")</f>
        <v>6</v>
      </c>
    </row>
    <row r="50" customFormat="false" ht="14.25" hidden="false" customHeight="false" outlineLevel="0" collapsed="false">
      <c r="A50" s="165" t="str">
        <f aca="false">'Program List'!A21</f>
        <v>M522</v>
      </c>
      <c r="B50" s="166" t="str">
        <f aca="false">'Program List'!B21</f>
        <v>Master of Legal Studies - Indigenous Peoples Law</v>
      </c>
      <c r="C50" s="177" t="n">
        <f aca="false">IF('HC by Program-Term'!$Y26="","—",'New vs Continuing — Term'!AS26)</f>
        <v>768</v>
      </c>
      <c r="D50" s="177" t="n">
        <f aca="false">IF('HC by Program-Term'!$Y26="","—",'HC by Program-Term'!V26)</f>
        <v>90</v>
      </c>
      <c r="E50" s="198" t="n">
        <f aca="false">IF('HC by Program-Term'!$Y26="","—",C50-D50)</f>
        <v>678</v>
      </c>
      <c r="F50" s="199" t="n">
        <f aca="false">IF('HC by Program-Term'!$Y26="","—",IF(C50=0,"—",E50/C50))</f>
        <v>0.8828125</v>
      </c>
      <c r="G50" s="176" t="str">
        <f aca="false">IF('HC by Program-Term'!$Y26="","—",IFERROR(INDEX($C$122:$V$122,MATCH(MAX(C143:V143),C143:V143,0)),"—"))</f>
        <v>Summer 2022</v>
      </c>
      <c r="H50" s="177" t="n">
        <f aca="false">IF('HC by Program-Term'!$Y26="","—",IFERROR(MAX(C143:V143),"—"))</f>
        <v>94</v>
      </c>
      <c r="I50" s="200" t="n">
        <f aca="false">IFERROR(IF(INDEX('Method A - Summary'!$E:$E,MATCH($A50,'Method A - Summary'!$A:$A,0))="","—",1-INDEX('Method A - Summary'!$E:$E,MATCH($A50,'Method A - Summary'!$A:$A,0))),"—")</f>
        <v>0.321554770318021</v>
      </c>
      <c r="J50" s="176" t="n">
        <f aca="false">IFERROR(INDEX('Method A - Summary'!$K:$K,MATCH($A50,'Method A - Summary'!$A:$A,0)),"—")</f>
        <v>6</v>
      </c>
    </row>
    <row r="51" customFormat="false" ht="14.25" hidden="false" customHeight="false" outlineLevel="0" collapsed="false">
      <c r="A51" s="162" t="str">
        <f aca="false">'Program List'!A22</f>
        <v>M589</v>
      </c>
      <c r="B51" s="163" t="str">
        <f aca="false">'Program List'!B22</f>
        <v>Master of Legal Studies - International Business</v>
      </c>
      <c r="C51" s="175" t="n">
        <f aca="false">IF('HC by Program-Term'!$Y27="","—",'New vs Continuing — Term'!AS27)</f>
        <v>80</v>
      </c>
      <c r="D51" s="175" t="n">
        <f aca="false">IF('HC by Program-Term'!$Y27="","—",'HC by Program-Term'!V27)</f>
        <v>12</v>
      </c>
      <c r="E51" s="195" t="n">
        <f aca="false">IF('HC by Program-Term'!$Y27="","—",C51-D51)</f>
        <v>68</v>
      </c>
      <c r="F51" s="196" t="n">
        <f aca="false">IF('HC by Program-Term'!$Y27="","—",IF(C51=0,"—",E51/C51))</f>
        <v>0.85</v>
      </c>
      <c r="G51" s="174" t="str">
        <f aca="false">IF('HC by Program-Term'!$Y27="","—",IFERROR(INDEX($C$122:$V$122,MATCH(MAX(C144:V144),C144:V144,0)),"—"))</f>
        <v>Spring 2022</v>
      </c>
      <c r="H51" s="175" t="n">
        <f aca="false">IF('HC by Program-Term'!$Y27="","—",IFERROR(MAX(C144:V144),"—"))</f>
        <v>13</v>
      </c>
      <c r="I51" s="197" t="n">
        <f aca="false">IFERROR(IF(INDEX('Method A - Summary'!$E:$E,MATCH($A51,'Method A - Summary'!$A:$A,0))="","—",1-INDEX('Method A - Summary'!$E:$E,MATCH($A51,'Method A - Summary'!$A:$A,0))),"—")</f>
        <v>0.294117647058823</v>
      </c>
      <c r="J51" s="174" t="n">
        <f aca="false">IFERROR(INDEX('Method A - Summary'!$K:$K,MATCH($A51,'Method A - Summary'!$A:$A,0)),"—")</f>
        <v>6</v>
      </c>
    </row>
    <row r="52" customFormat="false" ht="14.25" hidden="false" customHeight="false" outlineLevel="0" collapsed="false">
      <c r="A52" s="165" t="str">
        <f aca="false">'Program List'!A23</f>
        <v>M029</v>
      </c>
      <c r="B52" s="166" t="str">
        <f aca="false">'Program List'!B23</f>
        <v>Master of Science in Applied Computing</v>
      </c>
      <c r="C52" s="177" t="str">
        <f aca="false">IF('HC by Program-Term'!$Y28="","—",'New vs Continuing — Term'!AS28)</f>
        <v>—</v>
      </c>
      <c r="D52" s="177" t="str">
        <f aca="false">IF('HC by Program-Term'!$Y28="","—",'HC by Program-Term'!V28)</f>
        <v>—</v>
      </c>
      <c r="E52" s="198" t="str">
        <f aca="false">IF('HC by Program-Term'!$Y28="","—",C52-D52)</f>
        <v>—</v>
      </c>
      <c r="F52" s="199" t="str">
        <f aca="false">IF('HC by Program-Term'!$Y28="","—",IF(C52=0,"—",E52/C52))</f>
        <v>—</v>
      </c>
      <c r="G52" s="176" t="str">
        <f aca="false">IF('HC by Program-Term'!$Y28="","—",IFERROR(INDEX($C$122:$V$122,MATCH(MAX(C145:V145),C145:V145,0)),"—"))</f>
        <v>—</v>
      </c>
      <c r="H52" s="177" t="str">
        <f aca="false">IF('HC by Program-Term'!$Y28="","—",IFERROR(MAX(C145:V145),"—"))</f>
        <v>—</v>
      </c>
      <c r="I52" s="200" t="str">
        <f aca="false">IFERROR(IF(INDEX('Method A - Summary'!$E:$E,MATCH($A52,'Method A - Summary'!$A:$A,0))="","—",1-INDEX('Method A - Summary'!$E:$E,MATCH($A52,'Method A - Summary'!$A:$A,0))),"—")</f>
        <v>—</v>
      </c>
      <c r="J52" s="176" t="n">
        <f aca="false">IFERROR(INDEX('Method A - Summary'!$K:$K,MATCH($A52,'Method A - Summary'!$A:$A,0)),"—")</f>
        <v>3</v>
      </c>
    </row>
    <row r="53" customFormat="false" ht="14.25" hidden="false" customHeight="false" outlineLevel="0" collapsed="false">
      <c r="A53" s="162" t="str">
        <f aca="false">'Program List'!A24</f>
        <v>M035</v>
      </c>
      <c r="B53" s="163" t="str">
        <f aca="false">'Program List'!B24</f>
        <v>Master of Science in Applied Statistics</v>
      </c>
      <c r="C53" s="175" t="n">
        <f aca="false">IF('HC by Program-Term'!$Y29="","—",'New vs Continuing — Term'!AS29)</f>
        <v>158</v>
      </c>
      <c r="D53" s="175" t="n">
        <f aca="false">IF('HC by Program-Term'!$Y29="","—",'HC by Program-Term'!V29)</f>
        <v>32</v>
      </c>
      <c r="E53" s="195" t="n">
        <f aca="false">IF('HC by Program-Term'!$Y29="","—",C53-D53)</f>
        <v>126</v>
      </c>
      <c r="F53" s="196" t="n">
        <f aca="false">IF('HC by Program-Term'!$Y29="","—",IF(C53=0,"—",E53/C53))</f>
        <v>0.79746835443038</v>
      </c>
      <c r="G53" s="174" t="str">
        <f aca="false">IF('HC by Program-Term'!$Y29="","—",IFERROR(INDEX($C$122:$V$122,MATCH(MAX(C146:V146),C146:V146,0)),"—"))</f>
        <v>Summer 2026</v>
      </c>
      <c r="H53" s="175" t="n">
        <f aca="false">IF('HC by Program-Term'!$Y29="","—",IFERROR(MAX(C146:V146),"—"))</f>
        <v>29</v>
      </c>
      <c r="I53" s="197" t="n">
        <f aca="false">IFERROR(IF(INDEX('Method A - Summary'!$E:$E,MATCH($A53,'Method A - Summary'!$A:$A,0))="","—",1-INDEX('Method A - Summary'!$E:$E,MATCH($A53,'Method A - Summary'!$A:$A,0))),"—")</f>
        <v>0.571428571428571</v>
      </c>
      <c r="J53" s="174" t="n">
        <f aca="false">IFERROR(INDEX('Method A - Summary'!$K:$K,MATCH($A53,'Method A - Summary'!$A:$A,0)),"—")</f>
        <v>8</v>
      </c>
    </row>
    <row r="54" customFormat="false" ht="14.25" hidden="false" customHeight="false" outlineLevel="0" collapsed="false">
      <c r="A54" s="165" t="str">
        <f aca="false">'Program List'!A25</f>
        <v>M145</v>
      </c>
      <c r="B54" s="166" t="str">
        <f aca="false">'Program List'!B25</f>
        <v>Master of Science in Business Analytics</v>
      </c>
      <c r="C54" s="177" t="n">
        <f aca="false">IF('HC by Program-Term'!$Y30="","—",'New vs Continuing — Term'!AS30)</f>
        <v>153</v>
      </c>
      <c r="D54" s="177" t="n">
        <f aca="false">IF('HC by Program-Term'!$Y30="","—",'HC by Program-Term'!V30)</f>
        <v>51</v>
      </c>
      <c r="E54" s="198" t="n">
        <f aca="false">IF('HC by Program-Term'!$Y30="","—",C54-D54)</f>
        <v>102</v>
      </c>
      <c r="F54" s="199" t="n">
        <f aca="false">IF('HC by Program-Term'!$Y30="","—",IF(C54=0,"—",E54/C54))</f>
        <v>0.666666666666667</v>
      </c>
      <c r="G54" s="176" t="str">
        <f aca="false">IF('HC by Program-Term'!$Y30="","—",IFERROR(INDEX($C$122:$V$122,MATCH(MAX(C147:V147),C147:V147,0)),"—"))</f>
        <v>Summer 2024</v>
      </c>
      <c r="H54" s="177" t="n">
        <f aca="false">IF('HC by Program-Term'!$Y30="","—",IFERROR(MAX(C147:V147),"—"))</f>
        <v>26</v>
      </c>
      <c r="I54" s="200" t="n">
        <f aca="false">IFERROR(IF(INDEX('Method A - Summary'!$E:$E,MATCH($A54,'Method A - Summary'!$A:$A,0))="","—",1-INDEX('Method A - Summary'!$E:$E,MATCH($A54,'Method A - Summary'!$A:$A,0))),"—")</f>
        <v>0.38961038961039</v>
      </c>
      <c r="J54" s="176" t="n">
        <f aca="false">IFERROR(INDEX('Method A - Summary'!$K:$K,MATCH($A54,'Method A - Summary'!$A:$A,0)),"—")</f>
        <v>6</v>
      </c>
    </row>
    <row r="55" customFormat="false" ht="14.25" hidden="false" customHeight="false" outlineLevel="0" collapsed="false">
      <c r="A55" s="162" t="str">
        <f aca="false">'Program List'!A26</f>
        <v>M191</v>
      </c>
      <c r="B55" s="163" t="str">
        <f aca="false">'Program List'!B26</f>
        <v>Master of Science in Civil Engineering</v>
      </c>
      <c r="C55" s="175" t="n">
        <f aca="false">IF('HC by Program-Term'!$Y31="","—",'New vs Continuing — Term'!AS31)</f>
        <v>241</v>
      </c>
      <c r="D55" s="175" t="n">
        <f aca="false">IF('HC by Program-Term'!$Y31="","—",'HC by Program-Term'!V31)</f>
        <v>67</v>
      </c>
      <c r="E55" s="195" t="n">
        <f aca="false">IF('HC by Program-Term'!$Y31="","—",C55-D55)</f>
        <v>174</v>
      </c>
      <c r="F55" s="196" t="n">
        <f aca="false">IF('HC by Program-Term'!$Y31="","—",IF(C55=0,"—",E55/C55))</f>
        <v>0.721991701244813</v>
      </c>
      <c r="G55" s="174" t="str">
        <f aca="false">IF('HC by Program-Term'!$Y31="","—",IFERROR(INDEX($C$122:$V$122,MATCH(MAX(C148:V148),C148:V148,0)),"—"))</f>
        <v>Summer 2023</v>
      </c>
      <c r="H55" s="175" t="n">
        <f aca="false">IF('HC by Program-Term'!$Y31="","—",IFERROR(MAX(C148:V148),"—"))</f>
        <v>36</v>
      </c>
      <c r="I55" s="197" t="n">
        <f aca="false">IFERROR(IF(INDEX('Method A - Summary'!$E:$E,MATCH($A55,'Method A - Summary'!$A:$A,0))="","—",1-INDEX('Method A - Summary'!$E:$E,MATCH($A55,'Method A - Summary'!$A:$A,0))),"—")</f>
        <v>0.16551724137931</v>
      </c>
      <c r="J55" s="174" t="n">
        <f aca="false">IFERROR(INDEX('Method A - Summary'!$K:$K,MATCH($A55,'Method A - Summary'!$A:$A,0)),"—")</f>
        <v>7</v>
      </c>
    </row>
    <row r="56" customFormat="false" ht="14.25" hidden="false" customHeight="false" outlineLevel="0" collapsed="false">
      <c r="A56" s="165" t="str">
        <f aca="false">'Program List'!A27</f>
        <v>M260</v>
      </c>
      <c r="B56" s="166" t="str">
        <f aca="false">'Program List'!B27</f>
        <v>Master of Science in Criminal Justice</v>
      </c>
      <c r="C56" s="177" t="n">
        <f aca="false">IF('HC by Program-Term'!$Y32="","—",'New vs Continuing — Term'!AS32)</f>
        <v>345</v>
      </c>
      <c r="D56" s="177" t="n">
        <f aca="false">IF('HC by Program-Term'!$Y32="","—",'HC by Program-Term'!V32)</f>
        <v>63</v>
      </c>
      <c r="E56" s="198" t="n">
        <f aca="false">IF('HC by Program-Term'!$Y32="","—",C56-D56)</f>
        <v>282</v>
      </c>
      <c r="F56" s="199" t="n">
        <f aca="false">IF('HC by Program-Term'!$Y32="","—",IF(C56=0,"—",E56/C56))</f>
        <v>0.817391304347826</v>
      </c>
      <c r="G56" s="176" t="str">
        <f aca="false">IF('HC by Program-Term'!$Y32="","—",IFERROR(INDEX($C$122:$V$122,MATCH(MAX(C149:V149),C149:V149,0)),"—"))</f>
        <v>Summer 2025</v>
      </c>
      <c r="H56" s="177" t="n">
        <f aca="false">IF('HC by Program-Term'!$Y32="","—",IFERROR(MAX(C149:V149),"—"))</f>
        <v>52</v>
      </c>
      <c r="I56" s="200" t="n">
        <f aca="false">IFERROR(IF(INDEX('Method A - Summary'!$E:$E,MATCH($A56,'Method A - Summary'!$A:$A,0))="","—",1-INDEX('Method A - Summary'!$E:$E,MATCH($A56,'Method A - Summary'!$A:$A,0))),"—")</f>
        <v>0.444954128440367</v>
      </c>
      <c r="J56" s="176" t="n">
        <f aca="false">IFERROR(INDEX('Method A - Summary'!$K:$K,MATCH($A56,'Method A - Summary'!$A:$A,0)),"—")</f>
        <v>8</v>
      </c>
    </row>
    <row r="57" customFormat="false" ht="14.25" hidden="false" customHeight="false" outlineLevel="0" collapsed="false">
      <c r="A57" s="162" t="str">
        <f aca="false">'Program List'!A28</f>
        <v>M264</v>
      </c>
      <c r="B57" s="163" t="str">
        <f aca="false">'Program List'!B28</f>
        <v>Master of Science in Cybersecurity Leadership</v>
      </c>
      <c r="C57" s="175" t="str">
        <f aca="false">IF('HC by Program-Term'!$Y33="","—",'New vs Continuing — Term'!AS33)</f>
        <v>—</v>
      </c>
      <c r="D57" s="175" t="str">
        <f aca="false">IF('HC by Program-Term'!$Y33="","—",'HC by Program-Term'!V33)</f>
        <v>—</v>
      </c>
      <c r="E57" s="195" t="str">
        <f aca="false">IF('HC by Program-Term'!$Y33="","—",C57-D57)</f>
        <v>—</v>
      </c>
      <c r="F57" s="196" t="str">
        <f aca="false">IF('HC by Program-Term'!$Y33="","—",IF(C57=0,"—",E57/C57))</f>
        <v>—</v>
      </c>
      <c r="G57" s="174" t="str">
        <f aca="false">IF('HC by Program-Term'!$Y33="","—",IFERROR(INDEX($C$122:$V$122,MATCH(MAX(C150:V150),C150:V150,0)),"—"))</f>
        <v>—</v>
      </c>
      <c r="H57" s="175" t="str">
        <f aca="false">IF('HC by Program-Term'!$Y33="","—",IFERROR(MAX(C150:V150),"—"))</f>
        <v>—</v>
      </c>
      <c r="I57" s="197" t="str">
        <f aca="false">IFERROR(IF(INDEX('Method A - Summary'!$E:$E,MATCH($A57,'Method A - Summary'!$A:$A,0))="","—",1-INDEX('Method A - Summary'!$E:$E,MATCH($A57,'Method A - Summary'!$A:$A,0))),"—")</f>
        <v>—</v>
      </c>
      <c r="J57" s="174" t="n">
        <f aca="false">IFERROR(INDEX('Method A - Summary'!$K:$K,MATCH($A57,'Method A - Summary'!$A:$A,0)),"—")</f>
        <v>3</v>
      </c>
    </row>
    <row r="58" customFormat="false" ht="14.25" hidden="false" customHeight="false" outlineLevel="0" collapsed="false">
      <c r="A58" s="165" t="str">
        <f aca="false">'Program List'!A29</f>
        <v>M374</v>
      </c>
      <c r="B58" s="166" t="str">
        <f aca="false">'Program List'!B29</f>
        <v>Master of Science in Engineering Leadership and Management</v>
      </c>
      <c r="C58" s="177" t="n">
        <f aca="false">IF('HC by Program-Term'!$Y34="","—",'New vs Continuing — Term'!AS34)</f>
        <v>187</v>
      </c>
      <c r="D58" s="177" t="n">
        <f aca="false">IF('HC by Program-Term'!$Y34="","—",'HC by Program-Term'!V34)</f>
        <v>91</v>
      </c>
      <c r="E58" s="198" t="n">
        <f aca="false">IF('HC by Program-Term'!$Y34="","—",C58-D58)</f>
        <v>96</v>
      </c>
      <c r="F58" s="199" t="n">
        <f aca="false">IF('HC by Program-Term'!$Y34="","—",IF(C58=0,"—",E58/C58))</f>
        <v>0.513368983957219</v>
      </c>
      <c r="G58" s="176" t="str">
        <f aca="false">IF('HC by Program-Term'!$Y34="","—",IFERROR(INDEX($C$122:$V$122,MATCH(MAX(C151:V151),C151:V151,0)),"—"))</f>
        <v>Fall 2025</v>
      </c>
      <c r="H58" s="177" t="n">
        <f aca="false">IF('HC by Program-Term'!$Y34="","—",IFERROR(MAX(C151:V151),"—"))</f>
        <v>23</v>
      </c>
      <c r="I58" s="200" t="n">
        <f aca="false">IFERROR(IF(INDEX('Method A - Summary'!$E:$E,MATCH($A58,'Method A - Summary'!$A:$A,0))="","—",1-INDEX('Method A - Summary'!$E:$E,MATCH($A58,'Method A - Summary'!$A:$A,0))),"—")</f>
        <v>0.208333333333333</v>
      </c>
      <c r="J58" s="176" t="n">
        <f aca="false">IFERROR(INDEX('Method A - Summary'!$K:$K,MATCH($A58,'Method A - Summary'!$A:$A,0)),"—")</f>
        <v>6</v>
      </c>
    </row>
    <row r="59" customFormat="false" ht="14.25" hidden="false" customHeight="false" outlineLevel="0" collapsed="false">
      <c r="A59" s="162" t="str">
        <f aca="false">'Program List'!A30</f>
        <v>M435</v>
      </c>
      <c r="B59" s="163" t="str">
        <f aca="false">'Program List'!B30</f>
        <v>Master of Science in Finance</v>
      </c>
      <c r="C59" s="175" t="n">
        <f aca="false">IF('HC by Program-Term'!$Y35="","—",'New vs Continuing — Term'!AS35)</f>
        <v>402</v>
      </c>
      <c r="D59" s="175" t="n">
        <f aca="false">IF('HC by Program-Term'!$Y35="","—",'HC by Program-Term'!V35)</f>
        <v>77</v>
      </c>
      <c r="E59" s="195" t="n">
        <f aca="false">IF('HC by Program-Term'!$Y35="","—",C59-D59)</f>
        <v>325</v>
      </c>
      <c r="F59" s="196" t="n">
        <f aca="false">IF('HC by Program-Term'!$Y35="","—",IF(C59=0,"—",E59/C59))</f>
        <v>0.808457711442786</v>
      </c>
      <c r="G59" s="174" t="str">
        <f aca="false">IF('HC by Program-Term'!$Y35="","—",IFERROR(INDEX($C$122:$V$122,MATCH(MAX(C152:V152),C152:V152,0)),"—"))</f>
        <v>Summer 2023</v>
      </c>
      <c r="H59" s="175" t="n">
        <f aca="false">IF('HC by Program-Term'!$Y35="","—",IFERROR(MAX(C152:V152),"—"))</f>
        <v>42</v>
      </c>
      <c r="I59" s="197" t="n">
        <f aca="false">IFERROR(IF(INDEX('Method A - Summary'!$E:$E,MATCH($A59,'Method A - Summary'!$A:$A,0))="","—",1-INDEX('Method A - Summary'!$E:$E,MATCH($A59,'Method A - Summary'!$A:$A,0))),"—")</f>
        <v>0.255725190839695</v>
      </c>
      <c r="J59" s="174" t="n">
        <f aca="false">IFERROR(INDEX('Method A - Summary'!$K:$K,MATCH($A59,'Method A - Summary'!$A:$A,0)),"—")</f>
        <v>6</v>
      </c>
    </row>
    <row r="60" customFormat="false" ht="14.25" hidden="false" customHeight="false" outlineLevel="0" collapsed="false">
      <c r="A60" s="165" t="str">
        <f aca="false">'Program List'!A31</f>
        <v>M464</v>
      </c>
      <c r="B60" s="166" t="str">
        <f aca="false">'Program List'!B31</f>
        <v>Master of Science in Geospatial Technology</v>
      </c>
      <c r="C60" s="177" t="n">
        <f aca="false">IF('HC by Program-Term'!$Y36="","—",'New vs Continuing — Term'!AS36)</f>
        <v>131</v>
      </c>
      <c r="D60" s="177" t="n">
        <f aca="false">IF('HC by Program-Term'!$Y36="","—",'HC by Program-Term'!V36)</f>
        <v>15</v>
      </c>
      <c r="E60" s="198" t="n">
        <f aca="false">IF('HC by Program-Term'!$Y36="","—",C60-D60)</f>
        <v>116</v>
      </c>
      <c r="F60" s="199" t="n">
        <f aca="false">IF('HC by Program-Term'!$Y36="","—",IF(C60=0,"—",E60/C60))</f>
        <v>0.885496183206107</v>
      </c>
      <c r="G60" s="176" t="str">
        <f aca="false">IF('HC by Program-Term'!$Y36="","—",IFERROR(INDEX($C$122:$V$122,MATCH(MAX(C153:V153),C153:V153,0)),"—"))</f>
        <v>Summer 2024</v>
      </c>
      <c r="H60" s="177" t="n">
        <f aca="false">IF('HC by Program-Term'!$Y36="","—",IFERROR(MAX(C153:V153),"—"))</f>
        <v>18</v>
      </c>
      <c r="I60" s="200" t="n">
        <f aca="false">IFERROR(IF(INDEX('Method A - Summary'!$E:$E,MATCH($A60,'Method A - Summary'!$A:$A,0))="","—",1-INDEX('Method A - Summary'!$E:$E,MATCH($A60,'Method A - Summary'!$A:$A,0))),"—")</f>
        <v>0.300970873786408</v>
      </c>
      <c r="J60" s="176" t="n">
        <f aca="false">IFERROR(INDEX('Method A - Summary'!$K:$K,MATCH($A60,'Method A - Summary'!$A:$A,0)),"—")</f>
        <v>7</v>
      </c>
    </row>
    <row r="61" customFormat="false" ht="14.25" hidden="false" customHeight="false" outlineLevel="0" collapsed="false">
      <c r="A61" s="162" t="str">
        <f aca="false">'Program List'!A32</f>
        <v>M527</v>
      </c>
      <c r="B61" s="163" t="str">
        <f aca="false">'Program List'!B32</f>
        <v>Master of Science in Industrial and Systems Engineering</v>
      </c>
      <c r="C61" s="175" t="n">
        <f aca="false">IF('HC by Program-Term'!$Y37="","—",'New vs Continuing — Term'!AS37)</f>
        <v>246</v>
      </c>
      <c r="D61" s="175" t="n">
        <f aca="false">IF('HC by Program-Term'!$Y37="","—",'HC by Program-Term'!V37)</f>
        <v>93</v>
      </c>
      <c r="E61" s="195" t="n">
        <f aca="false">IF('HC by Program-Term'!$Y37="","—",C61-D61)</f>
        <v>153</v>
      </c>
      <c r="F61" s="196" t="n">
        <f aca="false">IF('HC by Program-Term'!$Y37="","—",IF(C61=0,"—",E61/C61))</f>
        <v>0.621951219512195</v>
      </c>
      <c r="G61" s="174" t="str">
        <f aca="false">IF('HC by Program-Term'!$Y37="","—",IFERROR(INDEX($C$122:$V$122,MATCH(MAX(C154:V154),C154:V154,0)),"—"))</f>
        <v>Summer 2026</v>
      </c>
      <c r="H61" s="175" t="n">
        <f aca="false">IF('HC by Program-Term'!$Y37="","—",IFERROR(MAX(C154:V154),"—"))</f>
        <v>33</v>
      </c>
      <c r="I61" s="197" t="n">
        <f aca="false">IFERROR(IF(INDEX('Method A - Summary'!$E:$E,MATCH($A61,'Method A - Summary'!$A:$A,0))="","—",1-INDEX('Method A - Summary'!$E:$E,MATCH($A61,'Method A - Summary'!$A:$A,0))),"—")</f>
        <v>0.406593406593407</v>
      </c>
      <c r="J61" s="174" t="n">
        <f aca="false">IFERROR(INDEX('Method A - Summary'!$K:$K,MATCH($A61,'Method A - Summary'!$A:$A,0)),"—")</f>
        <v>8</v>
      </c>
    </row>
    <row r="62" customFormat="false" ht="14.25" hidden="false" customHeight="false" outlineLevel="0" collapsed="false">
      <c r="A62" s="165" t="str">
        <f aca="false">'Program List'!A33</f>
        <v>M746</v>
      </c>
      <c r="B62" s="166" t="str">
        <f aca="false">'Program List'!B33</f>
        <v>Master of Science in Natural Gas Engineering and Management</v>
      </c>
      <c r="C62" s="177" t="n">
        <f aca="false">IF('HC by Program-Term'!$Y38="","—",'New vs Continuing — Term'!AS38)</f>
        <v>175</v>
      </c>
      <c r="D62" s="177" t="n">
        <f aca="false">IF('HC by Program-Term'!$Y38="","—",'HC by Program-Term'!V38)</f>
        <v>59</v>
      </c>
      <c r="E62" s="198" t="n">
        <f aca="false">IF('HC by Program-Term'!$Y38="","—",C62-D62)</f>
        <v>116</v>
      </c>
      <c r="F62" s="199" t="n">
        <f aca="false">IF('HC by Program-Term'!$Y38="","—",IF(C62=0,"—",E62/C62))</f>
        <v>0.662857142857143</v>
      </c>
      <c r="G62" s="176" t="str">
        <f aca="false">IF('HC by Program-Term'!$Y38="","—",IFERROR(INDEX($C$122:$V$122,MATCH(MAX(C155:V155),C155:V155,0)),"—"))</f>
        <v>Summer 2026</v>
      </c>
      <c r="H62" s="177" t="n">
        <f aca="false">IF('HC by Program-Term'!$Y38="","—",IFERROR(MAX(C155:V155),"—"))</f>
        <v>19</v>
      </c>
      <c r="I62" s="200" t="n">
        <f aca="false">IFERROR(IF(INDEX('Method A - Summary'!$E:$E,MATCH($A62,'Method A - Summary'!$A:$A,0))="","—",1-INDEX('Method A - Summary'!$E:$E,MATCH($A62,'Method A - Summary'!$A:$A,0))),"—")</f>
        <v>0.341463414634146</v>
      </c>
      <c r="J62" s="176" t="n">
        <f aca="false">IFERROR(INDEX('Method A - Summary'!$K:$K,MATCH($A62,'Method A - Summary'!$A:$A,0)),"—")</f>
        <v>8</v>
      </c>
    </row>
    <row r="63" customFormat="false" ht="14.25" hidden="false" customHeight="false" outlineLevel="0" collapsed="false">
      <c r="A63" s="162" t="str">
        <f aca="false">'Program List'!A34</f>
        <v>M861</v>
      </c>
      <c r="B63" s="163" t="str">
        <f aca="false">'Program List'!B34</f>
        <v>Master of Science in Supply Chain Management</v>
      </c>
      <c r="C63" s="175" t="n">
        <f aca="false">IF('HC by Program-Term'!$Y39="","—",'New vs Continuing — Term'!AS39)</f>
        <v>217</v>
      </c>
      <c r="D63" s="175" t="n">
        <f aca="false">IF('HC by Program-Term'!$Y39="","—",'HC by Program-Term'!V39)</f>
        <v>80</v>
      </c>
      <c r="E63" s="195" t="n">
        <f aca="false">IF('HC by Program-Term'!$Y39="","—",C63-D63)</f>
        <v>137</v>
      </c>
      <c r="F63" s="196" t="n">
        <f aca="false">IF('HC by Program-Term'!$Y39="","—",IF(C63=0,"—",E63/C63))</f>
        <v>0.631336405529954</v>
      </c>
      <c r="G63" s="174" t="str">
        <f aca="false">IF('HC by Program-Term'!$Y39="","—",IFERROR(INDEX($C$122:$V$122,MATCH(MAX(C156:V156),C156:V156,0)),"—"))</f>
        <v>Spring 2025</v>
      </c>
      <c r="H63" s="175" t="n">
        <f aca="false">IF('HC by Program-Term'!$Y39="","—",IFERROR(MAX(C156:V156),"—"))</f>
        <v>33</v>
      </c>
      <c r="I63" s="197" t="n">
        <f aca="false">IFERROR(IF(INDEX('Method A - Summary'!$E:$E,MATCH($A63,'Method A - Summary'!$A:$A,0))="","—",1-INDEX('Method A - Summary'!$E:$E,MATCH($A63,'Method A - Summary'!$A:$A,0))),"—")</f>
        <v>0.181818181818182</v>
      </c>
      <c r="J63" s="174" t="n">
        <f aca="false">IFERROR(INDEX('Method A - Summary'!$K:$K,MATCH($A63,'Method A - Summary'!$A:$A,0)),"—")</f>
        <v>5</v>
      </c>
    </row>
    <row r="64" customFormat="false" ht="14.25" hidden="false" customHeight="false" outlineLevel="0" collapsed="false">
      <c r="A64" s="165" t="str">
        <f aca="false">'Program List'!A35</f>
        <v>M869</v>
      </c>
      <c r="B64" s="166" t="str">
        <f aca="false">'Program List'!B35</f>
        <v>Master of Science in Sustainability - Energy and Materials Mgmt</v>
      </c>
      <c r="C64" s="177" t="n">
        <f aca="false">IF('HC by Program-Term'!$Y40="","—",'New vs Continuing — Term'!AS40)</f>
        <v>129</v>
      </c>
      <c r="D64" s="177" t="n">
        <f aca="false">IF('HC by Program-Term'!$Y40="","—",'HC by Program-Term'!V40)</f>
        <v>40</v>
      </c>
      <c r="E64" s="198" t="n">
        <f aca="false">IF('HC by Program-Term'!$Y40="","—",C64-D64)</f>
        <v>89</v>
      </c>
      <c r="F64" s="199" t="n">
        <f aca="false">IF('HC by Program-Term'!$Y40="","—",IF(C64=0,"—",E64/C64))</f>
        <v>0.689922480620155</v>
      </c>
      <c r="G64" s="176" t="str">
        <f aca="false">IF('HC by Program-Term'!$Y40="","—",IFERROR(INDEX($C$122:$V$122,MATCH(MAX(C157:V157),C157:V157,0)),"—"))</f>
        <v>Summer 2026</v>
      </c>
      <c r="H64" s="177" t="n">
        <f aca="false">IF('HC by Program-Term'!$Y40="","—",IFERROR(MAX(C157:V157),"—"))</f>
        <v>29</v>
      </c>
      <c r="I64" s="200" t="n">
        <f aca="false">IFERROR(IF(INDEX('Method A - Summary'!$E:$E,MATCH($A64,'Method A - Summary'!$A:$A,0))="","—",1-INDEX('Method A - Summary'!$E:$E,MATCH($A64,'Method A - Summary'!$A:$A,0))),"—")</f>
        <v>0.384615384615385</v>
      </c>
      <c r="J64" s="176" t="n">
        <f aca="false">IFERROR(INDEX('Method A - Summary'!$K:$K,MATCH($A64,'Method A - Summary'!$A:$A,0)),"—")</f>
        <v>6</v>
      </c>
    </row>
    <row r="65" customFormat="false" ht="14.25" hidden="false" customHeight="false" outlineLevel="0" collapsed="false">
      <c r="A65" s="162" t="str">
        <f aca="false">'Program List'!A36</f>
        <v>M867</v>
      </c>
      <c r="B65" s="163" t="str">
        <f aca="false">'Program List'!B36</f>
        <v>Master of Science in Sustainable Architecture</v>
      </c>
      <c r="C65" s="175" t="n">
        <f aca="false">IF('HC by Program-Term'!$Y41="","—",'New vs Continuing — Term'!AS41)</f>
        <v>71</v>
      </c>
      <c r="D65" s="175" t="n">
        <f aca="false">IF('HC by Program-Term'!$Y41="","—",'HC by Program-Term'!V41)</f>
        <v>19</v>
      </c>
      <c r="E65" s="195" t="n">
        <f aca="false">IF('HC by Program-Term'!$Y41="","—",C65-D65)</f>
        <v>52</v>
      </c>
      <c r="F65" s="196" t="n">
        <f aca="false">IF('HC by Program-Term'!$Y41="","—",IF(C65=0,"—",E65/C65))</f>
        <v>0.732394366197183</v>
      </c>
      <c r="G65" s="174" t="str">
        <f aca="false">IF('HC by Program-Term'!$Y41="","—",IFERROR(INDEX($C$122:$V$122,MATCH(MAX(C158:V158),C158:V158,0)),"—"))</f>
        <v>Summer 2025</v>
      </c>
      <c r="H65" s="175" t="n">
        <f aca="false">IF('HC by Program-Term'!$Y41="","—",IFERROR(MAX(C158:V158),"—"))</f>
        <v>17</v>
      </c>
      <c r="I65" s="197" t="n">
        <f aca="false">IFERROR(IF(INDEX('Method A - Summary'!$E:$E,MATCH($A65,'Method A - Summary'!$A:$A,0))="","—",1-INDEX('Method A - Summary'!$E:$E,MATCH($A65,'Method A - Summary'!$A:$A,0))),"—")</f>
        <v>0.25</v>
      </c>
      <c r="J65" s="174" t="n">
        <f aca="false">IFERROR(INDEX('Method A - Summary'!$K:$K,MATCH($A65,'Method A - Summary'!$A:$A,0)),"—")</f>
        <v>5</v>
      </c>
    </row>
    <row r="66" customFormat="false" ht="14.25" hidden="false" customHeight="false" outlineLevel="0" collapsed="false">
      <c r="A66" s="165" t="str">
        <f aca="false">'Program List'!A37</f>
        <v>M844</v>
      </c>
      <c r="B66" s="166" t="str">
        <f aca="false">'Program List'!B37</f>
        <v>Master of Social Work</v>
      </c>
      <c r="C66" s="177" t="n">
        <f aca="false">IF('HC by Program-Term'!$Y42="","—",'New vs Continuing — Term'!AS42)</f>
        <v>1245</v>
      </c>
      <c r="D66" s="177" t="n">
        <f aca="false">IF('HC by Program-Term'!$Y42="","—",'HC by Program-Term'!V42)</f>
        <v>468</v>
      </c>
      <c r="E66" s="198" t="n">
        <f aca="false">IF('HC by Program-Term'!$Y42="","—",C66-D66)</f>
        <v>777</v>
      </c>
      <c r="F66" s="199" t="n">
        <f aca="false">IF('HC by Program-Term'!$Y42="","—",IF(C66=0,"—",E66/C66))</f>
        <v>0.624096385542169</v>
      </c>
      <c r="G66" s="176" t="str">
        <f aca="false">IF('HC by Program-Term'!$Y42="","—",IFERROR(INDEX($C$122:$V$122,MATCH(MAX(C159:V159),C159:V159,0)),"—"))</f>
        <v>Summer 2024</v>
      </c>
      <c r="H66" s="177" t="n">
        <f aca="false">IF('HC by Program-Term'!$Y42="","—",IFERROR(MAX(C159:V159),"—"))</f>
        <v>108</v>
      </c>
      <c r="I66" s="200" t="n">
        <f aca="false">IFERROR(IF(INDEX('Method A - Summary'!$E:$E,MATCH($A66,'Method A - Summary'!$A:$A,0))="","—",1-INDEX('Method A - Summary'!$E:$E,MATCH($A66,'Method A - Summary'!$A:$A,0))),"—")</f>
        <v>0.228274967574578</v>
      </c>
      <c r="J66" s="176" t="n">
        <f aca="false">IFERROR(INDEX('Method A - Summary'!$K:$K,MATCH($A66,'Method A - Summary'!$A:$A,0)),"—")</f>
        <v>10</v>
      </c>
    </row>
    <row r="67" customFormat="false" ht="14.25" hidden="false" customHeight="false" outlineLevel="0" collapsed="false">
      <c r="A67" s="162" t="str">
        <f aca="false">'Program List'!A38</f>
        <v>1237Q</v>
      </c>
      <c r="B67" s="163" t="str">
        <f aca="false">'Program List'!B38</f>
        <v>Masters in Public Health</v>
      </c>
      <c r="C67" s="175" t="str">
        <f aca="false">IF('HC by Program-Term'!$Y43="","—",'New vs Continuing — Term'!AS43)</f>
        <v>—</v>
      </c>
      <c r="D67" s="175" t="str">
        <f aca="false">IF('HC by Program-Term'!$Y43="","—",'HC by Program-Term'!V43)</f>
        <v>—</v>
      </c>
      <c r="E67" s="195" t="str">
        <f aca="false">IF('HC by Program-Term'!$Y43="","—",C67-D67)</f>
        <v>—</v>
      </c>
      <c r="F67" s="196" t="str">
        <f aca="false">IF('HC by Program-Term'!$Y43="","—",IF(C67=0,"—",E67/C67))</f>
        <v>—</v>
      </c>
      <c r="G67" s="174" t="str">
        <f aca="false">IF('HC by Program-Term'!$Y43="","—",IFERROR(INDEX($C$122:$V$122,MATCH(MAX(C160:V160),C160:V160,0)),"—"))</f>
        <v>—</v>
      </c>
      <c r="H67" s="175" t="str">
        <f aca="false">IF('HC by Program-Term'!$Y43="","—",IFERROR(MAX(C160:V160),"—"))</f>
        <v>—</v>
      </c>
      <c r="I67" s="197" t="str">
        <f aca="false">IFERROR(IF(INDEX('Method A - Summary'!$E:$E,MATCH($A67,'Method A - Summary'!$A:$A,0))="","—",1-INDEX('Method A - Summary'!$E:$E,MATCH($A67,'Method A - Summary'!$A:$A,0))),"—")</f>
        <v>—</v>
      </c>
      <c r="J67" s="174" t="str">
        <f aca="false">IFERROR(INDEX('Method A - Summary'!$K:$K,MATCH($A67,'Method A - Summary'!$A:$A,0)),"—")</f>
        <v>Not reached in observed data</v>
      </c>
    </row>
    <row r="68" customFormat="false" ht="14.25" hidden="false" customHeight="false" outlineLevel="0" collapsed="false">
      <c r="A68" s="165" t="str">
        <f aca="false">'Program List'!A39</f>
        <v>M355</v>
      </c>
      <c r="B68" s="166" t="str">
        <f aca="false">'Program List'!B39</f>
        <v>Online LL.M. Energy and Natural Resources</v>
      </c>
      <c r="C68" s="177" t="n">
        <f aca="false">IF('HC by Program-Term'!$Y44="","—",'New vs Continuing — Term'!AS44)</f>
        <v>16</v>
      </c>
      <c r="D68" s="177" t="n">
        <f aca="false">IF('HC by Program-Term'!$Y44="","—",'HC by Program-Term'!V44)</f>
        <v>2</v>
      </c>
      <c r="E68" s="198" t="n">
        <f aca="false">IF('HC by Program-Term'!$Y44="","—",C68-D68)</f>
        <v>14</v>
      </c>
      <c r="F68" s="199" t="n">
        <f aca="false">IF('HC by Program-Term'!$Y44="","—",IF(C68=0,"—",E68/C68))</f>
        <v>0.875</v>
      </c>
      <c r="G68" s="176" t="str">
        <f aca="false">IF('HC by Program-Term'!$Y44="","—",IFERROR(INDEX($C$122:$V$122,MATCH(MAX(C161:V161),C161:V161,0)),"—"))</f>
        <v>Spring 2025</v>
      </c>
      <c r="H68" s="177" t="n">
        <f aca="false">IF('HC by Program-Term'!$Y44="","—",IFERROR(MAX(C161:V161),"—"))</f>
        <v>3</v>
      </c>
      <c r="I68" s="200" t="n">
        <f aca="false">IFERROR(IF(INDEX('Method A - Summary'!$E:$E,MATCH($A68,'Method A - Summary'!$A:$A,0))="","—",1-INDEX('Method A - Summary'!$E:$E,MATCH($A68,'Method A - Summary'!$A:$A,0))),"—")</f>
        <v>0.555555555555556</v>
      </c>
      <c r="J68" s="176" t="str">
        <f aca="false">IFERROR(INDEX('Method A - Summary'!$K:$K,MATCH($A68,'Method A - Summary'!$A:$A,0)),"—")</f>
        <v>Not reached in observed data</v>
      </c>
    </row>
    <row r="69" customFormat="false" ht="14.25" hidden="false" customHeight="false" outlineLevel="0" collapsed="false">
      <c r="A69" s="162" t="str">
        <f aca="false">'Program List'!A40</f>
        <v>M504</v>
      </c>
      <c r="B69" s="163" t="str">
        <f aca="false">'Program List'!B40</f>
        <v>Online LL.M. Healthcare Law</v>
      </c>
      <c r="C69" s="175" t="n">
        <f aca="false">IF('HC by Program-Term'!$Y45="","—",'New vs Continuing — Term'!AS45)</f>
        <v>16</v>
      </c>
      <c r="D69" s="175" t="n">
        <f aca="false">IF('HC by Program-Term'!$Y45="","—",'HC by Program-Term'!V45)</f>
        <v>3</v>
      </c>
      <c r="E69" s="195" t="n">
        <f aca="false">IF('HC by Program-Term'!$Y45="","—",C69-D69)</f>
        <v>13</v>
      </c>
      <c r="F69" s="196" t="n">
        <f aca="false">IF('HC by Program-Term'!$Y45="","—",IF(C69=0,"—",E69/C69))</f>
        <v>0.8125</v>
      </c>
      <c r="G69" s="174" t="str">
        <f aca="false">IF('HC by Program-Term'!$Y45="","—",IFERROR(INDEX($C$122:$V$122,MATCH(MAX(C162:V162),C162:V162,0)),"—"))</f>
        <v>Summer 2026</v>
      </c>
      <c r="H69" s="175" t="n">
        <f aca="false">IF('HC by Program-Term'!$Y45="","—",IFERROR(MAX(C162:V162),"—"))</f>
        <v>3</v>
      </c>
      <c r="I69" s="197" t="n">
        <f aca="false">IFERROR(IF(INDEX('Method A - Summary'!$E:$E,MATCH($A69,'Method A - Summary'!$A:$A,0))="","—",1-INDEX('Method A - Summary'!$E:$E,MATCH($A69,'Method A - Summary'!$A:$A,0))),"—")</f>
        <v>0.666666666666667</v>
      </c>
      <c r="J69" s="174" t="str">
        <f aca="false">IFERROR(INDEX('Method A - Summary'!$K:$K,MATCH($A69,'Method A - Summary'!$A:$A,0)),"—")</f>
        <v>Not reached in observed data</v>
      </c>
    </row>
    <row r="70" customFormat="false" ht="14.25" hidden="false" customHeight="false" outlineLevel="0" collapsed="false">
      <c r="A70" s="165" t="str">
        <f aca="false">'Program List'!A41</f>
        <v>M526</v>
      </c>
      <c r="B70" s="166" t="str">
        <f aca="false">'Program List'!B41</f>
        <v>Online LL.M. Indigenous Peoples Law</v>
      </c>
      <c r="C70" s="177" t="n">
        <f aca="false">IF('HC by Program-Term'!$Y46="","—",'New vs Continuing — Term'!AS46)</f>
        <v>30</v>
      </c>
      <c r="D70" s="177" t="n">
        <f aca="false">IF('HC by Program-Term'!$Y46="","—",'HC by Program-Term'!V46)</f>
        <v>1</v>
      </c>
      <c r="E70" s="198" t="n">
        <f aca="false">IF('HC by Program-Term'!$Y46="","—",C70-D70)</f>
        <v>29</v>
      </c>
      <c r="F70" s="199" t="n">
        <f aca="false">IF('HC by Program-Term'!$Y46="","—",IF(C70=0,"—",E70/C70))</f>
        <v>0.966666666666667</v>
      </c>
      <c r="G70" s="176" t="str">
        <f aca="false">IF('HC by Program-Term'!$Y46="","—",IFERROR(INDEX($C$122:$V$122,MATCH(MAX(C163:V163),C163:V163,0)),"—"))</f>
        <v>Summer 2025</v>
      </c>
      <c r="H70" s="177" t="n">
        <f aca="false">IF('HC by Program-Term'!$Y46="","—",IFERROR(MAX(C163:V163),"—"))</f>
        <v>7</v>
      </c>
      <c r="I70" s="200" t="n">
        <f aca="false">IFERROR(IF(INDEX('Method A - Summary'!$E:$E,MATCH($A70,'Method A - Summary'!$A:$A,0))="","—",1-INDEX('Method A - Summary'!$E:$E,MATCH($A70,'Method A - Summary'!$A:$A,0))),"—")</f>
        <v>0.631578947368421</v>
      </c>
      <c r="J70" s="176" t="n">
        <f aca="false">IFERROR(INDEX('Method A - Summary'!$K:$K,MATCH($A70,'Method A - Summary'!$A:$A,0)),"—")</f>
        <v>6</v>
      </c>
    </row>
    <row r="71" customFormat="false" ht="14.25" hidden="false" customHeight="false" outlineLevel="0" collapsed="false">
      <c r="A71" s="162" t="str">
        <f aca="false">'Program List'!A42</f>
        <v>M592</v>
      </c>
      <c r="B71" s="163" t="str">
        <f aca="false">'Program List'!B42</f>
        <v>Online LL.M. International Business</v>
      </c>
      <c r="C71" s="175" t="n">
        <f aca="false">IF('HC by Program-Term'!$Y47="","—",'New vs Continuing — Term'!AS47)</f>
        <v>6</v>
      </c>
      <c r="D71" s="175" t="n">
        <f aca="false">IF('HC by Program-Term'!$Y47="","—",'HC by Program-Term'!V47)</f>
        <v>2</v>
      </c>
      <c r="E71" s="195" t="n">
        <f aca="false">IF('HC by Program-Term'!$Y47="","—",C71-D71)</f>
        <v>4</v>
      </c>
      <c r="F71" s="196" t="n">
        <f aca="false">IF('HC by Program-Term'!$Y47="","—",IF(C71=0,"—",E71/C71))</f>
        <v>0.666666666666667</v>
      </c>
      <c r="G71" s="174" t="str">
        <f aca="false">IF('HC by Program-Term'!$Y47="","—",IFERROR(INDEX($C$122:$V$122,MATCH(MAX(C164:V164),C164:V164,0)),"—"))</f>
        <v>Summer 2026</v>
      </c>
      <c r="H71" s="175" t="n">
        <f aca="false">IF('HC by Program-Term'!$Y47="","—",IFERROR(MAX(C164:V164),"—"))</f>
        <v>2</v>
      </c>
      <c r="I71" s="197" t="n">
        <f aca="false">IFERROR(IF(INDEX('Method A - Summary'!$E:$E,MATCH($A71,'Method A - Summary'!$A:$A,0))="","—",1-INDEX('Method A - Summary'!$E:$E,MATCH($A71,'Method A - Summary'!$A:$A,0))),"—")</f>
        <v>0.5</v>
      </c>
      <c r="J71" s="174" t="n">
        <f aca="false">IFERROR(INDEX('Method A - Summary'!$K:$K,MATCH($A71,'Method A - Summary'!$A:$A,0)),"—")</f>
        <v>4</v>
      </c>
    </row>
    <row r="72" customFormat="false" ht="14.25" hidden="false" customHeight="false" outlineLevel="0" collapsed="false">
      <c r="A72" s="87"/>
      <c r="B72" s="152" t="s">
        <v>700</v>
      </c>
      <c r="C72" s="153" t="n">
        <f aca="false">SUM(C31:C71)</f>
        <v>9851</v>
      </c>
      <c r="D72" s="153" t="n">
        <f aca="false">SUM(D31:D71)</f>
        <v>2482</v>
      </c>
      <c r="E72" s="153" t="n">
        <f aca="false">SUM(E31:E71)</f>
        <v>7369</v>
      </c>
      <c r="F72" s="190" t="n">
        <f aca="false">IF(C72=0,"—",E72/C72)</f>
        <v>0.748045883666633</v>
      </c>
      <c r="G72" s="87"/>
      <c r="H72" s="87"/>
      <c r="I72" s="87"/>
      <c r="J72" s="87"/>
    </row>
    <row r="75" customFormat="false" ht="15.75" hidden="false" customHeight="true" outlineLevel="0" collapsed="false">
      <c r="A75" s="172" t="s">
        <v>773</v>
      </c>
    </row>
    <row r="76" customFormat="false" ht="14.25" hidden="false" customHeight="false" outlineLevel="0" collapsed="false">
      <c r="A76" s="173" t="s">
        <v>699</v>
      </c>
      <c r="B76" s="142" t="s">
        <v>134</v>
      </c>
      <c r="C76" s="173" t="n">
        <v>2020</v>
      </c>
      <c r="D76" s="173" t="n">
        <v>2021</v>
      </c>
      <c r="E76" s="173" t="n">
        <v>2022</v>
      </c>
      <c r="F76" s="173" t="n">
        <v>2023</v>
      </c>
      <c r="G76" s="173" t="n">
        <v>2024</v>
      </c>
      <c r="H76" s="173" t="n">
        <v>2025</v>
      </c>
      <c r="I76" s="173" t="n">
        <v>2026</v>
      </c>
      <c r="J76" s="173" t="s">
        <v>774</v>
      </c>
    </row>
    <row r="77" customFormat="false" ht="14.25" hidden="false" customHeight="false" outlineLevel="0" collapsed="false">
      <c r="A77" s="162" t="str">
        <f aca="false">'Program List'!A2</f>
        <v>1550C</v>
      </c>
      <c r="B77" s="163" t="str">
        <f aca="false">'Program List'!B2</f>
        <v>Certificate in Population Health</v>
      </c>
      <c r="C77" s="175" t="str">
        <f aca="false">IF('HC by Program-Term'!$Y7="","—",SUM(D124:F124))</f>
        <v>—</v>
      </c>
      <c r="D77" s="175" t="str">
        <f aca="false">IF('HC by Program-Term'!$Y7="","—",SUM(G124:I124))</f>
        <v>—</v>
      </c>
      <c r="E77" s="175" t="str">
        <f aca="false">IF('HC by Program-Term'!$Y7="","—",SUM(J124:L124))</f>
        <v>—</v>
      </c>
      <c r="F77" s="175" t="str">
        <f aca="false">IF('HC by Program-Term'!$Y7="","—",SUM(M124:O124))</f>
        <v>—</v>
      </c>
      <c r="G77" s="175" t="str">
        <f aca="false">IF('HC by Program-Term'!$Y7="","—",SUM(P124:R124))</f>
        <v>—</v>
      </c>
      <c r="H77" s="175" t="str">
        <f aca="false">IF('HC by Program-Term'!$Y7="","—",SUM(S124:U124))</f>
        <v>—</v>
      </c>
      <c r="I77" s="175" t="str">
        <f aca="false">IF('HC by Program-Term'!$Y7="","—",V124)</f>
        <v>—</v>
      </c>
      <c r="J77" s="147" t="str">
        <f aca="false">IF('HC by Program-Term'!$Y7="","—",SUM(C77:I77))</f>
        <v>—</v>
      </c>
    </row>
    <row r="78" customFormat="false" ht="14.25" hidden="false" customHeight="false" outlineLevel="0" collapsed="false">
      <c r="A78" s="165" t="str">
        <f aca="false">'Program List'!A3</f>
        <v>D318</v>
      </c>
      <c r="B78" s="166" t="str">
        <f aca="false">'Program List'!B3</f>
        <v>Ed.D. in Education Administration</v>
      </c>
      <c r="C78" s="177" t="str">
        <f aca="false">IF('HC by Program-Term'!$Y8="","—",SUM(D125:F125))</f>
        <v>—</v>
      </c>
      <c r="D78" s="177" t="str">
        <f aca="false">IF('HC by Program-Term'!$Y8="","—",SUM(G125:I125))</f>
        <v>—</v>
      </c>
      <c r="E78" s="177" t="str">
        <f aca="false">IF('HC by Program-Term'!$Y8="","—",SUM(J125:L125))</f>
        <v>—</v>
      </c>
      <c r="F78" s="177" t="str">
        <f aca="false">IF('HC by Program-Term'!$Y8="","—",SUM(M125:O125))</f>
        <v>—</v>
      </c>
      <c r="G78" s="177" t="str">
        <f aca="false">IF('HC by Program-Term'!$Y8="","—",SUM(P125:R125))</f>
        <v>—</v>
      </c>
      <c r="H78" s="177" t="str">
        <f aca="false">IF('HC by Program-Term'!$Y8="","—",SUM(S125:U125))</f>
        <v>—</v>
      </c>
      <c r="I78" s="177" t="str">
        <f aca="false">IF('HC by Program-Term'!$Y8="","—",V125)</f>
        <v>—</v>
      </c>
      <c r="J78" s="151" t="str">
        <f aca="false">IF('HC by Program-Term'!$Y8="","—",SUM(C78:I78))</f>
        <v>—</v>
      </c>
    </row>
    <row r="79" customFormat="false" ht="14.25" hidden="false" customHeight="false" outlineLevel="0" collapsed="false">
      <c r="A79" s="162" t="str">
        <f aca="false">'Program List'!A4</f>
        <v>M366</v>
      </c>
      <c r="B79" s="163" t="str">
        <f aca="false">'Program List'!B4</f>
        <v>Executive MBA in Energy</v>
      </c>
      <c r="C79" s="175" t="n">
        <f aca="false">IF('HC by Program-Term'!$Y9="","—",SUM(D126:F126))</f>
        <v>0</v>
      </c>
      <c r="D79" s="175" t="n">
        <f aca="false">IF('HC by Program-Term'!$Y9="","—",SUM(G126:I126))</f>
        <v>28</v>
      </c>
      <c r="E79" s="175" t="n">
        <f aca="false">IF('HC by Program-Term'!$Y9="","—",SUM(J126:L126))</f>
        <v>20</v>
      </c>
      <c r="F79" s="175" t="n">
        <f aca="false">IF('HC by Program-Term'!$Y9="","—",SUM(M126:O126))</f>
        <v>36</v>
      </c>
      <c r="G79" s="175" t="n">
        <f aca="false">IF('HC by Program-Term'!$Y9="","—",SUM(P126:R126))</f>
        <v>26</v>
      </c>
      <c r="H79" s="175" t="n">
        <f aca="false">IF('HC by Program-Term'!$Y9="","—",SUM(S126:U126))</f>
        <v>27</v>
      </c>
      <c r="I79" s="175" t="n">
        <f aca="false">IF('HC by Program-Term'!$Y9="","—",V126)</f>
        <v>-1</v>
      </c>
      <c r="J79" s="147" t="n">
        <f aca="false">IF('HC by Program-Term'!$Y9="","—",SUM(C79:I79))</f>
        <v>136</v>
      </c>
    </row>
    <row r="80" customFormat="false" ht="14.25" hidden="false" customHeight="false" outlineLevel="0" collapsed="false">
      <c r="A80" s="165" t="str">
        <f aca="false">'Program List'!A5</f>
        <v>1231EX</v>
      </c>
      <c r="B80" s="166" t="str">
        <f aca="false">'Program List'!B5</f>
        <v>Executive Masters in Health Administration</v>
      </c>
      <c r="C80" s="177" t="str">
        <f aca="false">IF('HC by Program-Term'!$Y10="","—",SUM(D127:F127))</f>
        <v>—</v>
      </c>
      <c r="D80" s="177" t="str">
        <f aca="false">IF('HC by Program-Term'!$Y10="","—",SUM(G127:I127))</f>
        <v>—</v>
      </c>
      <c r="E80" s="177" t="str">
        <f aca="false">IF('HC by Program-Term'!$Y10="","—",SUM(J127:L127))</f>
        <v>—</v>
      </c>
      <c r="F80" s="177" t="str">
        <f aca="false">IF('HC by Program-Term'!$Y10="","—",SUM(M127:O127))</f>
        <v>—</v>
      </c>
      <c r="G80" s="177" t="str">
        <f aca="false">IF('HC by Program-Term'!$Y10="","—",SUM(P127:R127))</f>
        <v>—</v>
      </c>
      <c r="H80" s="177" t="str">
        <f aca="false">IF('HC by Program-Term'!$Y10="","—",SUM(S127:U127))</f>
        <v>—</v>
      </c>
      <c r="I80" s="177" t="str">
        <f aca="false">IF('HC by Program-Term'!$Y10="","—",V127)</f>
        <v>—</v>
      </c>
      <c r="J80" s="151" t="str">
        <f aca="false">IF('HC by Program-Term'!$Y10="","—",SUM(C80:I80))</f>
        <v>—</v>
      </c>
    </row>
    <row r="81" customFormat="false" ht="14.25" hidden="false" customHeight="false" outlineLevel="0" collapsed="false">
      <c r="A81" s="162" t="str">
        <f aca="false">'Program List'!A6</f>
        <v>M013</v>
      </c>
      <c r="B81" s="163" t="str">
        <f aca="false">'Program List'!B6</f>
        <v>Master of Accountancy</v>
      </c>
      <c r="C81" s="175" t="n">
        <f aca="false">IF('HC by Program-Term'!$Y11="","—",SUM(D128:F128))</f>
        <v>26</v>
      </c>
      <c r="D81" s="175" t="n">
        <f aca="false">IF('HC by Program-Term'!$Y11="","—",SUM(G128:I128))</f>
        <v>54</v>
      </c>
      <c r="E81" s="175" t="n">
        <f aca="false">IF('HC by Program-Term'!$Y11="","—",SUM(J128:L128))</f>
        <v>59</v>
      </c>
      <c r="F81" s="175" t="n">
        <f aca="false">IF('HC by Program-Term'!$Y11="","—",SUM(M128:O128))</f>
        <v>66</v>
      </c>
      <c r="G81" s="175" t="n">
        <f aca="false">IF('HC by Program-Term'!$Y11="","—",SUM(P128:R128))</f>
        <v>65</v>
      </c>
      <c r="H81" s="175" t="n">
        <f aca="false">IF('HC by Program-Term'!$Y11="","—",SUM(S128:U128))</f>
        <v>52</v>
      </c>
      <c r="I81" s="175" t="n">
        <f aca="false">IF('HC by Program-Term'!$Y11="","—",V128)</f>
        <v>8</v>
      </c>
      <c r="J81" s="147" t="n">
        <f aca="false">IF('HC by Program-Term'!$Y11="","—",SUM(C81:I81))</f>
        <v>330</v>
      </c>
    </row>
    <row r="82" customFormat="false" ht="14.25" hidden="false" customHeight="false" outlineLevel="0" collapsed="false">
      <c r="A82" s="165" t="str">
        <f aca="false">'Program List'!A7</f>
        <v>M075</v>
      </c>
      <c r="B82" s="166" t="str">
        <f aca="false">'Program List'!B7</f>
        <v>Master of Arts in Art and Technology</v>
      </c>
      <c r="C82" s="177" t="n">
        <f aca="false">IF('HC by Program-Term'!$Y12="","—",SUM(D129:F129))</f>
        <v>0</v>
      </c>
      <c r="D82" s="177" t="n">
        <f aca="false">IF('HC by Program-Term'!$Y12="","—",SUM(G129:I129))</f>
        <v>18</v>
      </c>
      <c r="E82" s="177" t="n">
        <f aca="false">IF('HC by Program-Term'!$Y12="","—",SUM(J129:L129))</f>
        <v>29</v>
      </c>
      <c r="F82" s="177" t="n">
        <f aca="false">IF('HC by Program-Term'!$Y12="","—",SUM(M129:O129))</f>
        <v>52</v>
      </c>
      <c r="G82" s="177" t="n">
        <f aca="false">IF('HC by Program-Term'!$Y12="","—",SUM(P129:R129))</f>
        <v>47</v>
      </c>
      <c r="H82" s="177" t="n">
        <f aca="false">IF('HC by Program-Term'!$Y12="","—",SUM(S129:U129))</f>
        <v>34</v>
      </c>
      <c r="I82" s="177" t="n">
        <f aca="false">IF('HC by Program-Term'!$Y12="","—",V129)</f>
        <v>12</v>
      </c>
      <c r="J82" s="151" t="n">
        <f aca="false">IF('HC by Program-Term'!$Y12="","—",SUM(C82:I82))</f>
        <v>192</v>
      </c>
    </row>
    <row r="83" customFormat="false" ht="14.25" hidden="false" customHeight="false" outlineLevel="0" collapsed="false">
      <c r="A83" s="162" t="str">
        <f aca="false">'Program List'!A8</f>
        <v>M073</v>
      </c>
      <c r="B83" s="163" t="str">
        <f aca="false">'Program List'!B8</f>
        <v>Master of Arts in Arts Management</v>
      </c>
      <c r="C83" s="175" t="n">
        <f aca="false">IF('HC by Program-Term'!$Y13="","—",SUM(D130:F130))</f>
        <v>0</v>
      </c>
      <c r="D83" s="175" t="n">
        <f aca="false">IF('HC by Program-Term'!$Y13="","—",SUM(G130:I130))</f>
        <v>0</v>
      </c>
      <c r="E83" s="175" t="n">
        <f aca="false">IF('HC by Program-Term'!$Y13="","—",SUM(J130:L130))</f>
        <v>0</v>
      </c>
      <c r="F83" s="175" t="n">
        <f aca="false">IF('HC by Program-Term'!$Y13="","—",SUM(M130:O130))</f>
        <v>20</v>
      </c>
      <c r="G83" s="175" t="n">
        <f aca="false">IF('HC by Program-Term'!$Y13="","—",SUM(P130:R130))</f>
        <v>66</v>
      </c>
      <c r="H83" s="175" t="n">
        <f aca="false">IF('HC by Program-Term'!$Y13="","—",SUM(S130:U130))</f>
        <v>55</v>
      </c>
      <c r="I83" s="175" t="n">
        <f aca="false">IF('HC by Program-Term'!$Y13="","—",V130)</f>
        <v>5</v>
      </c>
      <c r="J83" s="147" t="n">
        <f aca="false">IF('HC by Program-Term'!$Y13="","—",SUM(C83:I83))</f>
        <v>146</v>
      </c>
    </row>
    <row r="84" customFormat="false" ht="14.25" hidden="false" customHeight="false" outlineLevel="0" collapsed="false">
      <c r="A84" s="165" t="str">
        <f aca="false">'Program List'!A9</f>
        <v>M494</v>
      </c>
      <c r="B84" s="166" t="str">
        <f aca="false">'Program List'!B9</f>
        <v>Master of Arts in Global Affairs</v>
      </c>
      <c r="C84" s="177" t="n">
        <f aca="false">IF('HC by Program-Term'!$Y14="","—",SUM(D131:F131))</f>
        <v>40</v>
      </c>
      <c r="D84" s="177" t="n">
        <f aca="false">IF('HC by Program-Term'!$Y14="","—",SUM(G131:I131))</f>
        <v>23</v>
      </c>
      <c r="E84" s="177" t="n">
        <f aca="false">IF('HC by Program-Term'!$Y14="","—",SUM(J131:L131))</f>
        <v>48</v>
      </c>
      <c r="F84" s="177" t="n">
        <f aca="false">IF('HC by Program-Term'!$Y14="","—",SUM(M131:O131))</f>
        <v>72</v>
      </c>
      <c r="G84" s="177" t="n">
        <f aca="false">IF('HC by Program-Term'!$Y14="","—",SUM(P131:R131))</f>
        <v>75</v>
      </c>
      <c r="H84" s="177" t="n">
        <f aca="false">IF('HC by Program-Term'!$Y14="","—",SUM(S131:U131))</f>
        <v>63</v>
      </c>
      <c r="I84" s="177" t="n">
        <f aca="false">IF('HC by Program-Term'!$Y14="","—",V131)</f>
        <v>-9</v>
      </c>
      <c r="J84" s="151" t="n">
        <f aca="false">IF('HC by Program-Term'!$Y14="","—",SUM(C84:I84))</f>
        <v>312</v>
      </c>
    </row>
    <row r="85" customFormat="false" ht="14.25" hidden="false" customHeight="false" outlineLevel="0" collapsed="false">
      <c r="A85" s="162" t="str">
        <f aca="false">'Program List'!A10</f>
        <v>M700</v>
      </c>
      <c r="B85" s="163" t="str">
        <f aca="false">'Program List'!B10</f>
        <v>Master of Arts in Museum Studies</v>
      </c>
      <c r="C85" s="175" t="n">
        <f aca="false">IF('HC by Program-Term'!$Y15="","—",SUM(D132:F132))</f>
        <v>21</v>
      </c>
      <c r="D85" s="175" t="n">
        <f aca="false">IF('HC by Program-Term'!$Y15="","—",SUM(G132:I132))</f>
        <v>36</v>
      </c>
      <c r="E85" s="175" t="n">
        <f aca="false">IF('HC by Program-Term'!$Y15="","—",SUM(J132:L132))</f>
        <v>88</v>
      </c>
      <c r="F85" s="175" t="n">
        <f aca="false">IF('HC by Program-Term'!$Y15="","—",SUM(M132:O132))</f>
        <v>123</v>
      </c>
      <c r="G85" s="175" t="n">
        <f aca="false">IF('HC by Program-Term'!$Y15="","—",SUM(P132:R132))</f>
        <v>166</v>
      </c>
      <c r="H85" s="175" t="n">
        <f aca="false">IF('HC by Program-Term'!$Y15="","—",SUM(S132:U132))</f>
        <v>191</v>
      </c>
      <c r="I85" s="175" t="n">
        <f aca="false">IF('HC by Program-Term'!$Y15="","—",V132)</f>
        <v>24</v>
      </c>
      <c r="J85" s="147" t="n">
        <f aca="false">IF('HC by Program-Term'!$Y15="","—",SUM(C85:I85))</f>
        <v>649</v>
      </c>
    </row>
    <row r="86" customFormat="false" ht="14.25" hidden="false" customHeight="false" outlineLevel="0" collapsed="false">
      <c r="A86" s="165" t="str">
        <f aca="false">'Program List'!A11</f>
        <v>M762</v>
      </c>
      <c r="B86" s="166" t="str">
        <f aca="false">'Program List'!B11</f>
        <v>Master of Arts in Organizational Leadership</v>
      </c>
      <c r="C86" s="177" t="n">
        <f aca="false">IF('HC by Program-Term'!$Y16="","—",SUM(D133:F133))</f>
        <v>64</v>
      </c>
      <c r="D86" s="177" t="n">
        <f aca="false">IF('HC by Program-Term'!$Y16="","—",SUM(G133:I133))</f>
        <v>86</v>
      </c>
      <c r="E86" s="177" t="n">
        <f aca="false">IF('HC by Program-Term'!$Y16="","—",SUM(J133:L133))</f>
        <v>104</v>
      </c>
      <c r="F86" s="177" t="n">
        <f aca="false">IF('HC by Program-Term'!$Y16="","—",SUM(M133:O133))</f>
        <v>129</v>
      </c>
      <c r="G86" s="177" t="n">
        <f aca="false">IF('HC by Program-Term'!$Y16="","—",SUM(P133:R133))</f>
        <v>123</v>
      </c>
      <c r="H86" s="177" t="n">
        <f aca="false">IF('HC by Program-Term'!$Y16="","—",SUM(S133:U133))</f>
        <v>112</v>
      </c>
      <c r="I86" s="177" t="n">
        <f aca="false">IF('HC by Program-Term'!$Y16="","—",V133)</f>
        <v>9</v>
      </c>
      <c r="J86" s="151" t="n">
        <f aca="false">IF('HC by Program-Term'!$Y16="","—",SUM(C86:I86))</f>
        <v>627</v>
      </c>
    </row>
    <row r="87" customFormat="false" ht="14.25" hidden="false" customHeight="false" outlineLevel="0" collapsed="false">
      <c r="A87" s="162" t="str">
        <f aca="false">'Program List'!A12</f>
        <v>M859</v>
      </c>
      <c r="B87" s="163" t="str">
        <f aca="false">'Program List'!B12</f>
        <v>Master of Arts in Strategic Communication and Digital Strategy</v>
      </c>
      <c r="C87" s="175" t="n">
        <f aca="false">IF('HC by Program-Term'!$Y17="","—",SUM(D134:F134))</f>
        <v>2</v>
      </c>
      <c r="D87" s="175" t="n">
        <f aca="false">IF('HC by Program-Term'!$Y17="","—",SUM(G134:I134))</f>
        <v>24</v>
      </c>
      <c r="E87" s="175" t="n">
        <f aca="false">IF('HC by Program-Term'!$Y17="","—",SUM(J134:L134))</f>
        <v>84</v>
      </c>
      <c r="F87" s="175" t="n">
        <f aca="false">IF('HC by Program-Term'!$Y17="","—",SUM(M134:O134))</f>
        <v>71</v>
      </c>
      <c r="G87" s="175" t="n">
        <f aca="false">IF('HC by Program-Term'!$Y17="","—",SUM(P134:R134))</f>
        <v>56</v>
      </c>
      <c r="H87" s="175" t="n">
        <f aca="false">IF('HC by Program-Term'!$Y17="","—",SUM(S134:U134))</f>
        <v>68</v>
      </c>
      <c r="I87" s="175" t="n">
        <f aca="false">IF('HC by Program-Term'!$Y17="","—",V134)</f>
        <v>13</v>
      </c>
      <c r="J87" s="147" t="n">
        <f aca="false">IF('HC by Program-Term'!$Y17="","—",SUM(C87:I87))</f>
        <v>318</v>
      </c>
    </row>
    <row r="88" customFormat="false" ht="14.25" hidden="false" customHeight="false" outlineLevel="0" collapsed="false">
      <c r="A88" s="165" t="str">
        <f aca="false">'Program List'!A13</f>
        <v>M202</v>
      </c>
      <c r="B88" s="166" t="str">
        <f aca="false">'Program List'!B13</f>
        <v>Master of Clinical Mental Health Counseling</v>
      </c>
      <c r="C88" s="177" t="n">
        <f aca="false">IF('HC by Program-Term'!$Y18="","—",SUM(D135:F135))</f>
        <v>0</v>
      </c>
      <c r="D88" s="177" t="n">
        <f aca="false">IF('HC by Program-Term'!$Y18="","—",SUM(G135:I135))</f>
        <v>21</v>
      </c>
      <c r="E88" s="177" t="n">
        <f aca="false">IF('HC by Program-Term'!$Y18="","—",SUM(J135:L135))</f>
        <v>35</v>
      </c>
      <c r="F88" s="177" t="n">
        <f aca="false">IF('HC by Program-Term'!$Y18="","—",SUM(M135:O135))</f>
        <v>26</v>
      </c>
      <c r="G88" s="177" t="n">
        <f aca="false">IF('HC by Program-Term'!$Y18="","—",SUM(P135:R135))</f>
        <v>82</v>
      </c>
      <c r="H88" s="177" t="n">
        <f aca="false">IF('HC by Program-Term'!$Y18="","—",SUM(S135:U135))</f>
        <v>84</v>
      </c>
      <c r="I88" s="177" t="n">
        <f aca="false">IF('HC by Program-Term'!$Y18="","—",V135)</f>
        <v>13</v>
      </c>
      <c r="J88" s="151" t="n">
        <f aca="false">IF('HC by Program-Term'!$Y18="","—",SUM(C88:I88))</f>
        <v>261</v>
      </c>
    </row>
    <row r="89" customFormat="false" ht="14.25" hidden="false" customHeight="false" outlineLevel="0" collapsed="false">
      <c r="A89" s="162" t="str">
        <f aca="false">'Program List'!A14</f>
        <v>M246</v>
      </c>
      <c r="B89" s="163" t="str">
        <f aca="false">'Program List'!B14</f>
        <v>Master of Construction Business</v>
      </c>
      <c r="C89" s="175" t="n">
        <f aca="false">IF('HC by Program-Term'!$Y19="","—",SUM(D136:F136))</f>
        <v>0</v>
      </c>
      <c r="D89" s="175" t="n">
        <f aca="false">IF('HC by Program-Term'!$Y19="","—",SUM(G136:I136))</f>
        <v>6</v>
      </c>
      <c r="E89" s="175" t="n">
        <f aca="false">IF('HC by Program-Term'!$Y19="","—",SUM(J136:L136))</f>
        <v>30</v>
      </c>
      <c r="F89" s="175" t="n">
        <f aca="false">IF('HC by Program-Term'!$Y19="","—",SUM(M136:O136))</f>
        <v>43</v>
      </c>
      <c r="G89" s="175" t="n">
        <f aca="false">IF('HC by Program-Term'!$Y19="","—",SUM(P136:R136))</f>
        <v>30</v>
      </c>
      <c r="H89" s="175" t="n">
        <f aca="false">IF('HC by Program-Term'!$Y19="","—",SUM(S136:U136))</f>
        <v>42</v>
      </c>
      <c r="I89" s="175" t="n">
        <f aca="false">IF('HC by Program-Term'!$Y19="","—",V136)</f>
        <v>-4</v>
      </c>
      <c r="J89" s="147" t="n">
        <f aca="false">IF('HC by Program-Term'!$Y19="","—",SUM(C89:I89))</f>
        <v>147</v>
      </c>
    </row>
    <row r="90" customFormat="false" ht="14.25" hidden="false" customHeight="false" outlineLevel="0" collapsed="false">
      <c r="A90" s="165" t="str">
        <f aca="false">'Program List'!A15</f>
        <v>M297</v>
      </c>
      <c r="B90" s="166" t="str">
        <f aca="false">'Program List'!B15</f>
        <v>Master of Econometrics</v>
      </c>
      <c r="C90" s="177" t="str">
        <f aca="false">IF('HC by Program-Term'!$Y20="","—",SUM(D137:F137))</f>
        <v>—</v>
      </c>
      <c r="D90" s="177" t="str">
        <f aca="false">IF('HC by Program-Term'!$Y20="","—",SUM(G137:I137))</f>
        <v>—</v>
      </c>
      <c r="E90" s="177" t="str">
        <f aca="false">IF('HC by Program-Term'!$Y20="","—",SUM(J137:L137))</f>
        <v>—</v>
      </c>
      <c r="F90" s="177" t="str">
        <f aca="false">IF('HC by Program-Term'!$Y20="","—",SUM(M137:O137))</f>
        <v>—</v>
      </c>
      <c r="G90" s="177" t="str">
        <f aca="false">IF('HC by Program-Term'!$Y20="","—",SUM(P137:R137))</f>
        <v>—</v>
      </c>
      <c r="H90" s="177" t="str">
        <f aca="false">IF('HC by Program-Term'!$Y20="","—",SUM(S137:U137))</f>
        <v>—</v>
      </c>
      <c r="I90" s="177" t="str">
        <f aca="false">IF('HC by Program-Term'!$Y20="","—",V137)</f>
        <v>—</v>
      </c>
      <c r="J90" s="151" t="str">
        <f aca="false">IF('HC by Program-Term'!$Y20="","—",SUM(C90:I90))</f>
        <v>—</v>
      </c>
    </row>
    <row r="91" customFormat="false" ht="14.25" hidden="false" customHeight="false" outlineLevel="0" collapsed="false">
      <c r="A91" s="162" t="str">
        <f aca="false">'Program List'!A16</f>
        <v>M383</v>
      </c>
      <c r="B91" s="163" t="str">
        <f aca="false">'Program List'!B16</f>
        <v>Master of Entrepreneurship &amp; Innovation</v>
      </c>
      <c r="C91" s="175" t="str">
        <f aca="false">IF('HC by Program-Term'!$Y21="","—",SUM(D138:F138))</f>
        <v>—</v>
      </c>
      <c r="D91" s="175" t="str">
        <f aca="false">IF('HC by Program-Term'!$Y21="","—",SUM(G138:I138))</f>
        <v>—</v>
      </c>
      <c r="E91" s="175" t="str">
        <f aca="false">IF('HC by Program-Term'!$Y21="","—",SUM(J138:L138))</f>
        <v>—</v>
      </c>
      <c r="F91" s="175" t="str">
        <f aca="false">IF('HC by Program-Term'!$Y21="","—",SUM(M138:O138))</f>
        <v>—</v>
      </c>
      <c r="G91" s="175" t="str">
        <f aca="false">IF('HC by Program-Term'!$Y21="","—",SUM(P138:R138))</f>
        <v>—</v>
      </c>
      <c r="H91" s="175" t="str">
        <f aca="false">IF('HC by Program-Term'!$Y21="","—",SUM(S138:U138))</f>
        <v>—</v>
      </c>
      <c r="I91" s="175" t="str">
        <f aca="false">IF('HC by Program-Term'!$Y21="","—",V138)</f>
        <v>—</v>
      </c>
      <c r="J91" s="147" t="str">
        <f aca="false">IF('HC by Program-Term'!$Y21="","—",SUM(C91:I91))</f>
        <v>—</v>
      </c>
    </row>
    <row r="92" customFormat="false" ht="14.25" hidden="false" customHeight="false" outlineLevel="0" collapsed="false">
      <c r="A92" s="165" t="str">
        <f aca="false">'Program List'!A17</f>
        <v>M518</v>
      </c>
      <c r="B92" s="166" t="str">
        <f aca="false">'Program List'!B17</f>
        <v>Master of Environmental Science: Hydrology and Water Security</v>
      </c>
      <c r="C92" s="177" t="n">
        <f aca="false">IF('HC by Program-Term'!$Y22="","—",SUM(D139:F139))</f>
        <v>22</v>
      </c>
      <c r="D92" s="177" t="n">
        <f aca="false">IF('HC by Program-Term'!$Y22="","—",SUM(G139:I139))</f>
        <v>53</v>
      </c>
      <c r="E92" s="177" t="n">
        <f aca="false">IF('HC by Program-Term'!$Y22="","—",SUM(J139:L139))</f>
        <v>80</v>
      </c>
      <c r="F92" s="177" t="n">
        <f aca="false">IF('HC by Program-Term'!$Y22="","—",SUM(M139:O139))</f>
        <v>41</v>
      </c>
      <c r="G92" s="177" t="n">
        <f aca="false">IF('HC by Program-Term'!$Y22="","—",SUM(P139:R139))</f>
        <v>46</v>
      </c>
      <c r="H92" s="177" t="n">
        <f aca="false">IF('HC by Program-Term'!$Y22="","—",SUM(S139:U139))</f>
        <v>53</v>
      </c>
      <c r="I92" s="177" t="n">
        <f aca="false">IF('HC by Program-Term'!$Y22="","—",V139)</f>
        <v>9</v>
      </c>
      <c r="J92" s="151" t="n">
        <f aca="false">IF('HC by Program-Term'!$Y22="","—",SUM(C92:I92))</f>
        <v>304</v>
      </c>
    </row>
    <row r="93" customFormat="false" ht="14.25" hidden="false" customHeight="false" outlineLevel="0" collapsed="false">
      <c r="A93" s="162" t="str">
        <f aca="false">'Program List'!A18</f>
        <v>M368</v>
      </c>
      <c r="B93" s="163" t="str">
        <f aca="false">'Program List'!B18</f>
        <v>Master of Legal Studies - Energy</v>
      </c>
      <c r="C93" s="175" t="n">
        <f aca="false">IF('HC by Program-Term'!$Y23="","—",SUM(D140:F140))</f>
        <v>0</v>
      </c>
      <c r="D93" s="175" t="n">
        <f aca="false">IF('HC by Program-Term'!$Y23="","—",SUM(G140:I140))</f>
        <v>12</v>
      </c>
      <c r="E93" s="175" t="n">
        <f aca="false">IF('HC by Program-Term'!$Y23="","—",SUM(J140:L140))</f>
        <v>29</v>
      </c>
      <c r="F93" s="175" t="n">
        <f aca="false">IF('HC by Program-Term'!$Y23="","—",SUM(M140:O140))</f>
        <v>24</v>
      </c>
      <c r="G93" s="175" t="n">
        <f aca="false">IF('HC by Program-Term'!$Y23="","—",SUM(P140:R140))</f>
        <v>17</v>
      </c>
      <c r="H93" s="175" t="n">
        <f aca="false">IF('HC by Program-Term'!$Y23="","—",SUM(S140:U140))</f>
        <v>17</v>
      </c>
      <c r="I93" s="175" t="n">
        <f aca="false">IF('HC by Program-Term'!$Y23="","—",V140)</f>
        <v>-2</v>
      </c>
      <c r="J93" s="147" t="n">
        <f aca="false">IF('HC by Program-Term'!$Y23="","—",SUM(C93:I93))</f>
        <v>97</v>
      </c>
    </row>
    <row r="94" customFormat="false" ht="14.25" hidden="false" customHeight="false" outlineLevel="0" collapsed="false">
      <c r="A94" s="165" t="str">
        <f aca="false">'Program List'!A19</f>
        <v>M636</v>
      </c>
      <c r="B94" s="166" t="str">
        <f aca="false">'Program List'!B19</f>
        <v>Master of Legal Studies - General</v>
      </c>
      <c r="C94" s="177" t="str">
        <f aca="false">IF('HC by Program-Term'!$Y24="","—",SUM(D141:F141))</f>
        <v>—</v>
      </c>
      <c r="D94" s="177" t="str">
        <f aca="false">IF('HC by Program-Term'!$Y24="","—",SUM(G141:I141))</f>
        <v>—</v>
      </c>
      <c r="E94" s="177" t="str">
        <f aca="false">IF('HC by Program-Term'!$Y24="","—",SUM(J141:L141))</f>
        <v>—</v>
      </c>
      <c r="F94" s="177" t="str">
        <f aca="false">IF('HC by Program-Term'!$Y24="","—",SUM(M141:O141))</f>
        <v>—</v>
      </c>
      <c r="G94" s="177" t="str">
        <f aca="false">IF('HC by Program-Term'!$Y24="","—",SUM(P141:R141))</f>
        <v>—</v>
      </c>
      <c r="H94" s="177" t="str">
        <f aca="false">IF('HC by Program-Term'!$Y24="","—",SUM(S141:U141))</f>
        <v>—</v>
      </c>
      <c r="I94" s="177" t="str">
        <f aca="false">IF('HC by Program-Term'!$Y24="","—",V141)</f>
        <v>—</v>
      </c>
      <c r="J94" s="151" t="str">
        <f aca="false">IF('HC by Program-Term'!$Y24="","—",SUM(C94:I94))</f>
        <v>—</v>
      </c>
    </row>
    <row r="95" customFormat="false" ht="14.25" hidden="false" customHeight="false" outlineLevel="0" collapsed="false">
      <c r="A95" s="162" t="str">
        <f aca="false">'Program List'!A20</f>
        <v>M503</v>
      </c>
      <c r="B95" s="163" t="str">
        <f aca="false">'Program List'!B20</f>
        <v>Master of Legal Studies - Healthcare Law</v>
      </c>
      <c r="C95" s="175" t="n">
        <f aca="false">IF('HC by Program-Term'!$Y25="","—",SUM(D142:F142))</f>
        <v>28</v>
      </c>
      <c r="D95" s="175" t="n">
        <f aca="false">IF('HC by Program-Term'!$Y25="","—",SUM(G142:I142))</f>
        <v>101</v>
      </c>
      <c r="E95" s="175" t="n">
        <f aca="false">IF('HC by Program-Term'!$Y25="","—",SUM(J142:L142))</f>
        <v>119</v>
      </c>
      <c r="F95" s="175" t="n">
        <f aca="false">IF('HC by Program-Term'!$Y25="","—",SUM(M142:O142))</f>
        <v>110</v>
      </c>
      <c r="G95" s="175" t="n">
        <f aca="false">IF('HC by Program-Term'!$Y25="","—",SUM(P142:R142))</f>
        <v>75</v>
      </c>
      <c r="H95" s="175" t="n">
        <f aca="false">IF('HC by Program-Term'!$Y25="","—",SUM(S142:U142))</f>
        <v>60</v>
      </c>
      <c r="I95" s="175" t="n">
        <f aca="false">IF('HC by Program-Term'!$Y25="","—",V142)</f>
        <v>6</v>
      </c>
      <c r="J95" s="147" t="n">
        <f aca="false">IF('HC by Program-Term'!$Y25="","—",SUM(C95:I95))</f>
        <v>499</v>
      </c>
    </row>
    <row r="96" customFormat="false" ht="14.25" hidden="false" customHeight="false" outlineLevel="0" collapsed="false">
      <c r="A96" s="165" t="str">
        <f aca="false">'Program List'!A21</f>
        <v>M522</v>
      </c>
      <c r="B96" s="166" t="str">
        <f aca="false">'Program List'!B21</f>
        <v>Master of Legal Studies - Indigenous Peoples Law</v>
      </c>
      <c r="C96" s="177" t="n">
        <f aca="false">IF('HC by Program-Term'!$Y26="","—",SUM(D143:F143))</f>
        <v>38</v>
      </c>
      <c r="D96" s="177" t="n">
        <f aca="false">IF('HC by Program-Term'!$Y26="","—",SUM(G143:I143))</f>
        <v>160</v>
      </c>
      <c r="E96" s="177" t="n">
        <f aca="false">IF('HC by Program-Term'!$Y26="","—",SUM(J143:L143))</f>
        <v>150</v>
      </c>
      <c r="F96" s="177" t="n">
        <f aca="false">IF('HC by Program-Term'!$Y26="","—",SUM(M143:O143))</f>
        <v>121</v>
      </c>
      <c r="G96" s="177" t="n">
        <f aca="false">IF('HC by Program-Term'!$Y26="","—",SUM(P143:R143))</f>
        <v>113</v>
      </c>
      <c r="H96" s="177" t="n">
        <f aca="false">IF('HC by Program-Term'!$Y26="","—",SUM(S143:U143))</f>
        <v>90</v>
      </c>
      <c r="I96" s="177" t="n">
        <f aca="false">IF('HC by Program-Term'!$Y26="","—",V143)</f>
        <v>6</v>
      </c>
      <c r="J96" s="151" t="n">
        <f aca="false">IF('HC by Program-Term'!$Y26="","—",SUM(C96:I96))</f>
        <v>678</v>
      </c>
    </row>
    <row r="97" customFormat="false" ht="14.25" hidden="false" customHeight="false" outlineLevel="0" collapsed="false">
      <c r="A97" s="162" t="str">
        <f aca="false">'Program List'!A22</f>
        <v>M589</v>
      </c>
      <c r="B97" s="163" t="str">
        <f aca="false">'Program List'!B22</f>
        <v>Master of Legal Studies - International Business</v>
      </c>
      <c r="C97" s="175" t="n">
        <f aca="false">IF('HC by Program-Term'!$Y27="","—",SUM(D144:F144))</f>
        <v>5</v>
      </c>
      <c r="D97" s="175" t="n">
        <f aca="false">IF('HC by Program-Term'!$Y27="","—",SUM(G144:I144))</f>
        <v>23</v>
      </c>
      <c r="E97" s="175" t="n">
        <f aca="false">IF('HC by Program-Term'!$Y27="","—",SUM(J144:L144))</f>
        <v>18</v>
      </c>
      <c r="F97" s="175" t="n">
        <f aca="false">IF('HC by Program-Term'!$Y27="","—",SUM(M144:O144))</f>
        <v>13</v>
      </c>
      <c r="G97" s="175" t="n">
        <f aca="false">IF('HC by Program-Term'!$Y27="","—",SUM(P144:R144))</f>
        <v>7</v>
      </c>
      <c r="H97" s="175" t="n">
        <f aca="false">IF('HC by Program-Term'!$Y27="","—",SUM(S144:U144))</f>
        <v>3</v>
      </c>
      <c r="I97" s="175" t="n">
        <f aca="false">IF('HC by Program-Term'!$Y27="","—",V144)</f>
        <v>-1</v>
      </c>
      <c r="J97" s="147" t="n">
        <f aca="false">IF('HC by Program-Term'!$Y27="","—",SUM(C97:I97))</f>
        <v>68</v>
      </c>
    </row>
    <row r="98" customFormat="false" ht="14.25" hidden="false" customHeight="false" outlineLevel="0" collapsed="false">
      <c r="A98" s="165" t="str">
        <f aca="false">'Program List'!A23</f>
        <v>M029</v>
      </c>
      <c r="B98" s="166" t="str">
        <f aca="false">'Program List'!B23</f>
        <v>Master of Science in Applied Computing</v>
      </c>
      <c r="C98" s="177" t="str">
        <f aca="false">IF('HC by Program-Term'!$Y28="","—",SUM(D145:F145))</f>
        <v>—</v>
      </c>
      <c r="D98" s="177" t="str">
        <f aca="false">IF('HC by Program-Term'!$Y28="","—",SUM(G145:I145))</f>
        <v>—</v>
      </c>
      <c r="E98" s="177" t="str">
        <f aca="false">IF('HC by Program-Term'!$Y28="","—",SUM(J145:L145))</f>
        <v>—</v>
      </c>
      <c r="F98" s="177" t="str">
        <f aca="false">IF('HC by Program-Term'!$Y28="","—",SUM(M145:O145))</f>
        <v>—</v>
      </c>
      <c r="G98" s="177" t="str">
        <f aca="false">IF('HC by Program-Term'!$Y28="","—",SUM(P145:R145))</f>
        <v>—</v>
      </c>
      <c r="H98" s="177" t="str">
        <f aca="false">IF('HC by Program-Term'!$Y28="","—",SUM(S145:U145))</f>
        <v>—</v>
      </c>
      <c r="I98" s="177" t="str">
        <f aca="false">IF('HC by Program-Term'!$Y28="","—",V145)</f>
        <v>—</v>
      </c>
      <c r="J98" s="151" t="str">
        <f aca="false">IF('HC by Program-Term'!$Y28="","—",SUM(C98:I98))</f>
        <v>—</v>
      </c>
    </row>
    <row r="99" customFormat="false" ht="14.25" hidden="false" customHeight="false" outlineLevel="0" collapsed="false">
      <c r="A99" s="162" t="str">
        <f aca="false">'Program List'!A24</f>
        <v>M035</v>
      </c>
      <c r="B99" s="163" t="str">
        <f aca="false">'Program List'!B24</f>
        <v>Master of Science in Applied Statistics</v>
      </c>
      <c r="C99" s="175" t="n">
        <f aca="false">IF('HC by Program-Term'!$Y29="","—",SUM(D146:F146))</f>
        <v>0</v>
      </c>
      <c r="D99" s="175" t="n">
        <f aca="false">IF('HC by Program-Term'!$Y29="","—",SUM(G146:I146))</f>
        <v>0</v>
      </c>
      <c r="E99" s="175" t="n">
        <f aca="false">IF('HC by Program-Term'!$Y29="","—",SUM(J146:L146))</f>
        <v>0</v>
      </c>
      <c r="F99" s="175" t="n">
        <f aca="false">IF('HC by Program-Term'!$Y29="","—",SUM(M146:O146))</f>
        <v>24</v>
      </c>
      <c r="G99" s="175" t="n">
        <f aca="false">IF('HC by Program-Term'!$Y29="","—",SUM(P146:R146))</f>
        <v>40</v>
      </c>
      <c r="H99" s="175" t="n">
        <f aca="false">IF('HC by Program-Term'!$Y29="","—",SUM(S146:U146))</f>
        <v>54</v>
      </c>
      <c r="I99" s="175" t="n">
        <f aca="false">IF('HC by Program-Term'!$Y29="","—",V146)</f>
        <v>8</v>
      </c>
      <c r="J99" s="147" t="n">
        <f aca="false">IF('HC by Program-Term'!$Y29="","—",SUM(C99:I99))</f>
        <v>126</v>
      </c>
    </row>
    <row r="100" customFormat="false" ht="14.25" hidden="false" customHeight="false" outlineLevel="0" collapsed="false">
      <c r="A100" s="165" t="str">
        <f aca="false">'Program List'!A25</f>
        <v>M145</v>
      </c>
      <c r="B100" s="166" t="str">
        <f aca="false">'Program List'!B25</f>
        <v>Master of Science in Business Analytics</v>
      </c>
      <c r="C100" s="177" t="n">
        <f aca="false">IF('HC by Program-Term'!$Y30="","—",SUM(D147:F147))</f>
        <v>0</v>
      </c>
      <c r="D100" s="177" t="n">
        <f aca="false">IF('HC by Program-Term'!$Y30="","—",SUM(G147:I147))</f>
        <v>0</v>
      </c>
      <c r="E100" s="177" t="n">
        <f aca="false">IF('HC by Program-Term'!$Y30="","—",SUM(J147:L147))</f>
        <v>9</v>
      </c>
      <c r="F100" s="177" t="n">
        <f aca="false">IF('HC by Program-Term'!$Y30="","—",SUM(M147:O147))</f>
        <v>40</v>
      </c>
      <c r="G100" s="177" t="n">
        <f aca="false">IF('HC by Program-Term'!$Y30="","—",SUM(P147:R147))</f>
        <v>30</v>
      </c>
      <c r="H100" s="177" t="n">
        <f aca="false">IF('HC by Program-Term'!$Y30="","—",SUM(S147:U147))</f>
        <v>21</v>
      </c>
      <c r="I100" s="177" t="n">
        <f aca="false">IF('HC by Program-Term'!$Y30="","—",V147)</f>
        <v>2</v>
      </c>
      <c r="J100" s="151" t="n">
        <f aca="false">IF('HC by Program-Term'!$Y30="","—",SUM(C100:I100))</f>
        <v>102</v>
      </c>
    </row>
    <row r="101" customFormat="false" ht="14.25" hidden="false" customHeight="false" outlineLevel="0" collapsed="false">
      <c r="A101" s="162" t="str">
        <f aca="false">'Program List'!A26</f>
        <v>M191</v>
      </c>
      <c r="B101" s="163" t="str">
        <f aca="false">'Program List'!B26</f>
        <v>Master of Science in Civil Engineering</v>
      </c>
      <c r="C101" s="175" t="n">
        <f aca="false">IF('HC by Program-Term'!$Y31="","—",SUM(D148:F148))</f>
        <v>6</v>
      </c>
      <c r="D101" s="175" t="n">
        <f aca="false">IF('HC by Program-Term'!$Y31="","—",SUM(G148:I148))</f>
        <v>39</v>
      </c>
      <c r="E101" s="175" t="n">
        <f aca="false">IF('HC by Program-Term'!$Y31="","—",SUM(J148:L148))</f>
        <v>35</v>
      </c>
      <c r="F101" s="175" t="n">
        <f aca="false">IF('HC by Program-Term'!$Y31="","—",SUM(M148:O148))</f>
        <v>32</v>
      </c>
      <c r="G101" s="175" t="n">
        <f aca="false">IF('HC by Program-Term'!$Y31="","—",SUM(P148:R148))</f>
        <v>37</v>
      </c>
      <c r="H101" s="175" t="n">
        <f aca="false">IF('HC by Program-Term'!$Y31="","—",SUM(S148:U148))</f>
        <v>33</v>
      </c>
      <c r="I101" s="175" t="n">
        <f aca="false">IF('HC by Program-Term'!$Y31="","—",V148)</f>
        <v>-8</v>
      </c>
      <c r="J101" s="147" t="n">
        <f aca="false">IF('HC by Program-Term'!$Y31="","—",SUM(C101:I101))</f>
        <v>174</v>
      </c>
    </row>
    <row r="102" customFormat="false" ht="14.25" hidden="false" customHeight="false" outlineLevel="0" collapsed="false">
      <c r="A102" s="165" t="str">
        <f aca="false">'Program List'!A27</f>
        <v>M260</v>
      </c>
      <c r="B102" s="166" t="str">
        <f aca="false">'Program List'!B27</f>
        <v>Master of Science in Criminal Justice</v>
      </c>
      <c r="C102" s="177" t="n">
        <f aca="false">IF('HC by Program-Term'!$Y32="","—",SUM(D149:F149))</f>
        <v>8</v>
      </c>
      <c r="D102" s="177" t="n">
        <f aca="false">IF('HC by Program-Term'!$Y32="","—",SUM(G149:I149))</f>
        <v>28</v>
      </c>
      <c r="E102" s="177" t="n">
        <f aca="false">IF('HC by Program-Term'!$Y32="","—",SUM(J149:L149))</f>
        <v>59</v>
      </c>
      <c r="F102" s="177" t="n">
        <f aca="false">IF('HC by Program-Term'!$Y32="","—",SUM(M149:O149))</f>
        <v>59</v>
      </c>
      <c r="G102" s="177" t="n">
        <f aca="false">IF('HC by Program-Term'!$Y32="","—",SUM(P149:R149))</f>
        <v>71</v>
      </c>
      <c r="H102" s="177" t="n">
        <f aca="false">IF('HC by Program-Term'!$Y32="","—",SUM(S149:U149))</f>
        <v>62</v>
      </c>
      <c r="I102" s="177" t="n">
        <f aca="false">IF('HC by Program-Term'!$Y32="","—",V149)</f>
        <v>-5</v>
      </c>
      <c r="J102" s="151" t="n">
        <f aca="false">IF('HC by Program-Term'!$Y32="","—",SUM(C102:I102))</f>
        <v>282</v>
      </c>
    </row>
    <row r="103" customFormat="false" ht="14.25" hidden="false" customHeight="false" outlineLevel="0" collapsed="false">
      <c r="A103" s="162" t="str">
        <f aca="false">'Program List'!A28</f>
        <v>M264</v>
      </c>
      <c r="B103" s="163" t="str">
        <f aca="false">'Program List'!B28</f>
        <v>Master of Science in Cybersecurity Leadership</v>
      </c>
      <c r="C103" s="175" t="str">
        <f aca="false">IF('HC by Program-Term'!$Y33="","—",SUM(D150:F150))</f>
        <v>—</v>
      </c>
      <c r="D103" s="175" t="str">
        <f aca="false">IF('HC by Program-Term'!$Y33="","—",SUM(G150:I150))</f>
        <v>—</v>
      </c>
      <c r="E103" s="175" t="str">
        <f aca="false">IF('HC by Program-Term'!$Y33="","—",SUM(J150:L150))</f>
        <v>—</v>
      </c>
      <c r="F103" s="175" t="str">
        <f aca="false">IF('HC by Program-Term'!$Y33="","—",SUM(M150:O150))</f>
        <v>—</v>
      </c>
      <c r="G103" s="175" t="str">
        <f aca="false">IF('HC by Program-Term'!$Y33="","—",SUM(P150:R150))</f>
        <v>—</v>
      </c>
      <c r="H103" s="175" t="str">
        <f aca="false">IF('HC by Program-Term'!$Y33="","—",SUM(S150:U150))</f>
        <v>—</v>
      </c>
      <c r="I103" s="175" t="str">
        <f aca="false">IF('HC by Program-Term'!$Y33="","—",V150)</f>
        <v>—</v>
      </c>
      <c r="J103" s="147" t="str">
        <f aca="false">IF('HC by Program-Term'!$Y33="","—",SUM(C103:I103))</f>
        <v>—</v>
      </c>
    </row>
    <row r="104" customFormat="false" ht="14.25" hidden="false" customHeight="false" outlineLevel="0" collapsed="false">
      <c r="A104" s="165" t="str">
        <f aca="false">'Program List'!A29</f>
        <v>M374</v>
      </c>
      <c r="B104" s="166" t="str">
        <f aca="false">'Program List'!B29</f>
        <v>Master of Science in Engineering Leadership and Management</v>
      </c>
      <c r="C104" s="177" t="n">
        <f aca="false">IF('HC by Program-Term'!$Y34="","—",SUM(D151:F151))</f>
        <v>0</v>
      </c>
      <c r="D104" s="177" t="n">
        <f aca="false">IF('HC by Program-Term'!$Y34="","—",SUM(G151:I151))</f>
        <v>0</v>
      </c>
      <c r="E104" s="177" t="n">
        <f aca="false">IF('HC by Program-Term'!$Y34="","—",SUM(J151:L151))</f>
        <v>0</v>
      </c>
      <c r="F104" s="177" t="n">
        <f aca="false">IF('HC by Program-Term'!$Y34="","—",SUM(M151:O151))</f>
        <v>4</v>
      </c>
      <c r="G104" s="177" t="n">
        <f aca="false">IF('HC by Program-Term'!$Y34="","—",SUM(P151:R151))</f>
        <v>23</v>
      </c>
      <c r="H104" s="177" t="n">
        <f aca="false">IF('HC by Program-Term'!$Y34="","—",SUM(S151:U151))</f>
        <v>51</v>
      </c>
      <c r="I104" s="177" t="n">
        <f aca="false">IF('HC by Program-Term'!$Y34="","—",V151)</f>
        <v>18</v>
      </c>
      <c r="J104" s="151" t="n">
        <f aca="false">IF('HC by Program-Term'!$Y34="","—",SUM(C104:I104))</f>
        <v>96</v>
      </c>
    </row>
    <row r="105" customFormat="false" ht="14.25" hidden="false" customHeight="false" outlineLevel="0" collapsed="false">
      <c r="A105" s="162" t="str">
        <f aca="false">'Program List'!A30</f>
        <v>M435</v>
      </c>
      <c r="B105" s="163" t="str">
        <f aca="false">'Program List'!B30</f>
        <v>Master of Science in Finance</v>
      </c>
      <c r="C105" s="175" t="n">
        <f aca="false">IF('HC by Program-Term'!$Y35="","—",SUM(D152:F152))</f>
        <v>18</v>
      </c>
      <c r="D105" s="175" t="n">
        <f aca="false">IF('HC by Program-Term'!$Y35="","—",SUM(G152:I152))</f>
        <v>74</v>
      </c>
      <c r="E105" s="175" t="n">
        <f aca="false">IF('HC by Program-Term'!$Y35="","—",SUM(J152:L152))</f>
        <v>81</v>
      </c>
      <c r="F105" s="175" t="n">
        <f aca="false">IF('HC by Program-Term'!$Y35="","—",SUM(M152:O152))</f>
        <v>49</v>
      </c>
      <c r="G105" s="175" t="n">
        <f aca="false">IF('HC by Program-Term'!$Y35="","—",SUM(P152:R152))</f>
        <v>50</v>
      </c>
      <c r="H105" s="175" t="n">
        <f aca="false">IF('HC by Program-Term'!$Y35="","—",SUM(S152:U152))</f>
        <v>48</v>
      </c>
      <c r="I105" s="175" t="n">
        <f aca="false">IF('HC by Program-Term'!$Y35="","—",V152)</f>
        <v>5</v>
      </c>
      <c r="J105" s="147" t="n">
        <f aca="false">IF('HC by Program-Term'!$Y35="","—",SUM(C105:I105))</f>
        <v>325</v>
      </c>
    </row>
    <row r="106" customFormat="false" ht="14.25" hidden="false" customHeight="false" outlineLevel="0" collapsed="false">
      <c r="A106" s="165" t="str">
        <f aca="false">'Program List'!A31</f>
        <v>M464</v>
      </c>
      <c r="B106" s="166" t="str">
        <f aca="false">'Program List'!B31</f>
        <v>Master of Science in Geospatial Technology</v>
      </c>
      <c r="C106" s="177" t="n">
        <f aca="false">IF('HC by Program-Term'!$Y36="","—",SUM(D153:F153))</f>
        <v>9</v>
      </c>
      <c r="D106" s="177" t="n">
        <f aca="false">IF('HC by Program-Term'!$Y36="","—",SUM(G153:I153))</f>
        <v>18</v>
      </c>
      <c r="E106" s="177" t="n">
        <f aca="false">IF('HC by Program-Term'!$Y36="","—",SUM(J153:L153))</f>
        <v>32</v>
      </c>
      <c r="F106" s="177" t="n">
        <f aca="false">IF('HC by Program-Term'!$Y36="","—",SUM(M153:O153))</f>
        <v>28</v>
      </c>
      <c r="G106" s="177" t="n">
        <f aca="false">IF('HC by Program-Term'!$Y36="","—",SUM(P153:R153))</f>
        <v>8</v>
      </c>
      <c r="H106" s="177" t="n">
        <f aca="false">IF('HC by Program-Term'!$Y36="","—",SUM(S153:U153))</f>
        <v>21</v>
      </c>
      <c r="I106" s="177" t="n">
        <f aca="false">IF('HC by Program-Term'!$Y36="","—",V153)</f>
        <v>0</v>
      </c>
      <c r="J106" s="151" t="n">
        <f aca="false">IF('HC by Program-Term'!$Y36="","—",SUM(C106:I106))</f>
        <v>116</v>
      </c>
    </row>
    <row r="107" customFormat="false" ht="14.25" hidden="false" customHeight="false" outlineLevel="0" collapsed="false">
      <c r="A107" s="162" t="str">
        <f aca="false">'Program List'!A32</f>
        <v>M527</v>
      </c>
      <c r="B107" s="163" t="str">
        <f aca="false">'Program List'!B32</f>
        <v>Master of Science in Industrial and Systems Engineering</v>
      </c>
      <c r="C107" s="175" t="n">
        <f aca="false">IF('HC by Program-Term'!$Y37="","—",SUM(D154:F154))</f>
        <v>0</v>
      </c>
      <c r="D107" s="175" t="n">
        <f aca="false">IF('HC by Program-Term'!$Y37="","—",SUM(G154:I154))</f>
        <v>11</v>
      </c>
      <c r="E107" s="175" t="n">
        <f aca="false">IF('HC by Program-Term'!$Y37="","—",SUM(J154:L154))</f>
        <v>13</v>
      </c>
      <c r="F107" s="175" t="n">
        <f aca="false">IF('HC by Program-Term'!$Y37="","—",SUM(M154:O154))</f>
        <v>25</v>
      </c>
      <c r="G107" s="175" t="n">
        <f aca="false">IF('HC by Program-Term'!$Y37="","—",SUM(P154:R154))</f>
        <v>39</v>
      </c>
      <c r="H107" s="175" t="n">
        <f aca="false">IF('HC by Program-Term'!$Y37="","—",SUM(S154:U154))</f>
        <v>50</v>
      </c>
      <c r="I107" s="175" t="n">
        <f aca="false">IF('HC by Program-Term'!$Y37="","—",V154)</f>
        <v>15</v>
      </c>
      <c r="J107" s="147" t="n">
        <f aca="false">IF('HC by Program-Term'!$Y37="","—",SUM(C107:I107))</f>
        <v>153</v>
      </c>
    </row>
    <row r="108" customFormat="false" ht="14.25" hidden="false" customHeight="false" outlineLevel="0" collapsed="false">
      <c r="A108" s="165" t="str">
        <f aca="false">'Program List'!A33</f>
        <v>M746</v>
      </c>
      <c r="B108" s="166" t="str">
        <f aca="false">'Program List'!B33</f>
        <v>Master of Science in Natural Gas Engineering and Management</v>
      </c>
      <c r="C108" s="177" t="n">
        <f aca="false">IF('HC by Program-Term'!$Y38="","—",SUM(D155:F155))</f>
        <v>3</v>
      </c>
      <c r="D108" s="177" t="n">
        <f aca="false">IF('HC by Program-Term'!$Y38="","—",SUM(G155:I155))</f>
        <v>9</v>
      </c>
      <c r="E108" s="177" t="n">
        <f aca="false">IF('HC by Program-Term'!$Y38="","—",SUM(J155:L155))</f>
        <v>17</v>
      </c>
      <c r="F108" s="177" t="n">
        <f aca="false">IF('HC by Program-Term'!$Y38="","—",SUM(M155:O155))</f>
        <v>20</v>
      </c>
      <c r="G108" s="177" t="n">
        <f aca="false">IF('HC by Program-Term'!$Y38="","—",SUM(P155:R155))</f>
        <v>32</v>
      </c>
      <c r="H108" s="177" t="n">
        <f aca="false">IF('HC by Program-Term'!$Y38="","—",SUM(S155:U155))</f>
        <v>33</v>
      </c>
      <c r="I108" s="177" t="n">
        <f aca="false">IF('HC by Program-Term'!$Y38="","—",V155)</f>
        <v>2</v>
      </c>
      <c r="J108" s="151" t="n">
        <f aca="false">IF('HC by Program-Term'!$Y38="","—",SUM(C108:I108))</f>
        <v>116</v>
      </c>
    </row>
    <row r="109" customFormat="false" ht="14.25" hidden="false" customHeight="false" outlineLevel="0" collapsed="false">
      <c r="A109" s="162" t="str">
        <f aca="false">'Program List'!A34</f>
        <v>M861</v>
      </c>
      <c r="B109" s="163" t="str">
        <f aca="false">'Program List'!B34</f>
        <v>Master of Science in Supply Chain Management</v>
      </c>
      <c r="C109" s="175" t="n">
        <f aca="false">IF('HC by Program-Term'!$Y39="","—",SUM(D156:F156))</f>
        <v>0</v>
      </c>
      <c r="D109" s="175" t="n">
        <f aca="false">IF('HC by Program-Term'!$Y39="","—",SUM(G156:I156))</f>
        <v>0</v>
      </c>
      <c r="E109" s="175" t="n">
        <f aca="false">IF('HC by Program-Term'!$Y39="","—",SUM(J156:L156))</f>
        <v>6</v>
      </c>
      <c r="F109" s="175" t="n">
        <f aca="false">IF('HC by Program-Term'!$Y39="","—",SUM(M156:O156))</f>
        <v>28</v>
      </c>
      <c r="G109" s="175" t="n">
        <f aca="false">IF('HC by Program-Term'!$Y39="","—",SUM(P156:R156))</f>
        <v>61</v>
      </c>
      <c r="H109" s="175" t="n">
        <f aca="false">IF('HC by Program-Term'!$Y39="","—",SUM(S156:U156))</f>
        <v>43</v>
      </c>
      <c r="I109" s="175" t="n">
        <f aca="false">IF('HC by Program-Term'!$Y39="","—",V156)</f>
        <v>-1</v>
      </c>
      <c r="J109" s="147" t="n">
        <f aca="false">IF('HC by Program-Term'!$Y39="","—",SUM(C109:I109))</f>
        <v>137</v>
      </c>
    </row>
    <row r="110" customFormat="false" ht="14.25" hidden="false" customHeight="false" outlineLevel="0" collapsed="false">
      <c r="A110" s="165" t="str">
        <f aca="false">'Program List'!A35</f>
        <v>M869</v>
      </c>
      <c r="B110" s="166" t="str">
        <f aca="false">'Program List'!B35</f>
        <v>Master of Science in Sustainability - Energy and Materials Mgmt</v>
      </c>
      <c r="C110" s="177" t="n">
        <f aca="false">IF('HC by Program-Term'!$Y40="","—",SUM(D157:F157))</f>
        <v>0</v>
      </c>
      <c r="D110" s="177" t="n">
        <f aca="false">IF('HC by Program-Term'!$Y40="","—",SUM(G157:I157))</f>
        <v>0</v>
      </c>
      <c r="E110" s="177" t="n">
        <f aca="false">IF('HC by Program-Term'!$Y40="","—",SUM(J157:L157))</f>
        <v>0</v>
      </c>
      <c r="F110" s="177" t="n">
        <f aca="false">IF('HC by Program-Term'!$Y40="","—",SUM(M157:O157))</f>
        <v>10</v>
      </c>
      <c r="G110" s="177" t="n">
        <f aca="false">IF('HC by Program-Term'!$Y40="","—",SUM(P157:R157))</f>
        <v>23</v>
      </c>
      <c r="H110" s="177" t="n">
        <f aca="false">IF('HC by Program-Term'!$Y40="","—",SUM(S157:U157))</f>
        <v>44</v>
      </c>
      <c r="I110" s="177" t="n">
        <f aca="false">IF('HC by Program-Term'!$Y40="","—",V157)</f>
        <v>12</v>
      </c>
      <c r="J110" s="151" t="n">
        <f aca="false">IF('HC by Program-Term'!$Y40="","—",SUM(C110:I110))</f>
        <v>89</v>
      </c>
    </row>
    <row r="111" customFormat="false" ht="14.25" hidden="false" customHeight="false" outlineLevel="0" collapsed="false">
      <c r="A111" s="162" t="str">
        <f aca="false">'Program List'!A36</f>
        <v>M867</v>
      </c>
      <c r="B111" s="163" t="str">
        <f aca="false">'Program List'!B36</f>
        <v>Master of Science in Sustainable Architecture</v>
      </c>
      <c r="C111" s="175" t="n">
        <f aca="false">IF('HC by Program-Term'!$Y41="","—",SUM(D158:F158))</f>
        <v>0</v>
      </c>
      <c r="D111" s="175" t="n">
        <f aca="false">IF('HC by Program-Term'!$Y41="","—",SUM(G158:I158))</f>
        <v>0</v>
      </c>
      <c r="E111" s="175" t="n">
        <f aca="false">IF('HC by Program-Term'!$Y41="","—",SUM(J158:L158))</f>
        <v>0</v>
      </c>
      <c r="F111" s="175" t="n">
        <f aca="false">IF('HC by Program-Term'!$Y41="","—",SUM(M158:O158))</f>
        <v>7</v>
      </c>
      <c r="G111" s="175" t="n">
        <f aca="false">IF('HC by Program-Term'!$Y41="","—",SUM(P158:R158))</f>
        <v>21</v>
      </c>
      <c r="H111" s="175" t="n">
        <f aca="false">IF('HC by Program-Term'!$Y41="","—",SUM(S158:U158))</f>
        <v>25</v>
      </c>
      <c r="I111" s="175" t="n">
        <f aca="false">IF('HC by Program-Term'!$Y41="","—",V158)</f>
        <v>-1</v>
      </c>
      <c r="J111" s="147" t="n">
        <f aca="false">IF('HC by Program-Term'!$Y41="","—",SUM(C111:I111))</f>
        <v>52</v>
      </c>
    </row>
    <row r="112" customFormat="false" ht="14.25" hidden="false" customHeight="false" outlineLevel="0" collapsed="false">
      <c r="A112" s="165" t="str">
        <f aca="false">'Program List'!A37</f>
        <v>M844</v>
      </c>
      <c r="B112" s="166" t="str">
        <f aca="false">'Program List'!B37</f>
        <v>Master of Social Work</v>
      </c>
      <c r="C112" s="177" t="n">
        <f aca="false">IF('HC by Program-Term'!$Y42="","—",SUM(D159:F159))</f>
        <v>28</v>
      </c>
      <c r="D112" s="177" t="n">
        <f aca="false">IF('HC by Program-Term'!$Y42="","—",SUM(G159:I159))</f>
        <v>75</v>
      </c>
      <c r="E112" s="177" t="n">
        <f aca="false">IF('HC by Program-Term'!$Y42="","—",SUM(J159:L159))</f>
        <v>161</v>
      </c>
      <c r="F112" s="177" t="n">
        <f aca="false">IF('HC by Program-Term'!$Y42="","—",SUM(M159:O159))</f>
        <v>174</v>
      </c>
      <c r="G112" s="177" t="n">
        <f aca="false">IF('HC by Program-Term'!$Y42="","—",SUM(P159:R159))</f>
        <v>164</v>
      </c>
      <c r="H112" s="177" t="n">
        <f aca="false">IF('HC by Program-Term'!$Y42="","—",SUM(S159:U159))</f>
        <v>113</v>
      </c>
      <c r="I112" s="177" t="n">
        <f aca="false">IF('HC by Program-Term'!$Y42="","—",V159)</f>
        <v>62</v>
      </c>
      <c r="J112" s="151" t="n">
        <f aca="false">IF('HC by Program-Term'!$Y42="","—",SUM(C112:I112))</f>
        <v>777</v>
      </c>
    </row>
    <row r="113" customFormat="false" ht="14.25" hidden="false" customHeight="false" outlineLevel="0" collapsed="false">
      <c r="A113" s="162" t="str">
        <f aca="false">'Program List'!A38</f>
        <v>1237Q</v>
      </c>
      <c r="B113" s="163" t="str">
        <f aca="false">'Program List'!B38</f>
        <v>Masters in Public Health</v>
      </c>
      <c r="C113" s="175" t="str">
        <f aca="false">IF('HC by Program-Term'!$Y43="","—",SUM(D160:F160))</f>
        <v>—</v>
      </c>
      <c r="D113" s="175" t="str">
        <f aca="false">IF('HC by Program-Term'!$Y43="","—",SUM(G160:I160))</f>
        <v>—</v>
      </c>
      <c r="E113" s="175" t="str">
        <f aca="false">IF('HC by Program-Term'!$Y43="","—",SUM(J160:L160))</f>
        <v>—</v>
      </c>
      <c r="F113" s="175" t="str">
        <f aca="false">IF('HC by Program-Term'!$Y43="","—",SUM(M160:O160))</f>
        <v>—</v>
      </c>
      <c r="G113" s="175" t="str">
        <f aca="false">IF('HC by Program-Term'!$Y43="","—",SUM(P160:R160))</f>
        <v>—</v>
      </c>
      <c r="H113" s="175" t="str">
        <f aca="false">IF('HC by Program-Term'!$Y43="","—",SUM(S160:U160))</f>
        <v>—</v>
      </c>
      <c r="I113" s="175" t="str">
        <f aca="false">IF('HC by Program-Term'!$Y43="","—",V160)</f>
        <v>—</v>
      </c>
      <c r="J113" s="147" t="str">
        <f aca="false">IF('HC by Program-Term'!$Y43="","—",SUM(C113:I113))</f>
        <v>—</v>
      </c>
    </row>
    <row r="114" customFormat="false" ht="14.25" hidden="false" customHeight="false" outlineLevel="0" collapsed="false">
      <c r="A114" s="165" t="str">
        <f aca="false">'Program List'!A39</f>
        <v>M355</v>
      </c>
      <c r="B114" s="166" t="str">
        <f aca="false">'Program List'!B39</f>
        <v>Online LL.M. Energy and Natural Resources</v>
      </c>
      <c r="C114" s="177" t="n">
        <f aca="false">IF('HC by Program-Term'!$Y44="","—",SUM(D161:F161))</f>
        <v>0</v>
      </c>
      <c r="D114" s="177" t="n">
        <f aca="false">IF('HC by Program-Term'!$Y44="","—",SUM(G161:I161))</f>
        <v>2</v>
      </c>
      <c r="E114" s="177" t="n">
        <f aca="false">IF('HC by Program-Term'!$Y44="","—",SUM(J161:L161))</f>
        <v>2</v>
      </c>
      <c r="F114" s="177" t="n">
        <f aca="false">IF('HC by Program-Term'!$Y44="","—",SUM(M161:O161))</f>
        <v>2</v>
      </c>
      <c r="G114" s="177" t="n">
        <f aca="false">IF('HC by Program-Term'!$Y44="","—",SUM(P161:R161))</f>
        <v>4</v>
      </c>
      <c r="H114" s="177" t="n">
        <f aca="false">IF('HC by Program-Term'!$Y44="","—",SUM(S161:U161))</f>
        <v>3</v>
      </c>
      <c r="I114" s="177" t="n">
        <f aca="false">IF('HC by Program-Term'!$Y44="","—",V161)</f>
        <v>1</v>
      </c>
      <c r="J114" s="151" t="n">
        <f aca="false">IF('HC by Program-Term'!$Y44="","—",SUM(C114:I114))</f>
        <v>14</v>
      </c>
    </row>
    <row r="115" customFormat="false" ht="14.25" hidden="false" customHeight="false" outlineLevel="0" collapsed="false">
      <c r="A115" s="162" t="str">
        <f aca="false">'Program List'!A40</f>
        <v>M504</v>
      </c>
      <c r="B115" s="163" t="str">
        <f aca="false">'Program List'!B40</f>
        <v>Online LL.M. Healthcare Law</v>
      </c>
      <c r="C115" s="175" t="n">
        <f aca="false">IF('HC by Program-Term'!$Y45="","—",SUM(D162:F162))</f>
        <v>0</v>
      </c>
      <c r="D115" s="175" t="n">
        <f aca="false">IF('HC by Program-Term'!$Y45="","—",SUM(G162:I162))</f>
        <v>1</v>
      </c>
      <c r="E115" s="175" t="n">
        <f aca="false">IF('HC by Program-Term'!$Y45="","—",SUM(J162:L162))</f>
        <v>4</v>
      </c>
      <c r="F115" s="175" t="n">
        <f aca="false">IF('HC by Program-Term'!$Y45="","—",SUM(M162:O162))</f>
        <v>3</v>
      </c>
      <c r="G115" s="175" t="n">
        <f aca="false">IF('HC by Program-Term'!$Y45="","—",SUM(P162:R162))</f>
        <v>2</v>
      </c>
      <c r="H115" s="175" t="n">
        <f aca="false">IF('HC by Program-Term'!$Y45="","—",SUM(S162:U162))</f>
        <v>4</v>
      </c>
      <c r="I115" s="175" t="n">
        <f aca="false">IF('HC by Program-Term'!$Y45="","—",V162)</f>
        <v>-1</v>
      </c>
      <c r="J115" s="147" t="n">
        <f aca="false">IF('HC by Program-Term'!$Y45="","—",SUM(C115:I115))</f>
        <v>13</v>
      </c>
    </row>
    <row r="116" customFormat="false" ht="14.25" hidden="false" customHeight="false" outlineLevel="0" collapsed="false">
      <c r="A116" s="165" t="str">
        <f aca="false">'Program List'!A41</f>
        <v>M526</v>
      </c>
      <c r="B116" s="166" t="str">
        <f aca="false">'Program List'!B41</f>
        <v>Online LL.M. Indigenous Peoples Law</v>
      </c>
      <c r="C116" s="177" t="n">
        <f aca="false">IF('HC by Program-Term'!$Y46="","—",SUM(D163:F163))</f>
        <v>0</v>
      </c>
      <c r="D116" s="177" t="n">
        <f aca="false">IF('HC by Program-Term'!$Y46="","—",SUM(G163:I163))</f>
        <v>6</v>
      </c>
      <c r="E116" s="177" t="n">
        <f aca="false">IF('HC by Program-Term'!$Y46="","—",SUM(J163:L163))</f>
        <v>8</v>
      </c>
      <c r="F116" s="177" t="n">
        <f aca="false">IF('HC by Program-Term'!$Y46="","—",SUM(M163:O163))</f>
        <v>1</v>
      </c>
      <c r="G116" s="177" t="n">
        <f aca="false">IF('HC by Program-Term'!$Y46="","—",SUM(P163:R163))</f>
        <v>8</v>
      </c>
      <c r="H116" s="177" t="n">
        <f aca="false">IF('HC by Program-Term'!$Y46="","—",SUM(S163:U163))</f>
        <v>4</v>
      </c>
      <c r="I116" s="177" t="n">
        <f aca="false">IF('HC by Program-Term'!$Y46="","—",V163)</f>
        <v>2</v>
      </c>
      <c r="J116" s="151" t="n">
        <f aca="false">IF('HC by Program-Term'!$Y46="","—",SUM(C116:I116))</f>
        <v>29</v>
      </c>
    </row>
    <row r="117" customFormat="false" ht="14.25" hidden="false" customHeight="false" outlineLevel="0" collapsed="false">
      <c r="A117" s="162" t="str">
        <f aca="false">'Program List'!A42</f>
        <v>M592</v>
      </c>
      <c r="B117" s="163" t="str">
        <f aca="false">'Program List'!B42</f>
        <v>Online LL.M. International Business</v>
      </c>
      <c r="C117" s="175" t="n">
        <f aca="false">IF('HC by Program-Term'!$Y47="","—",SUM(D164:F164))</f>
        <v>0</v>
      </c>
      <c r="D117" s="175" t="n">
        <f aca="false">IF('HC by Program-Term'!$Y47="","—",SUM(G164:I164))</f>
        <v>0</v>
      </c>
      <c r="E117" s="175" t="n">
        <f aca="false">IF('HC by Program-Term'!$Y47="","—",SUM(J164:L164))</f>
        <v>1</v>
      </c>
      <c r="F117" s="175" t="n">
        <f aca="false">IF('HC by Program-Term'!$Y47="","—",SUM(M164:O164))</f>
        <v>0</v>
      </c>
      <c r="G117" s="175" t="n">
        <f aca="false">IF('HC by Program-Term'!$Y47="","—",SUM(P164:R164))</f>
        <v>1</v>
      </c>
      <c r="H117" s="175" t="n">
        <f aca="false">IF('HC by Program-Term'!$Y47="","—",SUM(S164:U164))</f>
        <v>2</v>
      </c>
      <c r="I117" s="175" t="n">
        <f aca="false">IF('HC by Program-Term'!$Y47="","—",V164)</f>
        <v>0</v>
      </c>
      <c r="J117" s="147" t="n">
        <f aca="false">IF('HC by Program-Term'!$Y47="","—",SUM(C117:I117))</f>
        <v>4</v>
      </c>
    </row>
    <row r="118" customFormat="false" ht="14.25" hidden="false" customHeight="false" outlineLevel="0" collapsed="false">
      <c r="A118" s="87"/>
      <c r="B118" s="152" t="s">
        <v>700</v>
      </c>
      <c r="C118" s="153" t="n">
        <f aca="false">SUM(C77:C117)</f>
        <v>318</v>
      </c>
      <c r="D118" s="153" t="n">
        <f aca="false">SUM(D77:D117)</f>
        <v>908</v>
      </c>
      <c r="E118" s="153" t="n">
        <f aca="false">SUM(E77:E117)</f>
        <v>1321</v>
      </c>
      <c r="F118" s="153" t="n">
        <f aca="false">SUM(F77:F117)</f>
        <v>1453</v>
      </c>
      <c r="G118" s="153" t="n">
        <f aca="false">SUM(G77:G117)</f>
        <v>1608</v>
      </c>
      <c r="H118" s="153" t="n">
        <f aca="false">SUM(H77:H117)</f>
        <v>1562</v>
      </c>
      <c r="I118" s="153" t="n">
        <f aca="false">SUM(I77:I117)</f>
        <v>199</v>
      </c>
      <c r="J118" s="153" t="n">
        <f aca="false">SUM(J77:J117)</f>
        <v>7369</v>
      </c>
    </row>
    <row r="121" customFormat="false" ht="15.75" hidden="false" customHeight="true" outlineLevel="0" collapsed="false">
      <c r="A121" s="172" t="s">
        <v>775</v>
      </c>
    </row>
    <row r="122" customFormat="false" ht="14.25" hidden="false" customHeight="false" outlineLevel="0" collapsed="false">
      <c r="A122" s="173" t="s">
        <v>699</v>
      </c>
      <c r="B122" s="142" t="s">
        <v>134</v>
      </c>
      <c r="C122" s="201" t="s">
        <v>703</v>
      </c>
      <c r="D122" s="201" t="s">
        <v>704</v>
      </c>
      <c r="E122" s="201" t="s">
        <v>705</v>
      </c>
      <c r="F122" s="201" t="s">
        <v>706</v>
      </c>
      <c r="G122" s="201" t="s">
        <v>707</v>
      </c>
      <c r="H122" s="201" t="s">
        <v>708</v>
      </c>
      <c r="I122" s="201" t="s">
        <v>709</v>
      </c>
      <c r="J122" s="201" t="s">
        <v>710</v>
      </c>
      <c r="K122" s="201" t="s">
        <v>711</v>
      </c>
      <c r="L122" s="201" t="s">
        <v>712</v>
      </c>
      <c r="M122" s="201" t="s">
        <v>713</v>
      </c>
      <c r="N122" s="201" t="s">
        <v>714</v>
      </c>
      <c r="O122" s="201" t="s">
        <v>715</v>
      </c>
      <c r="P122" s="201" t="s">
        <v>716</v>
      </c>
      <c r="Q122" s="201" t="s">
        <v>717</v>
      </c>
      <c r="R122" s="201" t="s">
        <v>718</v>
      </c>
      <c r="S122" s="201" t="s">
        <v>719</v>
      </c>
      <c r="T122" s="201" t="s">
        <v>720</v>
      </c>
      <c r="U122" s="201" t="s">
        <v>721</v>
      </c>
      <c r="V122" s="201" t="s">
        <v>722</v>
      </c>
      <c r="W122" s="173" t="s">
        <v>774</v>
      </c>
    </row>
    <row r="123" customFormat="false" ht="14.25" hidden="false" customHeight="false" outlineLevel="0" collapsed="false">
      <c r="C123" s="202" t="s">
        <v>113</v>
      </c>
      <c r="D123" s="202" t="s">
        <v>114</v>
      </c>
      <c r="E123" s="202" t="s">
        <v>115</v>
      </c>
      <c r="F123" s="202" t="s">
        <v>116</v>
      </c>
      <c r="G123" s="202" t="s">
        <v>117</v>
      </c>
      <c r="H123" s="202" t="s">
        <v>118</v>
      </c>
      <c r="I123" s="202" t="s">
        <v>119</v>
      </c>
      <c r="J123" s="202" t="s">
        <v>120</v>
      </c>
      <c r="K123" s="202" t="s">
        <v>121</v>
      </c>
      <c r="L123" s="202" t="s">
        <v>122</v>
      </c>
      <c r="M123" s="202" t="s">
        <v>123</v>
      </c>
      <c r="N123" s="202" t="s">
        <v>124</v>
      </c>
      <c r="O123" s="202" t="s">
        <v>125</v>
      </c>
      <c r="P123" s="202" t="s">
        <v>126</v>
      </c>
      <c r="Q123" s="202" t="s">
        <v>127</v>
      </c>
      <c r="R123" s="202" t="s">
        <v>128</v>
      </c>
      <c r="S123" s="202" t="s">
        <v>129</v>
      </c>
      <c r="T123" s="202" t="s">
        <v>130</v>
      </c>
      <c r="U123" s="202" t="s">
        <v>131</v>
      </c>
      <c r="V123" s="202" t="s">
        <v>132</v>
      </c>
    </row>
    <row r="124" customFormat="false" ht="14.25" hidden="false" customHeight="false" outlineLevel="0" collapsed="false">
      <c r="A124" s="162" t="str">
        <f aca="false">'Program List'!A2</f>
        <v>1550C</v>
      </c>
      <c r="B124" s="163" t="str">
        <f aca="false">'Program List'!B2</f>
        <v>Certificate in Population Health</v>
      </c>
      <c r="C124" s="175" t="s">
        <v>282</v>
      </c>
      <c r="D124" s="175" t="str">
        <f aca="false">IF('HC by Program-Term'!$Y7="","—",'HC by Program-Term'!C7-'New vs Continuing — Term'!Y7)</f>
        <v>—</v>
      </c>
      <c r="E124" s="175" t="str">
        <f aca="false">IF('HC by Program-Term'!$Y7="","—",'HC by Program-Term'!D7-'New vs Continuing — Term'!Z7)</f>
        <v>—</v>
      </c>
      <c r="F124" s="175" t="str">
        <f aca="false">IF('HC by Program-Term'!$Y7="","—",'HC by Program-Term'!E7-'New vs Continuing — Term'!AA7)</f>
        <v>—</v>
      </c>
      <c r="G124" s="175" t="str">
        <f aca="false">IF('HC by Program-Term'!$Y7="","—",'HC by Program-Term'!F7-'New vs Continuing — Term'!AB7)</f>
        <v>—</v>
      </c>
      <c r="H124" s="175" t="str">
        <f aca="false">IF('HC by Program-Term'!$Y7="","—",'HC by Program-Term'!G7-'New vs Continuing — Term'!AC7)</f>
        <v>—</v>
      </c>
      <c r="I124" s="175" t="str">
        <f aca="false">IF('HC by Program-Term'!$Y7="","—",'HC by Program-Term'!H7-'New vs Continuing — Term'!AD7)</f>
        <v>—</v>
      </c>
      <c r="J124" s="175" t="str">
        <f aca="false">IF('HC by Program-Term'!$Y7="","—",'HC by Program-Term'!I7-'New vs Continuing — Term'!AE7)</f>
        <v>—</v>
      </c>
      <c r="K124" s="175" t="str">
        <f aca="false">IF('HC by Program-Term'!$Y7="","—",'HC by Program-Term'!J7-'New vs Continuing — Term'!AF7)</f>
        <v>—</v>
      </c>
      <c r="L124" s="175" t="str">
        <f aca="false">IF('HC by Program-Term'!$Y7="","—",'HC by Program-Term'!K7-'New vs Continuing — Term'!AG7)</f>
        <v>—</v>
      </c>
      <c r="M124" s="175" t="str">
        <f aca="false">IF('HC by Program-Term'!$Y7="","—",'HC by Program-Term'!L7-'New vs Continuing — Term'!AH7)</f>
        <v>—</v>
      </c>
      <c r="N124" s="175" t="str">
        <f aca="false">IF('HC by Program-Term'!$Y7="","—",'HC by Program-Term'!M7-'New vs Continuing — Term'!AI7)</f>
        <v>—</v>
      </c>
      <c r="O124" s="175" t="str">
        <f aca="false">IF('HC by Program-Term'!$Y7="","—",'HC by Program-Term'!N7-'New vs Continuing — Term'!AJ7)</f>
        <v>—</v>
      </c>
      <c r="P124" s="175" t="str">
        <f aca="false">IF('HC by Program-Term'!$Y7="","—",'HC by Program-Term'!O7-'New vs Continuing — Term'!AK7)</f>
        <v>—</v>
      </c>
      <c r="Q124" s="175" t="str">
        <f aca="false">IF('HC by Program-Term'!$Y7="","—",'HC by Program-Term'!P7-'New vs Continuing — Term'!AL7)</f>
        <v>—</v>
      </c>
      <c r="R124" s="175" t="str">
        <f aca="false">IF('HC by Program-Term'!$Y7="","—",'HC by Program-Term'!Q7-'New vs Continuing — Term'!AM7)</f>
        <v>—</v>
      </c>
      <c r="S124" s="175" t="str">
        <f aca="false">IF('HC by Program-Term'!$Y7="","—",'HC by Program-Term'!R7-'New vs Continuing — Term'!AN7)</f>
        <v>—</v>
      </c>
      <c r="T124" s="175" t="str">
        <f aca="false">IF('HC by Program-Term'!$Y7="","—",'HC by Program-Term'!S7-'New vs Continuing — Term'!AO7)</f>
        <v>—</v>
      </c>
      <c r="U124" s="175" t="str">
        <f aca="false">IF('HC by Program-Term'!$Y7="","—",'HC by Program-Term'!T7-'New vs Continuing — Term'!AP7)</f>
        <v>—</v>
      </c>
      <c r="V124" s="175" t="str">
        <f aca="false">IF('HC by Program-Term'!$Y7="","—",'HC by Program-Term'!U7-'New vs Continuing — Term'!AQ7)</f>
        <v>—</v>
      </c>
      <c r="W124" s="147" t="str">
        <f aca="false">IF('HC by Program-Term'!$Y7="","—",SUM(C124:V124))</f>
        <v>—</v>
      </c>
    </row>
    <row r="125" customFormat="false" ht="14.25" hidden="false" customHeight="false" outlineLevel="0" collapsed="false">
      <c r="A125" s="165" t="str">
        <f aca="false">'Program List'!A3</f>
        <v>D318</v>
      </c>
      <c r="B125" s="166" t="str">
        <f aca="false">'Program List'!B3</f>
        <v>Ed.D. in Education Administration</v>
      </c>
      <c r="C125" s="177" t="s">
        <v>282</v>
      </c>
      <c r="D125" s="177" t="str">
        <f aca="false">IF('HC by Program-Term'!$Y8="","—",'HC by Program-Term'!C8-'New vs Continuing — Term'!Y8)</f>
        <v>—</v>
      </c>
      <c r="E125" s="177" t="str">
        <f aca="false">IF('HC by Program-Term'!$Y8="","—",'HC by Program-Term'!D8-'New vs Continuing — Term'!Z8)</f>
        <v>—</v>
      </c>
      <c r="F125" s="177" t="str">
        <f aca="false">IF('HC by Program-Term'!$Y8="","—",'HC by Program-Term'!E8-'New vs Continuing — Term'!AA8)</f>
        <v>—</v>
      </c>
      <c r="G125" s="177" t="str">
        <f aca="false">IF('HC by Program-Term'!$Y8="","—",'HC by Program-Term'!F8-'New vs Continuing — Term'!AB8)</f>
        <v>—</v>
      </c>
      <c r="H125" s="177" t="str">
        <f aca="false">IF('HC by Program-Term'!$Y8="","—",'HC by Program-Term'!G8-'New vs Continuing — Term'!AC8)</f>
        <v>—</v>
      </c>
      <c r="I125" s="177" t="str">
        <f aca="false">IF('HC by Program-Term'!$Y8="","—",'HC by Program-Term'!H8-'New vs Continuing — Term'!AD8)</f>
        <v>—</v>
      </c>
      <c r="J125" s="177" t="str">
        <f aca="false">IF('HC by Program-Term'!$Y8="","—",'HC by Program-Term'!I8-'New vs Continuing — Term'!AE8)</f>
        <v>—</v>
      </c>
      <c r="K125" s="177" t="str">
        <f aca="false">IF('HC by Program-Term'!$Y8="","—",'HC by Program-Term'!J8-'New vs Continuing — Term'!AF8)</f>
        <v>—</v>
      </c>
      <c r="L125" s="177" t="str">
        <f aca="false">IF('HC by Program-Term'!$Y8="","—",'HC by Program-Term'!K8-'New vs Continuing — Term'!AG8)</f>
        <v>—</v>
      </c>
      <c r="M125" s="177" t="str">
        <f aca="false">IF('HC by Program-Term'!$Y8="","—",'HC by Program-Term'!L8-'New vs Continuing — Term'!AH8)</f>
        <v>—</v>
      </c>
      <c r="N125" s="177" t="str">
        <f aca="false">IF('HC by Program-Term'!$Y8="","—",'HC by Program-Term'!M8-'New vs Continuing — Term'!AI8)</f>
        <v>—</v>
      </c>
      <c r="O125" s="177" t="str">
        <f aca="false">IF('HC by Program-Term'!$Y8="","—",'HC by Program-Term'!N8-'New vs Continuing — Term'!AJ8)</f>
        <v>—</v>
      </c>
      <c r="P125" s="177" t="str">
        <f aca="false">IF('HC by Program-Term'!$Y8="","—",'HC by Program-Term'!O8-'New vs Continuing — Term'!AK8)</f>
        <v>—</v>
      </c>
      <c r="Q125" s="177" t="str">
        <f aca="false">IF('HC by Program-Term'!$Y8="","—",'HC by Program-Term'!P8-'New vs Continuing — Term'!AL8)</f>
        <v>—</v>
      </c>
      <c r="R125" s="177" t="str">
        <f aca="false">IF('HC by Program-Term'!$Y8="","—",'HC by Program-Term'!Q8-'New vs Continuing — Term'!AM8)</f>
        <v>—</v>
      </c>
      <c r="S125" s="177" t="str">
        <f aca="false">IF('HC by Program-Term'!$Y8="","—",'HC by Program-Term'!R8-'New vs Continuing — Term'!AN8)</f>
        <v>—</v>
      </c>
      <c r="T125" s="177" t="str">
        <f aca="false">IF('HC by Program-Term'!$Y8="","—",'HC by Program-Term'!S8-'New vs Continuing — Term'!AO8)</f>
        <v>—</v>
      </c>
      <c r="U125" s="177" t="str">
        <f aca="false">IF('HC by Program-Term'!$Y8="","—",'HC by Program-Term'!T8-'New vs Continuing — Term'!AP8)</f>
        <v>—</v>
      </c>
      <c r="V125" s="177" t="str">
        <f aca="false">IF('HC by Program-Term'!$Y8="","—",'HC by Program-Term'!U8-'New vs Continuing — Term'!AQ8)</f>
        <v>—</v>
      </c>
      <c r="W125" s="151" t="str">
        <f aca="false">IF('HC by Program-Term'!$Y8="","—",SUM(C125:V125))</f>
        <v>—</v>
      </c>
    </row>
    <row r="126" customFormat="false" ht="14.25" hidden="false" customHeight="false" outlineLevel="0" collapsed="false">
      <c r="A126" s="162" t="str">
        <f aca="false">'Program List'!A4</f>
        <v>M366</v>
      </c>
      <c r="B126" s="163" t="str">
        <f aca="false">'Program List'!B4</f>
        <v>Executive MBA in Energy</v>
      </c>
      <c r="C126" s="175" t="s">
        <v>282</v>
      </c>
      <c r="D126" s="175" t="n">
        <f aca="false">IF('HC by Program-Term'!$Y9="","—",'HC by Program-Term'!C9-'New vs Continuing — Term'!Y9)</f>
        <v>0</v>
      </c>
      <c r="E126" s="175" t="n">
        <f aca="false">IF('HC by Program-Term'!$Y9="","—",'HC by Program-Term'!D9-'New vs Continuing — Term'!Z9)</f>
        <v>0</v>
      </c>
      <c r="F126" s="175" t="n">
        <f aca="false">IF('HC by Program-Term'!$Y9="","—",'HC by Program-Term'!E9-'New vs Continuing — Term'!AA9)</f>
        <v>0</v>
      </c>
      <c r="G126" s="175" t="n">
        <f aca="false">IF('HC by Program-Term'!$Y9="","—",'HC by Program-Term'!F9-'New vs Continuing — Term'!AB9)</f>
        <v>0</v>
      </c>
      <c r="H126" s="175" t="n">
        <f aca="false">IF('HC by Program-Term'!$Y9="","—",'HC by Program-Term'!G9-'New vs Continuing — Term'!AC9)</f>
        <v>18</v>
      </c>
      <c r="I126" s="175" t="n">
        <f aca="false">IF('HC by Program-Term'!$Y9="","—",'HC by Program-Term'!H9-'New vs Continuing — Term'!AD9)</f>
        <v>10</v>
      </c>
      <c r="J126" s="175" t="n">
        <f aca="false">IF('HC by Program-Term'!$Y9="","—",'HC by Program-Term'!I9-'New vs Continuing — Term'!AE9)</f>
        <v>2</v>
      </c>
      <c r="K126" s="175" t="n">
        <f aca="false">IF('HC by Program-Term'!$Y9="","—",'HC by Program-Term'!J9-'New vs Continuing — Term'!AF9)</f>
        <v>9</v>
      </c>
      <c r="L126" s="175" t="n">
        <f aca="false">IF('HC by Program-Term'!$Y9="","—",'HC by Program-Term'!K9-'New vs Continuing — Term'!AG9)</f>
        <v>9</v>
      </c>
      <c r="M126" s="175" t="n">
        <f aca="false">IF('HC by Program-Term'!$Y9="","—",'HC by Program-Term'!L9-'New vs Continuing — Term'!AH9)</f>
        <v>1</v>
      </c>
      <c r="N126" s="175" t="n">
        <f aca="false">IF('HC by Program-Term'!$Y9="","—",'HC by Program-Term'!M9-'New vs Continuing — Term'!AI9)</f>
        <v>19</v>
      </c>
      <c r="O126" s="175" t="n">
        <f aca="false">IF('HC by Program-Term'!$Y9="","—",'HC by Program-Term'!N9-'New vs Continuing — Term'!AJ9)</f>
        <v>16</v>
      </c>
      <c r="P126" s="175" t="n">
        <f aca="false">IF('HC by Program-Term'!$Y9="","—",'HC by Program-Term'!O9-'New vs Continuing — Term'!AK9)</f>
        <v>0</v>
      </c>
      <c r="Q126" s="175" t="n">
        <f aca="false">IF('HC by Program-Term'!$Y9="","—",'HC by Program-Term'!P9-'New vs Continuing — Term'!AL9)</f>
        <v>13</v>
      </c>
      <c r="R126" s="175" t="n">
        <f aca="false">IF('HC by Program-Term'!$Y9="","—",'HC by Program-Term'!Q9-'New vs Continuing — Term'!AM9)</f>
        <v>13</v>
      </c>
      <c r="S126" s="175" t="n">
        <f aca="false">IF('HC by Program-Term'!$Y9="","—",'HC by Program-Term'!R9-'New vs Continuing — Term'!AN9)</f>
        <v>2</v>
      </c>
      <c r="T126" s="175" t="n">
        <f aca="false">IF('HC by Program-Term'!$Y9="","—",'HC by Program-Term'!S9-'New vs Continuing — Term'!AO9)</f>
        <v>11</v>
      </c>
      <c r="U126" s="175" t="n">
        <f aca="false">IF('HC by Program-Term'!$Y9="","—",'HC by Program-Term'!T9-'New vs Continuing — Term'!AP9)</f>
        <v>14</v>
      </c>
      <c r="V126" s="175" t="n">
        <f aca="false">IF('HC by Program-Term'!$Y9="","—",'HC by Program-Term'!U9-'New vs Continuing — Term'!AQ9)</f>
        <v>-1</v>
      </c>
      <c r="W126" s="147" t="n">
        <f aca="false">IF('HC by Program-Term'!$Y9="","—",SUM(C126:V126))</f>
        <v>136</v>
      </c>
    </row>
    <row r="127" customFormat="false" ht="14.25" hidden="false" customHeight="false" outlineLevel="0" collapsed="false">
      <c r="A127" s="165" t="str">
        <f aca="false">'Program List'!A5</f>
        <v>1231EX</v>
      </c>
      <c r="B127" s="166" t="str">
        <f aca="false">'Program List'!B5</f>
        <v>Executive Masters in Health Administration</v>
      </c>
      <c r="C127" s="177" t="s">
        <v>282</v>
      </c>
      <c r="D127" s="177" t="str">
        <f aca="false">IF('HC by Program-Term'!$Y10="","—",'HC by Program-Term'!C10-'New vs Continuing — Term'!Y10)</f>
        <v>—</v>
      </c>
      <c r="E127" s="177" t="str">
        <f aca="false">IF('HC by Program-Term'!$Y10="","—",'HC by Program-Term'!D10-'New vs Continuing — Term'!Z10)</f>
        <v>—</v>
      </c>
      <c r="F127" s="177" t="str">
        <f aca="false">IF('HC by Program-Term'!$Y10="","—",'HC by Program-Term'!E10-'New vs Continuing — Term'!AA10)</f>
        <v>—</v>
      </c>
      <c r="G127" s="177" t="str">
        <f aca="false">IF('HC by Program-Term'!$Y10="","—",'HC by Program-Term'!F10-'New vs Continuing — Term'!AB10)</f>
        <v>—</v>
      </c>
      <c r="H127" s="177" t="str">
        <f aca="false">IF('HC by Program-Term'!$Y10="","—",'HC by Program-Term'!G10-'New vs Continuing — Term'!AC10)</f>
        <v>—</v>
      </c>
      <c r="I127" s="177" t="str">
        <f aca="false">IF('HC by Program-Term'!$Y10="","—",'HC by Program-Term'!H10-'New vs Continuing — Term'!AD10)</f>
        <v>—</v>
      </c>
      <c r="J127" s="177" t="str">
        <f aca="false">IF('HC by Program-Term'!$Y10="","—",'HC by Program-Term'!I10-'New vs Continuing — Term'!AE10)</f>
        <v>—</v>
      </c>
      <c r="K127" s="177" t="str">
        <f aca="false">IF('HC by Program-Term'!$Y10="","—",'HC by Program-Term'!J10-'New vs Continuing — Term'!AF10)</f>
        <v>—</v>
      </c>
      <c r="L127" s="177" t="str">
        <f aca="false">IF('HC by Program-Term'!$Y10="","—",'HC by Program-Term'!K10-'New vs Continuing — Term'!AG10)</f>
        <v>—</v>
      </c>
      <c r="M127" s="177" t="str">
        <f aca="false">IF('HC by Program-Term'!$Y10="","—",'HC by Program-Term'!L10-'New vs Continuing — Term'!AH10)</f>
        <v>—</v>
      </c>
      <c r="N127" s="177" t="str">
        <f aca="false">IF('HC by Program-Term'!$Y10="","—",'HC by Program-Term'!M10-'New vs Continuing — Term'!AI10)</f>
        <v>—</v>
      </c>
      <c r="O127" s="177" t="str">
        <f aca="false">IF('HC by Program-Term'!$Y10="","—",'HC by Program-Term'!N10-'New vs Continuing — Term'!AJ10)</f>
        <v>—</v>
      </c>
      <c r="P127" s="177" t="str">
        <f aca="false">IF('HC by Program-Term'!$Y10="","—",'HC by Program-Term'!O10-'New vs Continuing — Term'!AK10)</f>
        <v>—</v>
      </c>
      <c r="Q127" s="177" t="str">
        <f aca="false">IF('HC by Program-Term'!$Y10="","—",'HC by Program-Term'!P10-'New vs Continuing — Term'!AL10)</f>
        <v>—</v>
      </c>
      <c r="R127" s="177" t="str">
        <f aca="false">IF('HC by Program-Term'!$Y10="","—",'HC by Program-Term'!Q10-'New vs Continuing — Term'!AM10)</f>
        <v>—</v>
      </c>
      <c r="S127" s="177" t="str">
        <f aca="false">IF('HC by Program-Term'!$Y10="","—",'HC by Program-Term'!R10-'New vs Continuing — Term'!AN10)</f>
        <v>—</v>
      </c>
      <c r="T127" s="177" t="str">
        <f aca="false">IF('HC by Program-Term'!$Y10="","—",'HC by Program-Term'!S10-'New vs Continuing — Term'!AO10)</f>
        <v>—</v>
      </c>
      <c r="U127" s="177" t="str">
        <f aca="false">IF('HC by Program-Term'!$Y10="","—",'HC by Program-Term'!T10-'New vs Continuing — Term'!AP10)</f>
        <v>—</v>
      </c>
      <c r="V127" s="177" t="str">
        <f aca="false">IF('HC by Program-Term'!$Y10="","—",'HC by Program-Term'!U10-'New vs Continuing — Term'!AQ10)</f>
        <v>—</v>
      </c>
      <c r="W127" s="151" t="str">
        <f aca="false">IF('HC by Program-Term'!$Y10="","—",SUM(C127:V127))</f>
        <v>—</v>
      </c>
    </row>
    <row r="128" customFormat="false" ht="14.25" hidden="false" customHeight="false" outlineLevel="0" collapsed="false">
      <c r="A128" s="162" t="str">
        <f aca="false">'Program List'!A6</f>
        <v>M013</v>
      </c>
      <c r="B128" s="163" t="str">
        <f aca="false">'Program List'!B6</f>
        <v>Master of Accountancy</v>
      </c>
      <c r="C128" s="175" t="s">
        <v>282</v>
      </c>
      <c r="D128" s="175" t="n">
        <f aca="false">IF('HC by Program-Term'!$Y11="","—",'HC by Program-Term'!C11-'New vs Continuing — Term'!Y11)</f>
        <v>1</v>
      </c>
      <c r="E128" s="175" t="n">
        <f aca="false">IF('HC by Program-Term'!$Y11="","—",'HC by Program-Term'!D11-'New vs Continuing — Term'!Z11)</f>
        <v>5</v>
      </c>
      <c r="F128" s="175" t="n">
        <f aca="false">IF('HC by Program-Term'!$Y11="","—",'HC by Program-Term'!E11-'New vs Continuing — Term'!AA11)</f>
        <v>20</v>
      </c>
      <c r="G128" s="175" t="n">
        <f aca="false">IF('HC by Program-Term'!$Y11="","—",'HC by Program-Term'!F11-'New vs Continuing — Term'!AB11)</f>
        <v>4</v>
      </c>
      <c r="H128" s="175" t="n">
        <f aca="false">IF('HC by Program-Term'!$Y11="","—",'HC by Program-Term'!G11-'New vs Continuing — Term'!AC11)</f>
        <v>6</v>
      </c>
      <c r="I128" s="175" t="n">
        <f aca="false">IF('HC by Program-Term'!$Y11="","—",'HC by Program-Term'!H11-'New vs Continuing — Term'!AD11)</f>
        <v>44</v>
      </c>
      <c r="J128" s="175" t="n">
        <f aca="false">IF('HC by Program-Term'!$Y11="","—",'HC by Program-Term'!I11-'New vs Continuing — Term'!AE11)</f>
        <v>-7</v>
      </c>
      <c r="K128" s="175" t="n">
        <f aca="false">IF('HC by Program-Term'!$Y11="","—",'HC by Program-Term'!J11-'New vs Continuing — Term'!AF11)</f>
        <v>21</v>
      </c>
      <c r="L128" s="175" t="n">
        <f aca="false">IF('HC by Program-Term'!$Y11="","—",'HC by Program-Term'!K11-'New vs Continuing — Term'!AG11)</f>
        <v>45</v>
      </c>
      <c r="M128" s="175" t="n">
        <f aca="false">IF('HC by Program-Term'!$Y11="","—",'HC by Program-Term'!L11-'New vs Continuing — Term'!AH11)</f>
        <v>3</v>
      </c>
      <c r="N128" s="175" t="n">
        <f aca="false">IF('HC by Program-Term'!$Y11="","—",'HC by Program-Term'!M11-'New vs Continuing — Term'!AI11)</f>
        <v>26</v>
      </c>
      <c r="O128" s="175" t="n">
        <f aca="false">IF('HC by Program-Term'!$Y11="","—",'HC by Program-Term'!N11-'New vs Continuing — Term'!AJ11)</f>
        <v>37</v>
      </c>
      <c r="P128" s="175" t="n">
        <f aca="false">IF('HC by Program-Term'!$Y11="","—",'HC by Program-Term'!O11-'New vs Continuing — Term'!AK11)</f>
        <v>-2</v>
      </c>
      <c r="Q128" s="175" t="n">
        <f aca="false">IF('HC by Program-Term'!$Y11="","—",'HC by Program-Term'!P11-'New vs Continuing — Term'!AL11)</f>
        <v>27</v>
      </c>
      <c r="R128" s="175" t="n">
        <f aca="false">IF('HC by Program-Term'!$Y11="","—",'HC by Program-Term'!Q11-'New vs Continuing — Term'!AM11)</f>
        <v>40</v>
      </c>
      <c r="S128" s="175" t="n">
        <f aca="false">IF('HC by Program-Term'!$Y11="","—",'HC by Program-Term'!R11-'New vs Continuing — Term'!AN11)</f>
        <v>-16</v>
      </c>
      <c r="T128" s="175" t="n">
        <f aca="false">IF('HC by Program-Term'!$Y11="","—",'HC by Program-Term'!S11-'New vs Continuing — Term'!AO11)</f>
        <v>32</v>
      </c>
      <c r="U128" s="175" t="n">
        <f aca="false">IF('HC by Program-Term'!$Y11="","—",'HC by Program-Term'!T11-'New vs Continuing — Term'!AP11)</f>
        <v>36</v>
      </c>
      <c r="V128" s="175" t="n">
        <f aca="false">IF('HC by Program-Term'!$Y11="","—",'HC by Program-Term'!U11-'New vs Continuing — Term'!AQ11)</f>
        <v>8</v>
      </c>
      <c r="W128" s="147" t="n">
        <f aca="false">IF('HC by Program-Term'!$Y11="","—",SUM(C128:V128))</f>
        <v>330</v>
      </c>
    </row>
    <row r="129" customFormat="false" ht="14.25" hidden="false" customHeight="false" outlineLevel="0" collapsed="false">
      <c r="A129" s="165" t="str">
        <f aca="false">'Program List'!A7</f>
        <v>M075</v>
      </c>
      <c r="B129" s="166" t="str">
        <f aca="false">'Program List'!B7</f>
        <v>Master of Arts in Art and Technology</v>
      </c>
      <c r="C129" s="177" t="s">
        <v>282</v>
      </c>
      <c r="D129" s="177" t="n">
        <f aca="false">IF('HC by Program-Term'!$Y12="","—",'HC by Program-Term'!C12-'New vs Continuing — Term'!Y12)</f>
        <v>0</v>
      </c>
      <c r="E129" s="177" t="n">
        <f aca="false">IF('HC by Program-Term'!$Y12="","—",'HC by Program-Term'!D12-'New vs Continuing — Term'!Z12)</f>
        <v>0</v>
      </c>
      <c r="F129" s="177" t="n">
        <f aca="false">IF('HC by Program-Term'!$Y12="","—",'HC by Program-Term'!E12-'New vs Continuing — Term'!AA12)</f>
        <v>0</v>
      </c>
      <c r="G129" s="177" t="n">
        <f aca="false">IF('HC by Program-Term'!$Y12="","—",'HC by Program-Term'!F12-'New vs Continuing — Term'!AB12)</f>
        <v>0</v>
      </c>
      <c r="H129" s="177" t="n">
        <f aca="false">IF('HC by Program-Term'!$Y12="","—",'HC by Program-Term'!G12-'New vs Continuing — Term'!AC12)</f>
        <v>3</v>
      </c>
      <c r="I129" s="177" t="n">
        <f aca="false">IF('HC by Program-Term'!$Y12="","—",'HC by Program-Term'!H12-'New vs Continuing — Term'!AD12)</f>
        <v>15</v>
      </c>
      <c r="J129" s="177" t="n">
        <f aca="false">IF('HC by Program-Term'!$Y12="","—",'HC by Program-Term'!I12-'New vs Continuing — Term'!AE12)</f>
        <v>-2</v>
      </c>
      <c r="K129" s="177" t="n">
        <f aca="false">IF('HC by Program-Term'!$Y12="","—",'HC by Program-Term'!J12-'New vs Continuing — Term'!AF12)</f>
        <v>9</v>
      </c>
      <c r="L129" s="177" t="n">
        <f aca="false">IF('HC by Program-Term'!$Y12="","—",'HC by Program-Term'!K12-'New vs Continuing — Term'!AG12)</f>
        <v>22</v>
      </c>
      <c r="M129" s="177" t="n">
        <f aca="false">IF('HC by Program-Term'!$Y12="","—",'HC by Program-Term'!L12-'New vs Continuing — Term'!AH12)</f>
        <v>14</v>
      </c>
      <c r="N129" s="177" t="n">
        <f aca="false">IF('HC by Program-Term'!$Y12="","—",'HC by Program-Term'!M12-'New vs Continuing — Term'!AI12)</f>
        <v>5</v>
      </c>
      <c r="O129" s="177" t="n">
        <f aca="false">IF('HC by Program-Term'!$Y12="","—",'HC by Program-Term'!N12-'New vs Continuing — Term'!AJ12)</f>
        <v>33</v>
      </c>
      <c r="P129" s="177" t="n">
        <f aca="false">IF('HC by Program-Term'!$Y12="","—",'HC by Program-Term'!O12-'New vs Continuing — Term'!AK12)</f>
        <v>15</v>
      </c>
      <c r="Q129" s="177" t="n">
        <f aca="false">IF('HC by Program-Term'!$Y12="","—",'HC by Program-Term'!P12-'New vs Continuing — Term'!AL12)</f>
        <v>5</v>
      </c>
      <c r="R129" s="177" t="n">
        <f aca="false">IF('HC by Program-Term'!$Y12="","—",'HC by Program-Term'!Q12-'New vs Continuing — Term'!AM12)</f>
        <v>27</v>
      </c>
      <c r="S129" s="177" t="n">
        <f aca="false">IF('HC by Program-Term'!$Y12="","—",'HC by Program-Term'!R12-'New vs Continuing — Term'!AN12)</f>
        <v>13</v>
      </c>
      <c r="T129" s="177" t="n">
        <f aca="false">IF('HC by Program-Term'!$Y12="","—",'HC by Program-Term'!S12-'New vs Continuing — Term'!AO12)</f>
        <v>3</v>
      </c>
      <c r="U129" s="177" t="n">
        <f aca="false">IF('HC by Program-Term'!$Y12="","—",'HC by Program-Term'!T12-'New vs Continuing — Term'!AP12)</f>
        <v>18</v>
      </c>
      <c r="V129" s="177" t="n">
        <f aca="false">IF('HC by Program-Term'!$Y12="","—",'HC by Program-Term'!U12-'New vs Continuing — Term'!AQ12)</f>
        <v>12</v>
      </c>
      <c r="W129" s="151" t="n">
        <f aca="false">IF('HC by Program-Term'!$Y12="","—",SUM(C129:V129))</f>
        <v>192</v>
      </c>
    </row>
    <row r="130" customFormat="false" ht="14.25" hidden="false" customHeight="false" outlineLevel="0" collapsed="false">
      <c r="A130" s="162" t="str">
        <f aca="false">'Program List'!A8</f>
        <v>M073</v>
      </c>
      <c r="B130" s="163" t="str">
        <f aca="false">'Program List'!B8</f>
        <v>Master of Arts in Arts Management</v>
      </c>
      <c r="C130" s="175" t="s">
        <v>282</v>
      </c>
      <c r="D130" s="175" t="n">
        <f aca="false">IF('HC by Program-Term'!$Y13="","—",'HC by Program-Term'!C13-'New vs Continuing — Term'!Y13)</f>
        <v>0</v>
      </c>
      <c r="E130" s="175" t="n">
        <f aca="false">IF('HC by Program-Term'!$Y13="","—",'HC by Program-Term'!D13-'New vs Continuing — Term'!Z13)</f>
        <v>0</v>
      </c>
      <c r="F130" s="175" t="n">
        <f aca="false">IF('HC by Program-Term'!$Y13="","—",'HC by Program-Term'!E13-'New vs Continuing — Term'!AA13)</f>
        <v>0</v>
      </c>
      <c r="G130" s="175" t="n">
        <f aca="false">IF('HC by Program-Term'!$Y13="","—",'HC by Program-Term'!F13-'New vs Continuing — Term'!AB13)</f>
        <v>0</v>
      </c>
      <c r="H130" s="175" t="n">
        <f aca="false">IF('HC by Program-Term'!$Y13="","—",'HC by Program-Term'!G13-'New vs Continuing — Term'!AC13)</f>
        <v>0</v>
      </c>
      <c r="I130" s="175" t="n">
        <f aca="false">IF('HC by Program-Term'!$Y13="","—",'HC by Program-Term'!H13-'New vs Continuing — Term'!AD13)</f>
        <v>0</v>
      </c>
      <c r="J130" s="175" t="n">
        <f aca="false">IF('HC by Program-Term'!$Y13="","—",'HC by Program-Term'!I13-'New vs Continuing — Term'!AE13)</f>
        <v>0</v>
      </c>
      <c r="K130" s="175" t="n">
        <f aca="false">IF('HC by Program-Term'!$Y13="","—",'HC by Program-Term'!J13-'New vs Continuing — Term'!AF13)</f>
        <v>0</v>
      </c>
      <c r="L130" s="175" t="n">
        <f aca="false">IF('HC by Program-Term'!$Y13="","—",'HC by Program-Term'!K13-'New vs Continuing — Term'!AG13)</f>
        <v>0</v>
      </c>
      <c r="M130" s="175" t="n">
        <f aca="false">IF('HC by Program-Term'!$Y13="","—",'HC by Program-Term'!L13-'New vs Continuing — Term'!AH13)</f>
        <v>0</v>
      </c>
      <c r="N130" s="175" t="n">
        <f aca="false">IF('HC by Program-Term'!$Y13="","—",'HC by Program-Term'!M13-'New vs Continuing — Term'!AI13)</f>
        <v>5</v>
      </c>
      <c r="O130" s="175" t="n">
        <f aca="false">IF('HC by Program-Term'!$Y13="","—",'HC by Program-Term'!N13-'New vs Continuing — Term'!AJ13)</f>
        <v>15</v>
      </c>
      <c r="P130" s="175" t="n">
        <f aca="false">IF('HC by Program-Term'!$Y13="","—",'HC by Program-Term'!O13-'New vs Continuing — Term'!AK13)</f>
        <v>1</v>
      </c>
      <c r="Q130" s="175" t="n">
        <f aca="false">IF('HC by Program-Term'!$Y13="","—",'HC by Program-Term'!P13-'New vs Continuing — Term'!AL13)</f>
        <v>25</v>
      </c>
      <c r="R130" s="175" t="n">
        <f aca="false">IF('HC by Program-Term'!$Y13="","—",'HC by Program-Term'!Q13-'New vs Continuing — Term'!AM13)</f>
        <v>40</v>
      </c>
      <c r="S130" s="175" t="n">
        <f aca="false">IF('HC by Program-Term'!$Y13="","—",'HC by Program-Term'!R13-'New vs Continuing — Term'!AN13)</f>
        <v>1</v>
      </c>
      <c r="T130" s="175" t="n">
        <f aca="false">IF('HC by Program-Term'!$Y13="","—",'HC by Program-Term'!S13-'New vs Continuing — Term'!AO13)</f>
        <v>20</v>
      </c>
      <c r="U130" s="175" t="n">
        <f aca="false">IF('HC by Program-Term'!$Y13="","—",'HC by Program-Term'!T13-'New vs Continuing — Term'!AP13)</f>
        <v>34</v>
      </c>
      <c r="V130" s="175" t="n">
        <f aca="false">IF('HC by Program-Term'!$Y13="","—",'HC by Program-Term'!U13-'New vs Continuing — Term'!AQ13)</f>
        <v>5</v>
      </c>
      <c r="W130" s="147" t="n">
        <f aca="false">IF('HC by Program-Term'!$Y13="","—",SUM(C130:V130))</f>
        <v>146</v>
      </c>
    </row>
    <row r="131" customFormat="false" ht="14.25" hidden="false" customHeight="false" outlineLevel="0" collapsed="false">
      <c r="A131" s="165" t="str">
        <f aca="false">'Program List'!A9</f>
        <v>M494</v>
      </c>
      <c r="B131" s="166" t="str">
        <f aca="false">'Program List'!B9</f>
        <v>Master of Arts in Global Affairs</v>
      </c>
      <c r="C131" s="177" t="s">
        <v>282</v>
      </c>
      <c r="D131" s="177" t="n">
        <f aca="false">IF('HC by Program-Term'!$Y14="","—",'HC by Program-Term'!C14-'New vs Continuing — Term'!Y14)</f>
        <v>2</v>
      </c>
      <c r="E131" s="177" t="n">
        <f aca="false">IF('HC by Program-Term'!$Y14="","—",'HC by Program-Term'!D14-'New vs Continuing — Term'!Z14)</f>
        <v>7</v>
      </c>
      <c r="F131" s="177" t="n">
        <f aca="false">IF('HC by Program-Term'!$Y14="","—",'HC by Program-Term'!E14-'New vs Continuing — Term'!AA14)</f>
        <v>31</v>
      </c>
      <c r="G131" s="177" t="n">
        <f aca="false">IF('HC by Program-Term'!$Y14="","—",'HC by Program-Term'!F14-'New vs Continuing — Term'!AB14)</f>
        <v>-19</v>
      </c>
      <c r="H131" s="177" t="n">
        <f aca="false">IF('HC by Program-Term'!$Y14="","—",'HC by Program-Term'!G14-'New vs Continuing — Term'!AC14)</f>
        <v>11</v>
      </c>
      <c r="I131" s="177" t="n">
        <f aca="false">IF('HC by Program-Term'!$Y14="","—",'HC by Program-Term'!H14-'New vs Continuing — Term'!AD14)</f>
        <v>31</v>
      </c>
      <c r="J131" s="177" t="n">
        <f aca="false">IF('HC by Program-Term'!$Y14="","—",'HC by Program-Term'!I14-'New vs Continuing — Term'!AE14)</f>
        <v>-14</v>
      </c>
      <c r="K131" s="177" t="n">
        <f aca="false">IF('HC by Program-Term'!$Y14="","—",'HC by Program-Term'!J14-'New vs Continuing — Term'!AF14)</f>
        <v>19</v>
      </c>
      <c r="L131" s="177" t="n">
        <f aca="false">IF('HC by Program-Term'!$Y14="","—",'HC by Program-Term'!K14-'New vs Continuing — Term'!AG14)</f>
        <v>43</v>
      </c>
      <c r="M131" s="177" t="n">
        <f aca="false">IF('HC by Program-Term'!$Y14="","—",'HC by Program-Term'!L14-'New vs Continuing — Term'!AH14)</f>
        <v>-2</v>
      </c>
      <c r="N131" s="177" t="n">
        <f aca="false">IF('HC by Program-Term'!$Y14="","—",'HC by Program-Term'!M14-'New vs Continuing — Term'!AI14)</f>
        <v>14</v>
      </c>
      <c r="O131" s="177" t="n">
        <f aca="false">IF('HC by Program-Term'!$Y14="","—",'HC by Program-Term'!N14-'New vs Continuing — Term'!AJ14)</f>
        <v>60</v>
      </c>
      <c r="P131" s="177" t="n">
        <f aca="false">IF('HC by Program-Term'!$Y14="","—",'HC by Program-Term'!O14-'New vs Continuing — Term'!AK14)</f>
        <v>-22</v>
      </c>
      <c r="Q131" s="177" t="n">
        <f aca="false">IF('HC by Program-Term'!$Y14="","—",'HC by Program-Term'!P14-'New vs Continuing — Term'!AL14)</f>
        <v>40</v>
      </c>
      <c r="R131" s="177" t="n">
        <f aca="false">IF('HC by Program-Term'!$Y14="","—",'HC by Program-Term'!Q14-'New vs Continuing — Term'!AM14)</f>
        <v>57</v>
      </c>
      <c r="S131" s="177" t="n">
        <f aca="false">IF('HC by Program-Term'!$Y14="","—",'HC by Program-Term'!R14-'New vs Continuing — Term'!AN14)</f>
        <v>-29</v>
      </c>
      <c r="T131" s="177" t="n">
        <f aca="false">IF('HC by Program-Term'!$Y14="","—",'HC by Program-Term'!S14-'New vs Continuing — Term'!AO14)</f>
        <v>48</v>
      </c>
      <c r="U131" s="177" t="n">
        <f aca="false">IF('HC by Program-Term'!$Y14="","—",'HC by Program-Term'!T14-'New vs Continuing — Term'!AP14)</f>
        <v>44</v>
      </c>
      <c r="V131" s="177" t="n">
        <f aca="false">IF('HC by Program-Term'!$Y14="","—",'HC by Program-Term'!U14-'New vs Continuing — Term'!AQ14)</f>
        <v>-9</v>
      </c>
      <c r="W131" s="151" t="n">
        <f aca="false">IF('HC by Program-Term'!$Y14="","—",SUM(C131:V131))</f>
        <v>312</v>
      </c>
    </row>
    <row r="132" customFormat="false" ht="14.25" hidden="false" customHeight="false" outlineLevel="0" collapsed="false">
      <c r="A132" s="162" t="str">
        <f aca="false">'Program List'!A10</f>
        <v>M700</v>
      </c>
      <c r="B132" s="163" t="str">
        <f aca="false">'Program List'!B10</f>
        <v>Master of Arts in Museum Studies</v>
      </c>
      <c r="C132" s="175" t="s">
        <v>282</v>
      </c>
      <c r="D132" s="175" t="n">
        <f aca="false">IF('HC by Program-Term'!$Y15="","—",'HC by Program-Term'!C15-'New vs Continuing — Term'!Y15)</f>
        <v>1</v>
      </c>
      <c r="E132" s="175" t="n">
        <f aca="false">IF('HC by Program-Term'!$Y15="","—",'HC by Program-Term'!D15-'New vs Continuing — Term'!Z15)</f>
        <v>1</v>
      </c>
      <c r="F132" s="175" t="n">
        <f aca="false">IF('HC by Program-Term'!$Y15="","—",'HC by Program-Term'!E15-'New vs Continuing — Term'!AA15)</f>
        <v>19</v>
      </c>
      <c r="G132" s="175" t="n">
        <f aca="false">IF('HC by Program-Term'!$Y15="","—",'HC by Program-Term'!F15-'New vs Continuing — Term'!AB15)</f>
        <v>-9</v>
      </c>
      <c r="H132" s="175" t="n">
        <f aca="false">IF('HC by Program-Term'!$Y15="","—",'HC by Program-Term'!G15-'New vs Continuing — Term'!AC15)</f>
        <v>8</v>
      </c>
      <c r="I132" s="175" t="n">
        <f aca="false">IF('HC by Program-Term'!$Y15="","—",'HC by Program-Term'!H15-'New vs Continuing — Term'!AD15)</f>
        <v>37</v>
      </c>
      <c r="J132" s="175" t="n">
        <f aca="false">IF('HC by Program-Term'!$Y15="","—",'HC by Program-Term'!I15-'New vs Continuing — Term'!AE15)</f>
        <v>-2</v>
      </c>
      <c r="K132" s="175" t="n">
        <f aca="false">IF('HC by Program-Term'!$Y15="","—",'HC by Program-Term'!J15-'New vs Continuing — Term'!AF15)</f>
        <v>34</v>
      </c>
      <c r="L132" s="175" t="n">
        <f aca="false">IF('HC by Program-Term'!$Y15="","—",'HC by Program-Term'!K15-'New vs Continuing — Term'!AG15)</f>
        <v>56</v>
      </c>
      <c r="M132" s="175" t="n">
        <f aca="false">IF('HC by Program-Term'!$Y15="","—",'HC by Program-Term'!L15-'New vs Continuing — Term'!AH15)</f>
        <v>-13</v>
      </c>
      <c r="N132" s="175" t="n">
        <f aca="false">IF('HC by Program-Term'!$Y15="","—",'HC by Program-Term'!M15-'New vs Continuing — Term'!AI15)</f>
        <v>42</v>
      </c>
      <c r="O132" s="175" t="n">
        <f aca="false">IF('HC by Program-Term'!$Y15="","—",'HC by Program-Term'!N15-'New vs Continuing — Term'!AJ15)</f>
        <v>94</v>
      </c>
      <c r="P132" s="175" t="n">
        <f aca="false">IF('HC by Program-Term'!$Y15="","—",'HC by Program-Term'!O15-'New vs Continuing — Term'!AK15)</f>
        <v>-1</v>
      </c>
      <c r="Q132" s="175" t="n">
        <f aca="false">IF('HC by Program-Term'!$Y15="","—",'HC by Program-Term'!P15-'New vs Continuing — Term'!AL15)</f>
        <v>73</v>
      </c>
      <c r="R132" s="175" t="n">
        <f aca="false">IF('HC by Program-Term'!$Y15="","—",'HC by Program-Term'!Q15-'New vs Continuing — Term'!AM15)</f>
        <v>94</v>
      </c>
      <c r="S132" s="175" t="n">
        <f aca="false">IF('HC by Program-Term'!$Y15="","—",'HC by Program-Term'!R15-'New vs Continuing — Term'!AN15)</f>
        <v>61</v>
      </c>
      <c r="T132" s="175" t="n">
        <f aca="false">IF('HC by Program-Term'!$Y15="","—",'HC by Program-Term'!S15-'New vs Continuing — Term'!AO15)</f>
        <v>52</v>
      </c>
      <c r="U132" s="175" t="n">
        <f aca="false">IF('HC by Program-Term'!$Y15="","—",'HC by Program-Term'!T15-'New vs Continuing — Term'!AP15)</f>
        <v>78</v>
      </c>
      <c r="V132" s="175" t="n">
        <f aca="false">IF('HC by Program-Term'!$Y15="","—",'HC by Program-Term'!U15-'New vs Continuing — Term'!AQ15)</f>
        <v>24</v>
      </c>
      <c r="W132" s="147" t="n">
        <f aca="false">IF('HC by Program-Term'!$Y15="","—",SUM(C132:V132))</f>
        <v>649</v>
      </c>
    </row>
    <row r="133" customFormat="false" ht="14.25" hidden="false" customHeight="false" outlineLevel="0" collapsed="false">
      <c r="A133" s="165" t="str">
        <f aca="false">'Program List'!A11</f>
        <v>M762</v>
      </c>
      <c r="B133" s="166" t="str">
        <f aca="false">'Program List'!B11</f>
        <v>Master of Arts in Organizational Leadership</v>
      </c>
      <c r="C133" s="177" t="s">
        <v>282</v>
      </c>
      <c r="D133" s="177" t="n">
        <f aca="false">IF('HC by Program-Term'!$Y16="","—",'HC by Program-Term'!C16-'New vs Continuing — Term'!Y16)</f>
        <v>4</v>
      </c>
      <c r="E133" s="177" t="n">
        <f aca="false">IF('HC by Program-Term'!$Y16="","—",'HC by Program-Term'!D16-'New vs Continuing — Term'!Z16)</f>
        <v>13</v>
      </c>
      <c r="F133" s="177" t="n">
        <f aca="false">IF('HC by Program-Term'!$Y16="","—",'HC by Program-Term'!E16-'New vs Continuing — Term'!AA16)</f>
        <v>47</v>
      </c>
      <c r="G133" s="177" t="n">
        <f aca="false">IF('HC by Program-Term'!$Y16="","—",'HC by Program-Term'!F16-'New vs Continuing — Term'!AB16)</f>
        <v>-14</v>
      </c>
      <c r="H133" s="177" t="n">
        <f aca="false">IF('HC by Program-Term'!$Y16="","—",'HC by Program-Term'!G16-'New vs Continuing — Term'!AC16)</f>
        <v>27</v>
      </c>
      <c r="I133" s="177" t="n">
        <f aca="false">IF('HC by Program-Term'!$Y16="","—",'HC by Program-Term'!H16-'New vs Continuing — Term'!AD16)</f>
        <v>73</v>
      </c>
      <c r="J133" s="177" t="n">
        <f aca="false">IF('HC by Program-Term'!$Y16="","—",'HC by Program-Term'!I16-'New vs Continuing — Term'!AE16)</f>
        <v>-17</v>
      </c>
      <c r="K133" s="177" t="n">
        <f aca="false">IF('HC by Program-Term'!$Y16="","—",'HC by Program-Term'!J16-'New vs Continuing — Term'!AF16)</f>
        <v>45</v>
      </c>
      <c r="L133" s="177" t="n">
        <f aca="false">IF('HC by Program-Term'!$Y16="","—",'HC by Program-Term'!K16-'New vs Continuing — Term'!AG16)</f>
        <v>76</v>
      </c>
      <c r="M133" s="177" t="n">
        <f aca="false">IF('HC by Program-Term'!$Y16="","—",'HC by Program-Term'!L16-'New vs Continuing — Term'!AH16)</f>
        <v>-19</v>
      </c>
      <c r="N133" s="177" t="n">
        <f aca="false">IF('HC by Program-Term'!$Y16="","—",'HC by Program-Term'!M16-'New vs Continuing — Term'!AI16)</f>
        <v>57</v>
      </c>
      <c r="O133" s="177" t="n">
        <f aca="false">IF('HC by Program-Term'!$Y16="","—",'HC by Program-Term'!N16-'New vs Continuing — Term'!AJ16)</f>
        <v>91</v>
      </c>
      <c r="P133" s="177" t="n">
        <f aca="false">IF('HC by Program-Term'!$Y16="","—",'HC by Program-Term'!O16-'New vs Continuing — Term'!AK16)</f>
        <v>-23</v>
      </c>
      <c r="Q133" s="177" t="n">
        <f aca="false">IF('HC by Program-Term'!$Y16="","—",'HC by Program-Term'!P16-'New vs Continuing — Term'!AL16)</f>
        <v>62</v>
      </c>
      <c r="R133" s="177" t="n">
        <f aca="false">IF('HC by Program-Term'!$Y16="","—",'HC by Program-Term'!Q16-'New vs Continuing — Term'!AM16)</f>
        <v>84</v>
      </c>
      <c r="S133" s="177" t="n">
        <f aca="false">IF('HC by Program-Term'!$Y16="","—",'HC by Program-Term'!R16-'New vs Continuing — Term'!AN16)</f>
        <v>-5</v>
      </c>
      <c r="T133" s="177" t="n">
        <f aca="false">IF('HC by Program-Term'!$Y16="","—",'HC by Program-Term'!S16-'New vs Continuing — Term'!AO16)</f>
        <v>52</v>
      </c>
      <c r="U133" s="177" t="n">
        <f aca="false">IF('HC by Program-Term'!$Y16="","—",'HC by Program-Term'!T16-'New vs Continuing — Term'!AP16)</f>
        <v>65</v>
      </c>
      <c r="V133" s="177" t="n">
        <f aca="false">IF('HC by Program-Term'!$Y16="","—",'HC by Program-Term'!U16-'New vs Continuing — Term'!AQ16)</f>
        <v>9</v>
      </c>
      <c r="W133" s="151" t="n">
        <f aca="false">IF('HC by Program-Term'!$Y16="","—",SUM(C133:V133))</f>
        <v>627</v>
      </c>
    </row>
    <row r="134" customFormat="false" ht="14.25" hidden="false" customHeight="false" outlineLevel="0" collapsed="false">
      <c r="A134" s="162" t="str">
        <f aca="false">'Program List'!A12</f>
        <v>M859</v>
      </c>
      <c r="B134" s="163" t="str">
        <f aca="false">'Program List'!B12</f>
        <v>Master of Arts in Strategic Communication and Digital Strategy</v>
      </c>
      <c r="C134" s="175" t="s">
        <v>282</v>
      </c>
      <c r="D134" s="175" t="n">
        <f aca="false">IF('HC by Program-Term'!$Y17="","—",'HC by Program-Term'!C17-'New vs Continuing — Term'!Y17)</f>
        <v>0</v>
      </c>
      <c r="E134" s="175" t="n">
        <f aca="false">IF('HC by Program-Term'!$Y17="","—",'HC by Program-Term'!D17-'New vs Continuing — Term'!Z17)</f>
        <v>0</v>
      </c>
      <c r="F134" s="175" t="n">
        <f aca="false">IF('HC by Program-Term'!$Y17="","—",'HC by Program-Term'!E17-'New vs Continuing — Term'!AA17)</f>
        <v>2</v>
      </c>
      <c r="G134" s="175" t="n">
        <f aca="false">IF('HC by Program-Term'!$Y17="","—",'HC by Program-Term'!F17-'New vs Continuing — Term'!AB17)</f>
        <v>3</v>
      </c>
      <c r="H134" s="175" t="n">
        <f aca="false">IF('HC by Program-Term'!$Y17="","—",'HC by Program-Term'!G17-'New vs Continuing — Term'!AC17)</f>
        <v>3</v>
      </c>
      <c r="I134" s="175" t="n">
        <f aca="false">IF('HC by Program-Term'!$Y17="","—",'HC by Program-Term'!H17-'New vs Continuing — Term'!AD17)</f>
        <v>18</v>
      </c>
      <c r="J134" s="175" t="n">
        <f aca="false">IF('HC by Program-Term'!$Y17="","—",'HC by Program-Term'!I17-'New vs Continuing — Term'!AE17)</f>
        <v>21</v>
      </c>
      <c r="K134" s="175" t="n">
        <f aca="false">IF('HC by Program-Term'!$Y17="","—",'HC by Program-Term'!J17-'New vs Continuing — Term'!AF17)</f>
        <v>31</v>
      </c>
      <c r="L134" s="175" t="n">
        <f aca="false">IF('HC by Program-Term'!$Y17="","—",'HC by Program-Term'!K17-'New vs Continuing — Term'!AG17)</f>
        <v>32</v>
      </c>
      <c r="M134" s="175" t="n">
        <f aca="false">IF('HC by Program-Term'!$Y17="","—",'HC by Program-Term'!L17-'New vs Continuing — Term'!AH17)</f>
        <v>16</v>
      </c>
      <c r="N134" s="175" t="n">
        <f aca="false">IF('HC by Program-Term'!$Y17="","—",'HC by Program-Term'!M17-'New vs Continuing — Term'!AI17)</f>
        <v>14</v>
      </c>
      <c r="O134" s="175" t="n">
        <f aca="false">IF('HC by Program-Term'!$Y17="","—",'HC by Program-Term'!N17-'New vs Continuing — Term'!AJ17)</f>
        <v>41</v>
      </c>
      <c r="P134" s="175" t="n">
        <f aca="false">IF('HC by Program-Term'!$Y17="","—",'HC by Program-Term'!O17-'New vs Continuing — Term'!AK17)</f>
        <v>13</v>
      </c>
      <c r="Q134" s="175" t="n">
        <f aca="false">IF('HC by Program-Term'!$Y17="","—",'HC by Program-Term'!P17-'New vs Continuing — Term'!AL17)</f>
        <v>20</v>
      </c>
      <c r="R134" s="175" t="n">
        <f aca="false">IF('HC by Program-Term'!$Y17="","—",'HC by Program-Term'!Q17-'New vs Continuing — Term'!AM17)</f>
        <v>23</v>
      </c>
      <c r="S134" s="175" t="n">
        <f aca="false">IF('HC by Program-Term'!$Y17="","—",'HC by Program-Term'!R17-'New vs Continuing — Term'!AN17)</f>
        <v>24</v>
      </c>
      <c r="T134" s="175" t="n">
        <f aca="false">IF('HC by Program-Term'!$Y17="","—",'HC by Program-Term'!S17-'New vs Continuing — Term'!AO17)</f>
        <v>22</v>
      </c>
      <c r="U134" s="175" t="n">
        <f aca="false">IF('HC by Program-Term'!$Y17="","—",'HC by Program-Term'!T17-'New vs Continuing — Term'!AP17)</f>
        <v>22</v>
      </c>
      <c r="V134" s="175" t="n">
        <f aca="false">IF('HC by Program-Term'!$Y17="","—",'HC by Program-Term'!U17-'New vs Continuing — Term'!AQ17)</f>
        <v>13</v>
      </c>
      <c r="W134" s="147" t="n">
        <f aca="false">IF('HC by Program-Term'!$Y17="","—",SUM(C134:V134))</f>
        <v>318</v>
      </c>
    </row>
    <row r="135" customFormat="false" ht="14.25" hidden="false" customHeight="false" outlineLevel="0" collapsed="false">
      <c r="A135" s="165" t="str">
        <f aca="false">'Program List'!A13</f>
        <v>M202</v>
      </c>
      <c r="B135" s="166" t="str">
        <f aca="false">'Program List'!B13</f>
        <v>Master of Clinical Mental Health Counseling</v>
      </c>
      <c r="C135" s="177" t="s">
        <v>282</v>
      </c>
      <c r="D135" s="177" t="n">
        <f aca="false">IF('HC by Program-Term'!$Y18="","—",'HC by Program-Term'!C18-'New vs Continuing — Term'!Y18)</f>
        <v>0</v>
      </c>
      <c r="E135" s="177" t="n">
        <f aca="false">IF('HC by Program-Term'!$Y18="","—",'HC by Program-Term'!D18-'New vs Continuing — Term'!Z18)</f>
        <v>0</v>
      </c>
      <c r="F135" s="177" t="n">
        <f aca="false">IF('HC by Program-Term'!$Y18="","—",'HC by Program-Term'!E18-'New vs Continuing — Term'!AA18)</f>
        <v>0</v>
      </c>
      <c r="G135" s="177" t="n">
        <f aca="false">IF('HC by Program-Term'!$Y18="","—",'HC by Program-Term'!F18-'New vs Continuing — Term'!AB18)</f>
        <v>0</v>
      </c>
      <c r="H135" s="177" t="n">
        <f aca="false">IF('HC by Program-Term'!$Y18="","—",'HC by Program-Term'!G18-'New vs Continuing — Term'!AC18)</f>
        <v>7</v>
      </c>
      <c r="I135" s="177" t="n">
        <f aca="false">IF('HC by Program-Term'!$Y18="","—",'HC by Program-Term'!H18-'New vs Continuing — Term'!AD18)</f>
        <v>14</v>
      </c>
      <c r="J135" s="177" t="n">
        <f aca="false">IF('HC by Program-Term'!$Y18="","—",'HC by Program-Term'!I18-'New vs Continuing — Term'!AE18)</f>
        <v>7</v>
      </c>
      <c r="K135" s="177" t="n">
        <f aca="false">IF('HC by Program-Term'!$Y18="","—",'HC by Program-Term'!J18-'New vs Continuing — Term'!AF18)</f>
        <v>10</v>
      </c>
      <c r="L135" s="177" t="n">
        <f aca="false">IF('HC by Program-Term'!$Y18="","—",'HC by Program-Term'!K18-'New vs Continuing — Term'!AG18)</f>
        <v>18</v>
      </c>
      <c r="M135" s="177" t="n">
        <f aca="false">IF('HC by Program-Term'!$Y18="","—",'HC by Program-Term'!L18-'New vs Continuing — Term'!AH18)</f>
        <v>-3</v>
      </c>
      <c r="N135" s="177" t="n">
        <f aca="false">IF('HC by Program-Term'!$Y18="","—",'HC by Program-Term'!M18-'New vs Continuing — Term'!AI18)</f>
        <v>11</v>
      </c>
      <c r="O135" s="177" t="n">
        <f aca="false">IF('HC by Program-Term'!$Y18="","—",'HC by Program-Term'!N18-'New vs Continuing — Term'!AJ18)</f>
        <v>18</v>
      </c>
      <c r="P135" s="177" t="n">
        <f aca="false">IF('HC by Program-Term'!$Y18="","—",'HC by Program-Term'!O18-'New vs Continuing — Term'!AK18)</f>
        <v>31</v>
      </c>
      <c r="Q135" s="177" t="n">
        <f aca="false">IF('HC by Program-Term'!$Y18="","—",'HC by Program-Term'!P18-'New vs Continuing — Term'!AL18)</f>
        <v>17</v>
      </c>
      <c r="R135" s="177" t="n">
        <f aca="false">IF('HC by Program-Term'!$Y18="","—",'HC by Program-Term'!Q18-'New vs Continuing — Term'!AM18)</f>
        <v>34</v>
      </c>
      <c r="S135" s="177" t="n">
        <f aca="false">IF('HC by Program-Term'!$Y18="","—",'HC by Program-Term'!R18-'New vs Continuing — Term'!AN18)</f>
        <v>16</v>
      </c>
      <c r="T135" s="177" t="n">
        <f aca="false">IF('HC by Program-Term'!$Y18="","—",'HC by Program-Term'!S18-'New vs Continuing — Term'!AO18)</f>
        <v>24</v>
      </c>
      <c r="U135" s="177" t="n">
        <f aca="false">IF('HC by Program-Term'!$Y18="","—",'HC by Program-Term'!T18-'New vs Continuing — Term'!AP18)</f>
        <v>44</v>
      </c>
      <c r="V135" s="177" t="n">
        <f aca="false">IF('HC by Program-Term'!$Y18="","—",'HC by Program-Term'!U18-'New vs Continuing — Term'!AQ18)</f>
        <v>13</v>
      </c>
      <c r="W135" s="151" t="n">
        <f aca="false">IF('HC by Program-Term'!$Y18="","—",SUM(C135:V135))</f>
        <v>261</v>
      </c>
    </row>
    <row r="136" customFormat="false" ht="14.25" hidden="false" customHeight="false" outlineLevel="0" collapsed="false">
      <c r="A136" s="162" t="str">
        <f aca="false">'Program List'!A14</f>
        <v>M246</v>
      </c>
      <c r="B136" s="163" t="str">
        <f aca="false">'Program List'!B14</f>
        <v>Master of Construction Business</v>
      </c>
      <c r="C136" s="175" t="s">
        <v>282</v>
      </c>
      <c r="D136" s="175" t="n">
        <f aca="false">IF('HC by Program-Term'!$Y19="","—",'HC by Program-Term'!C19-'New vs Continuing — Term'!Y19)</f>
        <v>0</v>
      </c>
      <c r="E136" s="175" t="n">
        <f aca="false">IF('HC by Program-Term'!$Y19="","—",'HC by Program-Term'!D19-'New vs Continuing — Term'!Z19)</f>
        <v>0</v>
      </c>
      <c r="F136" s="175" t="n">
        <f aca="false">IF('HC by Program-Term'!$Y19="","—",'HC by Program-Term'!E19-'New vs Continuing — Term'!AA19)</f>
        <v>0</v>
      </c>
      <c r="G136" s="175" t="n">
        <f aca="false">IF('HC by Program-Term'!$Y19="","—",'HC by Program-Term'!F19-'New vs Continuing — Term'!AB19)</f>
        <v>0</v>
      </c>
      <c r="H136" s="175" t="n">
        <f aca="false">IF('HC by Program-Term'!$Y19="","—",'HC by Program-Term'!G19-'New vs Continuing — Term'!AC19)</f>
        <v>2</v>
      </c>
      <c r="I136" s="175" t="n">
        <f aca="false">IF('HC by Program-Term'!$Y19="","—",'HC by Program-Term'!H19-'New vs Continuing — Term'!AD19)</f>
        <v>4</v>
      </c>
      <c r="J136" s="175" t="n">
        <f aca="false">IF('HC by Program-Term'!$Y19="","—",'HC by Program-Term'!I19-'New vs Continuing — Term'!AE19)</f>
        <v>3</v>
      </c>
      <c r="K136" s="175" t="n">
        <f aca="false">IF('HC by Program-Term'!$Y19="","—",'HC by Program-Term'!J19-'New vs Continuing — Term'!AF19)</f>
        <v>9</v>
      </c>
      <c r="L136" s="175" t="n">
        <f aca="false">IF('HC by Program-Term'!$Y19="","—",'HC by Program-Term'!K19-'New vs Continuing — Term'!AG19)</f>
        <v>18</v>
      </c>
      <c r="M136" s="175" t="n">
        <f aca="false">IF('HC by Program-Term'!$Y19="","—",'HC by Program-Term'!L19-'New vs Continuing — Term'!AH19)</f>
        <v>2</v>
      </c>
      <c r="N136" s="175" t="n">
        <f aca="false">IF('HC by Program-Term'!$Y19="","—",'HC by Program-Term'!M19-'New vs Continuing — Term'!AI19)</f>
        <v>24</v>
      </c>
      <c r="O136" s="175" t="n">
        <f aca="false">IF('HC by Program-Term'!$Y19="","—",'HC by Program-Term'!N19-'New vs Continuing — Term'!AJ19)</f>
        <v>17</v>
      </c>
      <c r="P136" s="175" t="n">
        <f aca="false">IF('HC by Program-Term'!$Y19="","—",'HC by Program-Term'!O19-'New vs Continuing — Term'!AK19)</f>
        <v>-1</v>
      </c>
      <c r="Q136" s="175" t="n">
        <f aca="false">IF('HC by Program-Term'!$Y19="","—",'HC by Program-Term'!P19-'New vs Continuing — Term'!AL19)</f>
        <v>17</v>
      </c>
      <c r="R136" s="175" t="n">
        <f aca="false">IF('HC by Program-Term'!$Y19="","—",'HC by Program-Term'!Q19-'New vs Continuing — Term'!AM19)</f>
        <v>14</v>
      </c>
      <c r="S136" s="175" t="n">
        <f aca="false">IF('HC by Program-Term'!$Y19="","—",'HC by Program-Term'!R19-'New vs Continuing — Term'!AN19)</f>
        <v>1</v>
      </c>
      <c r="T136" s="175" t="n">
        <f aca="false">IF('HC by Program-Term'!$Y19="","—",'HC by Program-Term'!S19-'New vs Continuing — Term'!AO19)</f>
        <v>18</v>
      </c>
      <c r="U136" s="175" t="n">
        <f aca="false">IF('HC by Program-Term'!$Y19="","—",'HC by Program-Term'!T19-'New vs Continuing — Term'!AP19)</f>
        <v>23</v>
      </c>
      <c r="V136" s="175" t="n">
        <f aca="false">IF('HC by Program-Term'!$Y19="","—",'HC by Program-Term'!U19-'New vs Continuing — Term'!AQ19)</f>
        <v>-4</v>
      </c>
      <c r="W136" s="147" t="n">
        <f aca="false">IF('HC by Program-Term'!$Y19="","—",SUM(C136:V136))</f>
        <v>147</v>
      </c>
    </row>
    <row r="137" customFormat="false" ht="14.25" hidden="false" customHeight="false" outlineLevel="0" collapsed="false">
      <c r="A137" s="165" t="str">
        <f aca="false">'Program List'!A15</f>
        <v>M297</v>
      </c>
      <c r="B137" s="166" t="str">
        <f aca="false">'Program List'!B15</f>
        <v>Master of Econometrics</v>
      </c>
      <c r="C137" s="177" t="s">
        <v>282</v>
      </c>
      <c r="D137" s="177" t="str">
        <f aca="false">IF('HC by Program-Term'!$Y20="","—",'HC by Program-Term'!C20-'New vs Continuing — Term'!Y20)</f>
        <v>—</v>
      </c>
      <c r="E137" s="177" t="str">
        <f aca="false">IF('HC by Program-Term'!$Y20="","—",'HC by Program-Term'!D20-'New vs Continuing — Term'!Z20)</f>
        <v>—</v>
      </c>
      <c r="F137" s="177" t="str">
        <f aca="false">IF('HC by Program-Term'!$Y20="","—",'HC by Program-Term'!E20-'New vs Continuing — Term'!AA20)</f>
        <v>—</v>
      </c>
      <c r="G137" s="177" t="str">
        <f aca="false">IF('HC by Program-Term'!$Y20="","—",'HC by Program-Term'!F20-'New vs Continuing — Term'!AB20)</f>
        <v>—</v>
      </c>
      <c r="H137" s="177" t="str">
        <f aca="false">IF('HC by Program-Term'!$Y20="","—",'HC by Program-Term'!G20-'New vs Continuing — Term'!AC20)</f>
        <v>—</v>
      </c>
      <c r="I137" s="177" t="str">
        <f aca="false">IF('HC by Program-Term'!$Y20="","—",'HC by Program-Term'!H20-'New vs Continuing — Term'!AD20)</f>
        <v>—</v>
      </c>
      <c r="J137" s="177" t="str">
        <f aca="false">IF('HC by Program-Term'!$Y20="","—",'HC by Program-Term'!I20-'New vs Continuing — Term'!AE20)</f>
        <v>—</v>
      </c>
      <c r="K137" s="177" t="str">
        <f aca="false">IF('HC by Program-Term'!$Y20="","—",'HC by Program-Term'!J20-'New vs Continuing — Term'!AF20)</f>
        <v>—</v>
      </c>
      <c r="L137" s="177" t="str">
        <f aca="false">IF('HC by Program-Term'!$Y20="","—",'HC by Program-Term'!K20-'New vs Continuing — Term'!AG20)</f>
        <v>—</v>
      </c>
      <c r="M137" s="177" t="str">
        <f aca="false">IF('HC by Program-Term'!$Y20="","—",'HC by Program-Term'!L20-'New vs Continuing — Term'!AH20)</f>
        <v>—</v>
      </c>
      <c r="N137" s="177" t="str">
        <f aca="false">IF('HC by Program-Term'!$Y20="","—",'HC by Program-Term'!M20-'New vs Continuing — Term'!AI20)</f>
        <v>—</v>
      </c>
      <c r="O137" s="177" t="str">
        <f aca="false">IF('HC by Program-Term'!$Y20="","—",'HC by Program-Term'!N20-'New vs Continuing — Term'!AJ20)</f>
        <v>—</v>
      </c>
      <c r="P137" s="177" t="str">
        <f aca="false">IF('HC by Program-Term'!$Y20="","—",'HC by Program-Term'!O20-'New vs Continuing — Term'!AK20)</f>
        <v>—</v>
      </c>
      <c r="Q137" s="177" t="str">
        <f aca="false">IF('HC by Program-Term'!$Y20="","—",'HC by Program-Term'!P20-'New vs Continuing — Term'!AL20)</f>
        <v>—</v>
      </c>
      <c r="R137" s="177" t="str">
        <f aca="false">IF('HC by Program-Term'!$Y20="","—",'HC by Program-Term'!Q20-'New vs Continuing — Term'!AM20)</f>
        <v>—</v>
      </c>
      <c r="S137" s="177" t="str">
        <f aca="false">IF('HC by Program-Term'!$Y20="","—",'HC by Program-Term'!R20-'New vs Continuing — Term'!AN20)</f>
        <v>—</v>
      </c>
      <c r="T137" s="177" t="str">
        <f aca="false">IF('HC by Program-Term'!$Y20="","—",'HC by Program-Term'!S20-'New vs Continuing — Term'!AO20)</f>
        <v>—</v>
      </c>
      <c r="U137" s="177" t="str">
        <f aca="false">IF('HC by Program-Term'!$Y20="","—",'HC by Program-Term'!T20-'New vs Continuing — Term'!AP20)</f>
        <v>—</v>
      </c>
      <c r="V137" s="177" t="str">
        <f aca="false">IF('HC by Program-Term'!$Y20="","—",'HC by Program-Term'!U20-'New vs Continuing — Term'!AQ20)</f>
        <v>—</v>
      </c>
      <c r="W137" s="151" t="str">
        <f aca="false">IF('HC by Program-Term'!$Y20="","—",SUM(C137:V137))</f>
        <v>—</v>
      </c>
    </row>
    <row r="138" customFormat="false" ht="14.25" hidden="false" customHeight="false" outlineLevel="0" collapsed="false">
      <c r="A138" s="162" t="str">
        <f aca="false">'Program List'!A16</f>
        <v>M383</v>
      </c>
      <c r="B138" s="163" t="str">
        <f aca="false">'Program List'!B16</f>
        <v>Master of Entrepreneurship &amp; Innovation</v>
      </c>
      <c r="C138" s="175" t="s">
        <v>282</v>
      </c>
      <c r="D138" s="175" t="str">
        <f aca="false">IF('HC by Program-Term'!$Y21="","—",'HC by Program-Term'!C21-'New vs Continuing — Term'!Y21)</f>
        <v>—</v>
      </c>
      <c r="E138" s="175" t="str">
        <f aca="false">IF('HC by Program-Term'!$Y21="","—",'HC by Program-Term'!D21-'New vs Continuing — Term'!Z21)</f>
        <v>—</v>
      </c>
      <c r="F138" s="175" t="str">
        <f aca="false">IF('HC by Program-Term'!$Y21="","—",'HC by Program-Term'!E21-'New vs Continuing — Term'!AA21)</f>
        <v>—</v>
      </c>
      <c r="G138" s="175" t="str">
        <f aca="false">IF('HC by Program-Term'!$Y21="","—",'HC by Program-Term'!F21-'New vs Continuing — Term'!AB21)</f>
        <v>—</v>
      </c>
      <c r="H138" s="175" t="str">
        <f aca="false">IF('HC by Program-Term'!$Y21="","—",'HC by Program-Term'!G21-'New vs Continuing — Term'!AC21)</f>
        <v>—</v>
      </c>
      <c r="I138" s="175" t="str">
        <f aca="false">IF('HC by Program-Term'!$Y21="","—",'HC by Program-Term'!H21-'New vs Continuing — Term'!AD21)</f>
        <v>—</v>
      </c>
      <c r="J138" s="175" t="str">
        <f aca="false">IF('HC by Program-Term'!$Y21="","—",'HC by Program-Term'!I21-'New vs Continuing — Term'!AE21)</f>
        <v>—</v>
      </c>
      <c r="K138" s="175" t="str">
        <f aca="false">IF('HC by Program-Term'!$Y21="","—",'HC by Program-Term'!J21-'New vs Continuing — Term'!AF21)</f>
        <v>—</v>
      </c>
      <c r="L138" s="175" t="str">
        <f aca="false">IF('HC by Program-Term'!$Y21="","—",'HC by Program-Term'!K21-'New vs Continuing — Term'!AG21)</f>
        <v>—</v>
      </c>
      <c r="M138" s="175" t="str">
        <f aca="false">IF('HC by Program-Term'!$Y21="","—",'HC by Program-Term'!L21-'New vs Continuing — Term'!AH21)</f>
        <v>—</v>
      </c>
      <c r="N138" s="175" t="str">
        <f aca="false">IF('HC by Program-Term'!$Y21="","—",'HC by Program-Term'!M21-'New vs Continuing — Term'!AI21)</f>
        <v>—</v>
      </c>
      <c r="O138" s="175" t="str">
        <f aca="false">IF('HC by Program-Term'!$Y21="","—",'HC by Program-Term'!N21-'New vs Continuing — Term'!AJ21)</f>
        <v>—</v>
      </c>
      <c r="P138" s="175" t="str">
        <f aca="false">IF('HC by Program-Term'!$Y21="","—",'HC by Program-Term'!O21-'New vs Continuing — Term'!AK21)</f>
        <v>—</v>
      </c>
      <c r="Q138" s="175" t="str">
        <f aca="false">IF('HC by Program-Term'!$Y21="","—",'HC by Program-Term'!P21-'New vs Continuing — Term'!AL21)</f>
        <v>—</v>
      </c>
      <c r="R138" s="175" t="str">
        <f aca="false">IF('HC by Program-Term'!$Y21="","—",'HC by Program-Term'!Q21-'New vs Continuing — Term'!AM21)</f>
        <v>—</v>
      </c>
      <c r="S138" s="175" t="str">
        <f aca="false">IF('HC by Program-Term'!$Y21="","—",'HC by Program-Term'!R21-'New vs Continuing — Term'!AN21)</f>
        <v>—</v>
      </c>
      <c r="T138" s="175" t="str">
        <f aca="false">IF('HC by Program-Term'!$Y21="","—",'HC by Program-Term'!S21-'New vs Continuing — Term'!AO21)</f>
        <v>—</v>
      </c>
      <c r="U138" s="175" t="str">
        <f aca="false">IF('HC by Program-Term'!$Y21="","—",'HC by Program-Term'!T21-'New vs Continuing — Term'!AP21)</f>
        <v>—</v>
      </c>
      <c r="V138" s="175" t="str">
        <f aca="false">IF('HC by Program-Term'!$Y21="","—",'HC by Program-Term'!U21-'New vs Continuing — Term'!AQ21)</f>
        <v>—</v>
      </c>
      <c r="W138" s="147" t="str">
        <f aca="false">IF('HC by Program-Term'!$Y21="","—",SUM(C138:V138))</f>
        <v>—</v>
      </c>
    </row>
    <row r="139" customFormat="false" ht="14.25" hidden="false" customHeight="false" outlineLevel="0" collapsed="false">
      <c r="A139" s="165" t="str">
        <f aca="false">'Program List'!A17</f>
        <v>M518</v>
      </c>
      <c r="B139" s="166" t="str">
        <f aca="false">'Program List'!B17</f>
        <v>Master of Environmental Science: Hydrology and Water Security</v>
      </c>
      <c r="C139" s="177" t="s">
        <v>282</v>
      </c>
      <c r="D139" s="177" t="n">
        <f aca="false">IF('HC by Program-Term'!$Y22="","—",'HC by Program-Term'!C22-'New vs Continuing — Term'!Y22)</f>
        <v>0</v>
      </c>
      <c r="E139" s="177" t="n">
        <f aca="false">IF('HC by Program-Term'!$Y22="","—",'HC by Program-Term'!D22-'New vs Continuing — Term'!Z22)</f>
        <v>13</v>
      </c>
      <c r="F139" s="177" t="n">
        <f aca="false">IF('HC by Program-Term'!$Y22="","—",'HC by Program-Term'!E22-'New vs Continuing — Term'!AA22)</f>
        <v>9</v>
      </c>
      <c r="G139" s="177" t="n">
        <f aca="false">IF('HC by Program-Term'!$Y22="","—",'HC by Program-Term'!F22-'New vs Continuing — Term'!AB22)</f>
        <v>0</v>
      </c>
      <c r="H139" s="177" t="n">
        <f aca="false">IF('HC by Program-Term'!$Y22="","—",'HC by Program-Term'!G22-'New vs Continuing — Term'!AC22)</f>
        <v>11</v>
      </c>
      <c r="I139" s="177" t="n">
        <f aca="false">IF('HC by Program-Term'!$Y22="","—",'HC by Program-Term'!H22-'New vs Continuing — Term'!AD22)</f>
        <v>42</v>
      </c>
      <c r="J139" s="177" t="n">
        <f aca="false">IF('HC by Program-Term'!$Y22="","—",'HC by Program-Term'!I22-'New vs Continuing — Term'!AE22)</f>
        <v>27</v>
      </c>
      <c r="K139" s="177" t="n">
        <f aca="false">IF('HC by Program-Term'!$Y22="","—",'HC by Program-Term'!J22-'New vs Continuing — Term'!AF22)</f>
        <v>6</v>
      </c>
      <c r="L139" s="177" t="n">
        <f aca="false">IF('HC by Program-Term'!$Y22="","—",'HC by Program-Term'!K22-'New vs Continuing — Term'!AG22)</f>
        <v>47</v>
      </c>
      <c r="M139" s="177" t="n">
        <f aca="false">IF('HC by Program-Term'!$Y22="","—",'HC by Program-Term'!L22-'New vs Continuing — Term'!AH22)</f>
        <v>4</v>
      </c>
      <c r="N139" s="177" t="n">
        <f aca="false">IF('HC by Program-Term'!$Y22="","—",'HC by Program-Term'!M22-'New vs Continuing — Term'!AI22)</f>
        <v>-1</v>
      </c>
      <c r="O139" s="177" t="n">
        <f aca="false">IF('HC by Program-Term'!$Y22="","—",'HC by Program-Term'!N22-'New vs Continuing — Term'!AJ22)</f>
        <v>38</v>
      </c>
      <c r="P139" s="177" t="n">
        <f aca="false">IF('HC by Program-Term'!$Y22="","—",'HC by Program-Term'!O22-'New vs Continuing — Term'!AK22)</f>
        <v>2</v>
      </c>
      <c r="Q139" s="177" t="n">
        <f aca="false">IF('HC by Program-Term'!$Y22="","—",'HC by Program-Term'!P22-'New vs Continuing — Term'!AL22)</f>
        <v>7</v>
      </c>
      <c r="R139" s="177" t="n">
        <f aca="false">IF('HC by Program-Term'!$Y22="","—",'HC by Program-Term'!Q22-'New vs Continuing — Term'!AM22)</f>
        <v>37</v>
      </c>
      <c r="S139" s="177" t="n">
        <f aca="false">IF('HC by Program-Term'!$Y22="","—",'HC by Program-Term'!R22-'New vs Continuing — Term'!AN22)</f>
        <v>9</v>
      </c>
      <c r="T139" s="177" t="n">
        <f aca="false">IF('HC by Program-Term'!$Y22="","—",'HC by Program-Term'!S22-'New vs Continuing — Term'!AO22)</f>
        <v>7</v>
      </c>
      <c r="U139" s="177" t="n">
        <f aca="false">IF('HC by Program-Term'!$Y22="","—",'HC by Program-Term'!T22-'New vs Continuing — Term'!AP22)</f>
        <v>37</v>
      </c>
      <c r="V139" s="177" t="n">
        <f aca="false">IF('HC by Program-Term'!$Y22="","—",'HC by Program-Term'!U22-'New vs Continuing — Term'!AQ22)</f>
        <v>9</v>
      </c>
      <c r="W139" s="151" t="n">
        <f aca="false">IF('HC by Program-Term'!$Y22="","—",SUM(C139:V139))</f>
        <v>304</v>
      </c>
    </row>
    <row r="140" customFormat="false" ht="14.25" hidden="false" customHeight="false" outlineLevel="0" collapsed="false">
      <c r="A140" s="162" t="str">
        <f aca="false">'Program List'!A18</f>
        <v>M368</v>
      </c>
      <c r="B140" s="163" t="str">
        <f aca="false">'Program List'!B18</f>
        <v>Master of Legal Studies - Energy</v>
      </c>
      <c r="C140" s="175" t="s">
        <v>282</v>
      </c>
      <c r="D140" s="175" t="n">
        <f aca="false">IF('HC by Program-Term'!$Y23="","—",'HC by Program-Term'!C23-'New vs Continuing — Term'!Y23)</f>
        <v>0</v>
      </c>
      <c r="E140" s="175" t="n">
        <f aca="false">IF('HC by Program-Term'!$Y23="","—",'HC by Program-Term'!D23-'New vs Continuing — Term'!Z23)</f>
        <v>0</v>
      </c>
      <c r="F140" s="175" t="n">
        <f aca="false">IF('HC by Program-Term'!$Y23="","—",'HC by Program-Term'!E23-'New vs Continuing — Term'!AA23)</f>
        <v>0</v>
      </c>
      <c r="G140" s="175" t="n">
        <f aca="false">IF('HC by Program-Term'!$Y23="","—",'HC by Program-Term'!F23-'New vs Continuing — Term'!AB23)</f>
        <v>0</v>
      </c>
      <c r="H140" s="175" t="n">
        <f aca="false">IF('HC by Program-Term'!$Y23="","—",'HC by Program-Term'!G23-'New vs Continuing — Term'!AC23)</f>
        <v>4</v>
      </c>
      <c r="I140" s="175" t="n">
        <f aca="false">IF('HC by Program-Term'!$Y23="","—",'HC by Program-Term'!H23-'New vs Continuing — Term'!AD23)</f>
        <v>8</v>
      </c>
      <c r="J140" s="175" t="n">
        <f aca="false">IF('HC by Program-Term'!$Y23="","—",'HC by Program-Term'!I23-'New vs Continuing — Term'!AE23)</f>
        <v>6</v>
      </c>
      <c r="K140" s="175" t="n">
        <f aca="false">IF('HC by Program-Term'!$Y23="","—",'HC by Program-Term'!J23-'New vs Continuing — Term'!AF23)</f>
        <v>12</v>
      </c>
      <c r="L140" s="175" t="n">
        <f aca="false">IF('HC by Program-Term'!$Y23="","—",'HC by Program-Term'!K23-'New vs Continuing — Term'!AG23)</f>
        <v>11</v>
      </c>
      <c r="M140" s="175" t="n">
        <f aca="false">IF('HC by Program-Term'!$Y23="","—",'HC by Program-Term'!L23-'New vs Continuing — Term'!AH23)</f>
        <v>1</v>
      </c>
      <c r="N140" s="175" t="n">
        <f aca="false">IF('HC by Program-Term'!$Y23="","—",'HC by Program-Term'!M23-'New vs Continuing — Term'!AI23)</f>
        <v>16</v>
      </c>
      <c r="O140" s="175" t="n">
        <f aca="false">IF('HC by Program-Term'!$Y23="","—",'HC by Program-Term'!N23-'New vs Continuing — Term'!AJ23)</f>
        <v>7</v>
      </c>
      <c r="P140" s="175" t="n">
        <f aca="false">IF('HC by Program-Term'!$Y23="","—",'HC by Program-Term'!O23-'New vs Continuing — Term'!AK23)</f>
        <v>-1</v>
      </c>
      <c r="Q140" s="175" t="n">
        <f aca="false">IF('HC by Program-Term'!$Y23="","—",'HC by Program-Term'!P23-'New vs Continuing — Term'!AL23)</f>
        <v>11</v>
      </c>
      <c r="R140" s="175" t="n">
        <f aca="false">IF('HC by Program-Term'!$Y23="","—",'HC by Program-Term'!Q23-'New vs Continuing — Term'!AM23)</f>
        <v>7</v>
      </c>
      <c r="S140" s="175" t="n">
        <f aca="false">IF('HC by Program-Term'!$Y23="","—",'HC by Program-Term'!R23-'New vs Continuing — Term'!AN23)</f>
        <v>-1</v>
      </c>
      <c r="T140" s="175" t="n">
        <f aca="false">IF('HC by Program-Term'!$Y23="","—",'HC by Program-Term'!S23-'New vs Continuing — Term'!AO23)</f>
        <v>11</v>
      </c>
      <c r="U140" s="175" t="n">
        <f aca="false">IF('HC by Program-Term'!$Y23="","—",'HC by Program-Term'!T23-'New vs Continuing — Term'!AP23)</f>
        <v>7</v>
      </c>
      <c r="V140" s="175" t="n">
        <f aca="false">IF('HC by Program-Term'!$Y23="","—",'HC by Program-Term'!U23-'New vs Continuing — Term'!AQ23)</f>
        <v>-2</v>
      </c>
      <c r="W140" s="147" t="n">
        <f aca="false">IF('HC by Program-Term'!$Y23="","—",SUM(C140:V140))</f>
        <v>97</v>
      </c>
    </row>
    <row r="141" customFormat="false" ht="14.25" hidden="false" customHeight="false" outlineLevel="0" collapsed="false">
      <c r="A141" s="165" t="str">
        <f aca="false">'Program List'!A19</f>
        <v>M636</v>
      </c>
      <c r="B141" s="166" t="str">
        <f aca="false">'Program List'!B19</f>
        <v>Master of Legal Studies - General</v>
      </c>
      <c r="C141" s="177" t="s">
        <v>282</v>
      </c>
      <c r="D141" s="177" t="str">
        <f aca="false">IF('HC by Program-Term'!$Y24="","—",'HC by Program-Term'!C24-'New vs Continuing — Term'!Y24)</f>
        <v>—</v>
      </c>
      <c r="E141" s="177" t="str">
        <f aca="false">IF('HC by Program-Term'!$Y24="","—",'HC by Program-Term'!D24-'New vs Continuing — Term'!Z24)</f>
        <v>—</v>
      </c>
      <c r="F141" s="177" t="str">
        <f aca="false">IF('HC by Program-Term'!$Y24="","—",'HC by Program-Term'!E24-'New vs Continuing — Term'!AA24)</f>
        <v>—</v>
      </c>
      <c r="G141" s="177" t="str">
        <f aca="false">IF('HC by Program-Term'!$Y24="","—",'HC by Program-Term'!F24-'New vs Continuing — Term'!AB24)</f>
        <v>—</v>
      </c>
      <c r="H141" s="177" t="str">
        <f aca="false">IF('HC by Program-Term'!$Y24="","—",'HC by Program-Term'!G24-'New vs Continuing — Term'!AC24)</f>
        <v>—</v>
      </c>
      <c r="I141" s="177" t="str">
        <f aca="false">IF('HC by Program-Term'!$Y24="","—",'HC by Program-Term'!H24-'New vs Continuing — Term'!AD24)</f>
        <v>—</v>
      </c>
      <c r="J141" s="177" t="str">
        <f aca="false">IF('HC by Program-Term'!$Y24="","—",'HC by Program-Term'!I24-'New vs Continuing — Term'!AE24)</f>
        <v>—</v>
      </c>
      <c r="K141" s="177" t="str">
        <f aca="false">IF('HC by Program-Term'!$Y24="","—",'HC by Program-Term'!J24-'New vs Continuing — Term'!AF24)</f>
        <v>—</v>
      </c>
      <c r="L141" s="177" t="str">
        <f aca="false">IF('HC by Program-Term'!$Y24="","—",'HC by Program-Term'!K24-'New vs Continuing — Term'!AG24)</f>
        <v>—</v>
      </c>
      <c r="M141" s="177" t="str">
        <f aca="false">IF('HC by Program-Term'!$Y24="","—",'HC by Program-Term'!L24-'New vs Continuing — Term'!AH24)</f>
        <v>—</v>
      </c>
      <c r="N141" s="177" t="str">
        <f aca="false">IF('HC by Program-Term'!$Y24="","—",'HC by Program-Term'!M24-'New vs Continuing — Term'!AI24)</f>
        <v>—</v>
      </c>
      <c r="O141" s="177" t="str">
        <f aca="false">IF('HC by Program-Term'!$Y24="","—",'HC by Program-Term'!N24-'New vs Continuing — Term'!AJ24)</f>
        <v>—</v>
      </c>
      <c r="P141" s="177" t="str">
        <f aca="false">IF('HC by Program-Term'!$Y24="","—",'HC by Program-Term'!O24-'New vs Continuing — Term'!AK24)</f>
        <v>—</v>
      </c>
      <c r="Q141" s="177" t="str">
        <f aca="false">IF('HC by Program-Term'!$Y24="","—",'HC by Program-Term'!P24-'New vs Continuing — Term'!AL24)</f>
        <v>—</v>
      </c>
      <c r="R141" s="177" t="str">
        <f aca="false">IF('HC by Program-Term'!$Y24="","—",'HC by Program-Term'!Q24-'New vs Continuing — Term'!AM24)</f>
        <v>—</v>
      </c>
      <c r="S141" s="177" t="str">
        <f aca="false">IF('HC by Program-Term'!$Y24="","—",'HC by Program-Term'!R24-'New vs Continuing — Term'!AN24)</f>
        <v>—</v>
      </c>
      <c r="T141" s="177" t="str">
        <f aca="false">IF('HC by Program-Term'!$Y24="","—",'HC by Program-Term'!S24-'New vs Continuing — Term'!AO24)</f>
        <v>—</v>
      </c>
      <c r="U141" s="177" t="str">
        <f aca="false">IF('HC by Program-Term'!$Y24="","—",'HC by Program-Term'!T24-'New vs Continuing — Term'!AP24)</f>
        <v>—</v>
      </c>
      <c r="V141" s="177" t="str">
        <f aca="false">IF('HC by Program-Term'!$Y24="","—",'HC by Program-Term'!U24-'New vs Continuing — Term'!AQ24)</f>
        <v>—</v>
      </c>
      <c r="W141" s="151" t="str">
        <f aca="false">IF('HC by Program-Term'!$Y24="","—",SUM(C141:V141))</f>
        <v>—</v>
      </c>
    </row>
    <row r="142" customFormat="false" ht="14.25" hidden="false" customHeight="false" outlineLevel="0" collapsed="false">
      <c r="A142" s="162" t="str">
        <f aca="false">'Program List'!A20</f>
        <v>M503</v>
      </c>
      <c r="B142" s="163" t="str">
        <f aca="false">'Program List'!B20</f>
        <v>Master of Legal Studies - Healthcare Law</v>
      </c>
      <c r="C142" s="175" t="s">
        <v>282</v>
      </c>
      <c r="D142" s="175" t="n">
        <f aca="false">IF('HC by Program-Term'!$Y25="","—",'HC by Program-Term'!C25-'New vs Continuing — Term'!Y25)</f>
        <v>4</v>
      </c>
      <c r="E142" s="175" t="n">
        <f aca="false">IF('HC by Program-Term'!$Y25="","—",'HC by Program-Term'!D25-'New vs Continuing — Term'!Z25)</f>
        <v>6</v>
      </c>
      <c r="F142" s="175" t="n">
        <f aca="false">IF('HC by Program-Term'!$Y25="","—",'HC by Program-Term'!E25-'New vs Continuing — Term'!AA25)</f>
        <v>18</v>
      </c>
      <c r="G142" s="175" t="n">
        <f aca="false">IF('HC by Program-Term'!$Y25="","—",'HC by Program-Term'!F25-'New vs Continuing — Term'!AB25)</f>
        <v>21</v>
      </c>
      <c r="H142" s="175" t="n">
        <f aca="false">IF('HC by Program-Term'!$Y25="","—",'HC by Program-Term'!G25-'New vs Continuing — Term'!AC25)</f>
        <v>35</v>
      </c>
      <c r="I142" s="175" t="n">
        <f aca="false">IF('HC by Program-Term'!$Y25="","—",'HC by Program-Term'!H25-'New vs Continuing — Term'!AD25)</f>
        <v>45</v>
      </c>
      <c r="J142" s="175" t="n">
        <f aca="false">IF('HC by Program-Term'!$Y25="","—",'HC by Program-Term'!I25-'New vs Continuing — Term'!AE25)</f>
        <v>18</v>
      </c>
      <c r="K142" s="175" t="n">
        <f aca="false">IF('HC by Program-Term'!$Y25="","—",'HC by Program-Term'!J25-'New vs Continuing — Term'!AF25)</f>
        <v>39</v>
      </c>
      <c r="L142" s="175" t="n">
        <f aca="false">IF('HC by Program-Term'!$Y25="","—",'HC by Program-Term'!K25-'New vs Continuing — Term'!AG25)</f>
        <v>62</v>
      </c>
      <c r="M142" s="175" t="n">
        <f aca="false">IF('HC by Program-Term'!$Y25="","—",'HC by Program-Term'!L25-'New vs Continuing — Term'!AH25)</f>
        <v>26</v>
      </c>
      <c r="N142" s="175" t="n">
        <f aca="false">IF('HC by Program-Term'!$Y25="","—",'HC by Program-Term'!M25-'New vs Continuing — Term'!AI25)</f>
        <v>39</v>
      </c>
      <c r="O142" s="175" t="n">
        <f aca="false">IF('HC by Program-Term'!$Y25="","—",'HC by Program-Term'!N25-'New vs Continuing — Term'!AJ25)</f>
        <v>45</v>
      </c>
      <c r="P142" s="175" t="n">
        <f aca="false">IF('HC by Program-Term'!$Y25="","—",'HC by Program-Term'!O25-'New vs Continuing — Term'!AK25)</f>
        <v>14</v>
      </c>
      <c r="Q142" s="175" t="n">
        <f aca="false">IF('HC by Program-Term'!$Y25="","—",'HC by Program-Term'!P25-'New vs Continuing — Term'!AL25)</f>
        <v>18</v>
      </c>
      <c r="R142" s="175" t="n">
        <f aca="false">IF('HC by Program-Term'!$Y25="","—",'HC by Program-Term'!Q25-'New vs Continuing — Term'!AM25)</f>
        <v>43</v>
      </c>
      <c r="S142" s="175" t="n">
        <f aca="false">IF('HC by Program-Term'!$Y25="","—",'HC by Program-Term'!R25-'New vs Continuing — Term'!AN25)</f>
        <v>10</v>
      </c>
      <c r="T142" s="175" t="n">
        <f aca="false">IF('HC by Program-Term'!$Y25="","—",'HC by Program-Term'!S25-'New vs Continuing — Term'!AO25)</f>
        <v>28</v>
      </c>
      <c r="U142" s="175" t="n">
        <f aca="false">IF('HC by Program-Term'!$Y25="","—",'HC by Program-Term'!T25-'New vs Continuing — Term'!AP25)</f>
        <v>22</v>
      </c>
      <c r="V142" s="175" t="n">
        <f aca="false">IF('HC by Program-Term'!$Y25="","—",'HC by Program-Term'!U25-'New vs Continuing — Term'!AQ25)</f>
        <v>6</v>
      </c>
      <c r="W142" s="147" t="n">
        <f aca="false">IF('HC by Program-Term'!$Y25="","—",SUM(C142:V142))</f>
        <v>499</v>
      </c>
    </row>
    <row r="143" customFormat="false" ht="14.25" hidden="false" customHeight="false" outlineLevel="0" collapsed="false">
      <c r="A143" s="165" t="str">
        <f aca="false">'Program List'!A21</f>
        <v>M522</v>
      </c>
      <c r="B143" s="166" t="str">
        <f aca="false">'Program List'!B21</f>
        <v>Master of Legal Studies - Indigenous Peoples Law</v>
      </c>
      <c r="C143" s="177" t="s">
        <v>282</v>
      </c>
      <c r="D143" s="177" t="n">
        <f aca="false">IF('HC by Program-Term'!$Y26="","—",'HC by Program-Term'!C26-'New vs Continuing — Term'!Y26)</f>
        <v>5</v>
      </c>
      <c r="E143" s="177" t="n">
        <f aca="false">IF('HC by Program-Term'!$Y26="","—",'HC by Program-Term'!D26-'New vs Continuing — Term'!Z26)</f>
        <v>9</v>
      </c>
      <c r="F143" s="177" t="n">
        <f aca="false">IF('HC by Program-Term'!$Y26="","—",'HC by Program-Term'!E26-'New vs Continuing — Term'!AA26)</f>
        <v>24</v>
      </c>
      <c r="G143" s="177" t="n">
        <f aca="false">IF('HC by Program-Term'!$Y26="","—",'HC by Program-Term'!F26-'New vs Continuing — Term'!AB26)</f>
        <v>13</v>
      </c>
      <c r="H143" s="177" t="n">
        <f aca="false">IF('HC by Program-Term'!$Y26="","—",'HC by Program-Term'!G26-'New vs Continuing — Term'!AC26)</f>
        <v>53</v>
      </c>
      <c r="I143" s="177" t="n">
        <f aca="false">IF('HC by Program-Term'!$Y26="","—",'HC by Program-Term'!H26-'New vs Continuing — Term'!AD26)</f>
        <v>94</v>
      </c>
      <c r="J143" s="177" t="n">
        <f aca="false">IF('HC by Program-Term'!$Y26="","—",'HC by Program-Term'!I26-'New vs Continuing — Term'!AE26)</f>
        <v>22</v>
      </c>
      <c r="K143" s="177" t="n">
        <f aca="false">IF('HC by Program-Term'!$Y26="","—",'HC by Program-Term'!J26-'New vs Continuing — Term'!AF26)</f>
        <v>61</v>
      </c>
      <c r="L143" s="177" t="n">
        <f aca="false">IF('HC by Program-Term'!$Y26="","—",'HC by Program-Term'!K26-'New vs Continuing — Term'!AG26)</f>
        <v>67</v>
      </c>
      <c r="M143" s="177" t="n">
        <f aca="false">IF('HC by Program-Term'!$Y26="","—",'HC by Program-Term'!L26-'New vs Continuing — Term'!AH26)</f>
        <v>15</v>
      </c>
      <c r="N143" s="177" t="n">
        <f aca="false">IF('HC by Program-Term'!$Y26="","—",'HC by Program-Term'!M26-'New vs Continuing — Term'!AI26)</f>
        <v>37</v>
      </c>
      <c r="O143" s="177" t="n">
        <f aca="false">IF('HC by Program-Term'!$Y26="","—",'HC by Program-Term'!N26-'New vs Continuing — Term'!AJ26)</f>
        <v>69</v>
      </c>
      <c r="P143" s="177" t="n">
        <f aca="false">IF('HC by Program-Term'!$Y26="","—",'HC by Program-Term'!O26-'New vs Continuing — Term'!AK26)</f>
        <v>21</v>
      </c>
      <c r="Q143" s="177" t="n">
        <f aca="false">IF('HC by Program-Term'!$Y26="","—",'HC by Program-Term'!P26-'New vs Continuing — Term'!AL26)</f>
        <v>49</v>
      </c>
      <c r="R143" s="177" t="n">
        <f aca="false">IF('HC by Program-Term'!$Y26="","—",'HC by Program-Term'!Q26-'New vs Continuing — Term'!AM26)</f>
        <v>43</v>
      </c>
      <c r="S143" s="177" t="n">
        <f aca="false">IF('HC by Program-Term'!$Y26="","—",'HC by Program-Term'!R26-'New vs Continuing — Term'!AN26)</f>
        <v>-1</v>
      </c>
      <c r="T143" s="177" t="n">
        <f aca="false">IF('HC by Program-Term'!$Y26="","—",'HC by Program-Term'!S26-'New vs Continuing — Term'!AO26)</f>
        <v>43</v>
      </c>
      <c r="U143" s="177" t="n">
        <f aca="false">IF('HC by Program-Term'!$Y26="","—",'HC by Program-Term'!T26-'New vs Continuing — Term'!AP26)</f>
        <v>48</v>
      </c>
      <c r="V143" s="177" t="n">
        <f aca="false">IF('HC by Program-Term'!$Y26="","—",'HC by Program-Term'!U26-'New vs Continuing — Term'!AQ26)</f>
        <v>6</v>
      </c>
      <c r="W143" s="151" t="n">
        <f aca="false">IF('HC by Program-Term'!$Y26="","—",SUM(C143:V143))</f>
        <v>678</v>
      </c>
    </row>
    <row r="144" customFormat="false" ht="14.25" hidden="false" customHeight="false" outlineLevel="0" collapsed="false">
      <c r="A144" s="162" t="str">
        <f aca="false">'Program List'!A22</f>
        <v>M589</v>
      </c>
      <c r="B144" s="163" t="str">
        <f aca="false">'Program List'!B22</f>
        <v>Master of Legal Studies - International Business</v>
      </c>
      <c r="C144" s="175" t="s">
        <v>282</v>
      </c>
      <c r="D144" s="175" t="n">
        <f aca="false">IF('HC by Program-Term'!$Y27="","—",'HC by Program-Term'!C27-'New vs Continuing — Term'!Y27)</f>
        <v>0</v>
      </c>
      <c r="E144" s="175" t="n">
        <f aca="false">IF('HC by Program-Term'!$Y27="","—",'HC by Program-Term'!D27-'New vs Continuing — Term'!Z27)</f>
        <v>2</v>
      </c>
      <c r="F144" s="175" t="n">
        <f aca="false">IF('HC by Program-Term'!$Y27="","—",'HC by Program-Term'!E27-'New vs Continuing — Term'!AA27)</f>
        <v>3</v>
      </c>
      <c r="G144" s="175" t="n">
        <f aca="false">IF('HC by Program-Term'!$Y27="","—",'HC by Program-Term'!F27-'New vs Continuing — Term'!AB27)</f>
        <v>1</v>
      </c>
      <c r="H144" s="175" t="n">
        <f aca="false">IF('HC by Program-Term'!$Y27="","—",'HC by Program-Term'!G27-'New vs Continuing — Term'!AC27)</f>
        <v>13</v>
      </c>
      <c r="I144" s="175" t="n">
        <f aca="false">IF('HC by Program-Term'!$Y27="","—",'HC by Program-Term'!H27-'New vs Continuing — Term'!AD27)</f>
        <v>9</v>
      </c>
      <c r="J144" s="175" t="n">
        <f aca="false">IF('HC by Program-Term'!$Y27="","—",'HC by Program-Term'!I27-'New vs Continuing — Term'!AE27)</f>
        <v>3</v>
      </c>
      <c r="K144" s="175" t="n">
        <f aca="false">IF('HC by Program-Term'!$Y27="","—",'HC by Program-Term'!J27-'New vs Continuing — Term'!AF27)</f>
        <v>10</v>
      </c>
      <c r="L144" s="175" t="n">
        <f aca="false">IF('HC by Program-Term'!$Y27="","—",'HC by Program-Term'!K27-'New vs Continuing — Term'!AG27)</f>
        <v>5</v>
      </c>
      <c r="M144" s="175" t="n">
        <f aca="false">IF('HC by Program-Term'!$Y27="","—",'HC by Program-Term'!L27-'New vs Continuing — Term'!AH27)</f>
        <v>-1</v>
      </c>
      <c r="N144" s="175" t="n">
        <f aca="false">IF('HC by Program-Term'!$Y27="","—",'HC by Program-Term'!M27-'New vs Continuing — Term'!AI27)</f>
        <v>8</v>
      </c>
      <c r="O144" s="175" t="n">
        <f aca="false">IF('HC by Program-Term'!$Y27="","—",'HC by Program-Term'!N27-'New vs Continuing — Term'!AJ27)</f>
        <v>6</v>
      </c>
      <c r="P144" s="175" t="n">
        <f aca="false">IF('HC by Program-Term'!$Y27="","—",'HC by Program-Term'!O27-'New vs Continuing — Term'!AK27)</f>
        <v>-1</v>
      </c>
      <c r="Q144" s="175" t="n">
        <f aca="false">IF('HC by Program-Term'!$Y27="","—",'HC by Program-Term'!P27-'New vs Continuing — Term'!AL27)</f>
        <v>4</v>
      </c>
      <c r="R144" s="175" t="n">
        <f aca="false">IF('HC by Program-Term'!$Y27="","—",'HC by Program-Term'!Q27-'New vs Continuing — Term'!AM27)</f>
        <v>4</v>
      </c>
      <c r="S144" s="175" t="n">
        <f aca="false">IF('HC by Program-Term'!$Y27="","—",'HC by Program-Term'!R27-'New vs Continuing — Term'!AN27)</f>
        <v>0</v>
      </c>
      <c r="T144" s="175" t="n">
        <f aca="false">IF('HC by Program-Term'!$Y27="","—",'HC by Program-Term'!S27-'New vs Continuing — Term'!AO27)</f>
        <v>2</v>
      </c>
      <c r="U144" s="175" t="n">
        <f aca="false">IF('HC by Program-Term'!$Y27="","—",'HC by Program-Term'!T27-'New vs Continuing — Term'!AP27)</f>
        <v>1</v>
      </c>
      <c r="V144" s="175" t="n">
        <f aca="false">IF('HC by Program-Term'!$Y27="","—",'HC by Program-Term'!U27-'New vs Continuing — Term'!AQ27)</f>
        <v>-1</v>
      </c>
      <c r="W144" s="147" t="n">
        <f aca="false">IF('HC by Program-Term'!$Y27="","—",SUM(C144:V144))</f>
        <v>68</v>
      </c>
    </row>
    <row r="145" customFormat="false" ht="14.25" hidden="false" customHeight="false" outlineLevel="0" collapsed="false">
      <c r="A145" s="165" t="str">
        <f aca="false">'Program List'!A23</f>
        <v>M029</v>
      </c>
      <c r="B145" s="166" t="str">
        <f aca="false">'Program List'!B23</f>
        <v>Master of Science in Applied Computing</v>
      </c>
      <c r="C145" s="177" t="s">
        <v>282</v>
      </c>
      <c r="D145" s="177" t="str">
        <f aca="false">IF('HC by Program-Term'!$Y28="","—",'HC by Program-Term'!C28-'New vs Continuing — Term'!Y28)</f>
        <v>—</v>
      </c>
      <c r="E145" s="177" t="str">
        <f aca="false">IF('HC by Program-Term'!$Y28="","—",'HC by Program-Term'!D28-'New vs Continuing — Term'!Z28)</f>
        <v>—</v>
      </c>
      <c r="F145" s="177" t="str">
        <f aca="false">IF('HC by Program-Term'!$Y28="","—",'HC by Program-Term'!E28-'New vs Continuing — Term'!AA28)</f>
        <v>—</v>
      </c>
      <c r="G145" s="177" t="str">
        <f aca="false">IF('HC by Program-Term'!$Y28="","—",'HC by Program-Term'!F28-'New vs Continuing — Term'!AB28)</f>
        <v>—</v>
      </c>
      <c r="H145" s="177" t="str">
        <f aca="false">IF('HC by Program-Term'!$Y28="","—",'HC by Program-Term'!G28-'New vs Continuing — Term'!AC28)</f>
        <v>—</v>
      </c>
      <c r="I145" s="177" t="str">
        <f aca="false">IF('HC by Program-Term'!$Y28="","—",'HC by Program-Term'!H28-'New vs Continuing — Term'!AD28)</f>
        <v>—</v>
      </c>
      <c r="J145" s="177" t="str">
        <f aca="false">IF('HC by Program-Term'!$Y28="","—",'HC by Program-Term'!I28-'New vs Continuing — Term'!AE28)</f>
        <v>—</v>
      </c>
      <c r="K145" s="177" t="str">
        <f aca="false">IF('HC by Program-Term'!$Y28="","—",'HC by Program-Term'!J28-'New vs Continuing — Term'!AF28)</f>
        <v>—</v>
      </c>
      <c r="L145" s="177" t="str">
        <f aca="false">IF('HC by Program-Term'!$Y28="","—",'HC by Program-Term'!K28-'New vs Continuing — Term'!AG28)</f>
        <v>—</v>
      </c>
      <c r="M145" s="177" t="str">
        <f aca="false">IF('HC by Program-Term'!$Y28="","—",'HC by Program-Term'!L28-'New vs Continuing — Term'!AH28)</f>
        <v>—</v>
      </c>
      <c r="N145" s="177" t="str">
        <f aca="false">IF('HC by Program-Term'!$Y28="","—",'HC by Program-Term'!M28-'New vs Continuing — Term'!AI28)</f>
        <v>—</v>
      </c>
      <c r="O145" s="177" t="str">
        <f aca="false">IF('HC by Program-Term'!$Y28="","—",'HC by Program-Term'!N28-'New vs Continuing — Term'!AJ28)</f>
        <v>—</v>
      </c>
      <c r="P145" s="177" t="str">
        <f aca="false">IF('HC by Program-Term'!$Y28="","—",'HC by Program-Term'!O28-'New vs Continuing — Term'!AK28)</f>
        <v>—</v>
      </c>
      <c r="Q145" s="177" t="str">
        <f aca="false">IF('HC by Program-Term'!$Y28="","—",'HC by Program-Term'!P28-'New vs Continuing — Term'!AL28)</f>
        <v>—</v>
      </c>
      <c r="R145" s="177" t="str">
        <f aca="false">IF('HC by Program-Term'!$Y28="","—",'HC by Program-Term'!Q28-'New vs Continuing — Term'!AM28)</f>
        <v>—</v>
      </c>
      <c r="S145" s="177" t="str">
        <f aca="false">IF('HC by Program-Term'!$Y28="","—",'HC by Program-Term'!R28-'New vs Continuing — Term'!AN28)</f>
        <v>—</v>
      </c>
      <c r="T145" s="177" t="str">
        <f aca="false">IF('HC by Program-Term'!$Y28="","—",'HC by Program-Term'!S28-'New vs Continuing — Term'!AO28)</f>
        <v>—</v>
      </c>
      <c r="U145" s="177" t="str">
        <f aca="false">IF('HC by Program-Term'!$Y28="","—",'HC by Program-Term'!T28-'New vs Continuing — Term'!AP28)</f>
        <v>—</v>
      </c>
      <c r="V145" s="177" t="str">
        <f aca="false">IF('HC by Program-Term'!$Y28="","—",'HC by Program-Term'!U28-'New vs Continuing — Term'!AQ28)</f>
        <v>—</v>
      </c>
      <c r="W145" s="151" t="str">
        <f aca="false">IF('HC by Program-Term'!$Y28="","—",SUM(C145:V145))</f>
        <v>—</v>
      </c>
    </row>
    <row r="146" customFormat="false" ht="14.25" hidden="false" customHeight="false" outlineLevel="0" collapsed="false">
      <c r="A146" s="162" t="str">
        <f aca="false">'Program List'!A24</f>
        <v>M035</v>
      </c>
      <c r="B146" s="163" t="str">
        <f aca="false">'Program List'!B24</f>
        <v>Master of Science in Applied Statistics</v>
      </c>
      <c r="C146" s="175" t="s">
        <v>282</v>
      </c>
      <c r="D146" s="175" t="n">
        <f aca="false">IF('HC by Program-Term'!$Y29="","—",'HC by Program-Term'!C29-'New vs Continuing — Term'!Y29)</f>
        <v>0</v>
      </c>
      <c r="E146" s="175" t="n">
        <f aca="false">IF('HC by Program-Term'!$Y29="","—",'HC by Program-Term'!D29-'New vs Continuing — Term'!Z29)</f>
        <v>0</v>
      </c>
      <c r="F146" s="175" t="n">
        <f aca="false">IF('HC by Program-Term'!$Y29="","—",'HC by Program-Term'!E29-'New vs Continuing — Term'!AA29)</f>
        <v>0</v>
      </c>
      <c r="G146" s="175" t="n">
        <f aca="false">IF('HC by Program-Term'!$Y29="","—",'HC by Program-Term'!F29-'New vs Continuing — Term'!AB29)</f>
        <v>0</v>
      </c>
      <c r="H146" s="175" t="n">
        <f aca="false">IF('HC by Program-Term'!$Y29="","—",'HC by Program-Term'!G29-'New vs Continuing — Term'!AC29)</f>
        <v>0</v>
      </c>
      <c r="I146" s="175" t="n">
        <f aca="false">IF('HC by Program-Term'!$Y29="","—",'HC by Program-Term'!H29-'New vs Continuing — Term'!AD29)</f>
        <v>0</v>
      </c>
      <c r="J146" s="175" t="n">
        <f aca="false">IF('HC by Program-Term'!$Y29="","—",'HC by Program-Term'!I29-'New vs Continuing — Term'!AE29)</f>
        <v>0</v>
      </c>
      <c r="K146" s="175" t="n">
        <f aca="false">IF('HC by Program-Term'!$Y29="","—",'HC by Program-Term'!J29-'New vs Continuing — Term'!AF29)</f>
        <v>0</v>
      </c>
      <c r="L146" s="175" t="n">
        <f aca="false">IF('HC by Program-Term'!$Y29="","—",'HC by Program-Term'!K29-'New vs Continuing — Term'!AG29)</f>
        <v>0</v>
      </c>
      <c r="M146" s="175" t="n">
        <f aca="false">IF('HC by Program-Term'!$Y29="","—",'HC by Program-Term'!L29-'New vs Continuing — Term'!AH29)</f>
        <v>0</v>
      </c>
      <c r="N146" s="175" t="n">
        <f aca="false">IF('HC by Program-Term'!$Y29="","—",'HC by Program-Term'!M29-'New vs Continuing — Term'!AI29)</f>
        <v>11</v>
      </c>
      <c r="O146" s="175" t="n">
        <f aca="false">IF('HC by Program-Term'!$Y29="","—",'HC by Program-Term'!N29-'New vs Continuing — Term'!AJ29)</f>
        <v>13</v>
      </c>
      <c r="P146" s="175" t="n">
        <f aca="false">IF('HC by Program-Term'!$Y29="","—",'HC by Program-Term'!O29-'New vs Continuing — Term'!AK29)</f>
        <v>13</v>
      </c>
      <c r="Q146" s="175" t="n">
        <f aca="false">IF('HC by Program-Term'!$Y29="","—",'HC by Program-Term'!P29-'New vs Continuing — Term'!AL29)</f>
        <v>11</v>
      </c>
      <c r="R146" s="175" t="n">
        <f aca="false">IF('HC by Program-Term'!$Y29="","—",'HC by Program-Term'!Q29-'New vs Continuing — Term'!AM29)</f>
        <v>16</v>
      </c>
      <c r="S146" s="175" t="n">
        <f aca="false">IF('HC by Program-Term'!$Y29="","—",'HC by Program-Term'!R29-'New vs Continuing — Term'!AN29)</f>
        <v>6</v>
      </c>
      <c r="T146" s="175" t="n">
        <f aca="false">IF('HC by Program-Term'!$Y29="","—",'HC by Program-Term'!S29-'New vs Continuing — Term'!AO29)</f>
        <v>19</v>
      </c>
      <c r="U146" s="175" t="n">
        <f aca="false">IF('HC by Program-Term'!$Y29="","—",'HC by Program-Term'!T29-'New vs Continuing — Term'!AP29)</f>
        <v>29</v>
      </c>
      <c r="V146" s="175" t="n">
        <f aca="false">IF('HC by Program-Term'!$Y29="","—",'HC by Program-Term'!U29-'New vs Continuing — Term'!AQ29)</f>
        <v>8</v>
      </c>
      <c r="W146" s="147" t="n">
        <f aca="false">IF('HC by Program-Term'!$Y29="","—",SUM(C146:V146))</f>
        <v>126</v>
      </c>
    </row>
    <row r="147" customFormat="false" ht="14.25" hidden="false" customHeight="false" outlineLevel="0" collapsed="false">
      <c r="A147" s="165" t="str">
        <f aca="false">'Program List'!A25</f>
        <v>M145</v>
      </c>
      <c r="B147" s="166" t="str">
        <f aca="false">'Program List'!B25</f>
        <v>Master of Science in Business Analytics</v>
      </c>
      <c r="C147" s="177" t="s">
        <v>282</v>
      </c>
      <c r="D147" s="177" t="n">
        <f aca="false">IF('HC by Program-Term'!$Y30="","—",'HC by Program-Term'!C30-'New vs Continuing — Term'!Y30)</f>
        <v>0</v>
      </c>
      <c r="E147" s="177" t="n">
        <f aca="false">IF('HC by Program-Term'!$Y30="","—",'HC by Program-Term'!D30-'New vs Continuing — Term'!Z30)</f>
        <v>0</v>
      </c>
      <c r="F147" s="177" t="n">
        <f aca="false">IF('HC by Program-Term'!$Y30="","—",'HC by Program-Term'!E30-'New vs Continuing — Term'!AA30)</f>
        <v>0</v>
      </c>
      <c r="G147" s="177" t="n">
        <f aca="false">IF('HC by Program-Term'!$Y30="","—",'HC by Program-Term'!F30-'New vs Continuing — Term'!AB30)</f>
        <v>0</v>
      </c>
      <c r="H147" s="177" t="n">
        <f aca="false">IF('HC by Program-Term'!$Y30="","—",'HC by Program-Term'!G30-'New vs Continuing — Term'!AC30)</f>
        <v>0</v>
      </c>
      <c r="I147" s="177" t="n">
        <f aca="false">IF('HC by Program-Term'!$Y30="","—",'HC by Program-Term'!H30-'New vs Continuing — Term'!AD30)</f>
        <v>0</v>
      </c>
      <c r="J147" s="177" t="n">
        <f aca="false">IF('HC by Program-Term'!$Y30="","—",'HC by Program-Term'!I30-'New vs Continuing — Term'!AE30)</f>
        <v>0</v>
      </c>
      <c r="K147" s="177" t="n">
        <f aca="false">IF('HC by Program-Term'!$Y30="","—",'HC by Program-Term'!J30-'New vs Continuing — Term'!AF30)</f>
        <v>4</v>
      </c>
      <c r="L147" s="177" t="n">
        <f aca="false">IF('HC by Program-Term'!$Y30="","—",'HC by Program-Term'!K30-'New vs Continuing — Term'!AG30)</f>
        <v>5</v>
      </c>
      <c r="M147" s="177" t="n">
        <f aca="false">IF('HC by Program-Term'!$Y30="","—",'HC by Program-Term'!L30-'New vs Continuing — Term'!AH30)</f>
        <v>3</v>
      </c>
      <c r="N147" s="177" t="n">
        <f aca="false">IF('HC by Program-Term'!$Y30="","—",'HC by Program-Term'!M30-'New vs Continuing — Term'!AI30)</f>
        <v>11</v>
      </c>
      <c r="O147" s="177" t="n">
        <f aca="false">IF('HC by Program-Term'!$Y30="","—",'HC by Program-Term'!N30-'New vs Continuing — Term'!AJ30)</f>
        <v>26</v>
      </c>
      <c r="P147" s="177" t="n">
        <f aca="false">IF('HC by Program-Term'!$Y30="","—",'HC by Program-Term'!O30-'New vs Continuing — Term'!AK30)</f>
        <v>-1</v>
      </c>
      <c r="Q147" s="177" t="n">
        <f aca="false">IF('HC by Program-Term'!$Y30="","—",'HC by Program-Term'!P30-'New vs Continuing — Term'!AL30)</f>
        <v>17</v>
      </c>
      <c r="R147" s="177" t="n">
        <f aca="false">IF('HC by Program-Term'!$Y30="","—",'HC by Program-Term'!Q30-'New vs Continuing — Term'!AM30)</f>
        <v>14</v>
      </c>
      <c r="S147" s="177" t="n">
        <f aca="false">IF('HC by Program-Term'!$Y30="","—",'HC by Program-Term'!R30-'New vs Continuing — Term'!AN30)</f>
        <v>-2</v>
      </c>
      <c r="T147" s="177" t="n">
        <f aca="false">IF('HC by Program-Term'!$Y30="","—",'HC by Program-Term'!S30-'New vs Continuing — Term'!AO30)</f>
        <v>6</v>
      </c>
      <c r="U147" s="177" t="n">
        <f aca="false">IF('HC by Program-Term'!$Y30="","—",'HC by Program-Term'!T30-'New vs Continuing — Term'!AP30)</f>
        <v>17</v>
      </c>
      <c r="V147" s="177" t="n">
        <f aca="false">IF('HC by Program-Term'!$Y30="","—",'HC by Program-Term'!U30-'New vs Continuing — Term'!AQ30)</f>
        <v>2</v>
      </c>
      <c r="W147" s="151" t="n">
        <f aca="false">IF('HC by Program-Term'!$Y30="","—",SUM(C147:V147))</f>
        <v>102</v>
      </c>
    </row>
    <row r="148" customFormat="false" ht="14.25" hidden="false" customHeight="false" outlineLevel="0" collapsed="false">
      <c r="A148" s="162" t="str">
        <f aca="false">'Program List'!A26</f>
        <v>M191</v>
      </c>
      <c r="B148" s="163" t="str">
        <f aca="false">'Program List'!B26</f>
        <v>Master of Science in Civil Engineering</v>
      </c>
      <c r="C148" s="175" t="s">
        <v>282</v>
      </c>
      <c r="D148" s="175" t="n">
        <f aca="false">IF('HC by Program-Term'!$Y31="","—",'HC by Program-Term'!C31-'New vs Continuing — Term'!Y31)</f>
        <v>0</v>
      </c>
      <c r="E148" s="175" t="n">
        <f aca="false">IF('HC by Program-Term'!$Y31="","—",'HC by Program-Term'!D31-'New vs Continuing — Term'!Z31)</f>
        <v>1</v>
      </c>
      <c r="F148" s="175" t="n">
        <f aca="false">IF('HC by Program-Term'!$Y31="","—",'HC by Program-Term'!E31-'New vs Continuing — Term'!AA31)</f>
        <v>5</v>
      </c>
      <c r="G148" s="175" t="n">
        <f aca="false">IF('HC by Program-Term'!$Y31="","—",'HC by Program-Term'!F31-'New vs Continuing — Term'!AB31)</f>
        <v>0</v>
      </c>
      <c r="H148" s="175" t="n">
        <f aca="false">IF('HC by Program-Term'!$Y31="","—",'HC by Program-Term'!G31-'New vs Continuing — Term'!AC31)</f>
        <v>6</v>
      </c>
      <c r="I148" s="175" t="n">
        <f aca="false">IF('HC by Program-Term'!$Y31="","—",'HC by Program-Term'!H31-'New vs Continuing — Term'!AD31)</f>
        <v>33</v>
      </c>
      <c r="J148" s="175" t="n">
        <f aca="false">IF('HC by Program-Term'!$Y31="","—",'HC by Program-Term'!I31-'New vs Continuing — Term'!AE31)</f>
        <v>-11</v>
      </c>
      <c r="K148" s="175" t="n">
        <f aca="false">IF('HC by Program-Term'!$Y31="","—",'HC by Program-Term'!J31-'New vs Continuing — Term'!AF31)</f>
        <v>10</v>
      </c>
      <c r="L148" s="175" t="n">
        <f aca="false">IF('HC by Program-Term'!$Y31="","—",'HC by Program-Term'!K31-'New vs Continuing — Term'!AG31)</f>
        <v>36</v>
      </c>
      <c r="M148" s="175" t="n">
        <f aca="false">IF('HC by Program-Term'!$Y31="","—",'HC by Program-Term'!L31-'New vs Continuing — Term'!AH31)</f>
        <v>-9</v>
      </c>
      <c r="N148" s="175" t="n">
        <f aca="false">IF('HC by Program-Term'!$Y31="","—",'HC by Program-Term'!M31-'New vs Continuing — Term'!AI31)</f>
        <v>13</v>
      </c>
      <c r="O148" s="175" t="n">
        <f aca="false">IF('HC by Program-Term'!$Y31="","—",'HC by Program-Term'!N31-'New vs Continuing — Term'!AJ31)</f>
        <v>28</v>
      </c>
      <c r="P148" s="175" t="n">
        <f aca="false">IF('HC by Program-Term'!$Y31="","—",'HC by Program-Term'!O31-'New vs Continuing — Term'!AK31)</f>
        <v>-12</v>
      </c>
      <c r="Q148" s="175" t="n">
        <f aca="false">IF('HC by Program-Term'!$Y31="","—",'HC by Program-Term'!P31-'New vs Continuing — Term'!AL31)</f>
        <v>22</v>
      </c>
      <c r="R148" s="175" t="n">
        <f aca="false">IF('HC by Program-Term'!$Y31="","—",'HC by Program-Term'!Q31-'New vs Continuing — Term'!AM31)</f>
        <v>27</v>
      </c>
      <c r="S148" s="175" t="n">
        <f aca="false">IF('HC by Program-Term'!$Y31="","—",'HC by Program-Term'!R31-'New vs Continuing — Term'!AN31)</f>
        <v>-9</v>
      </c>
      <c r="T148" s="175" t="n">
        <f aca="false">IF('HC by Program-Term'!$Y31="","—",'HC by Program-Term'!S31-'New vs Continuing — Term'!AO31)</f>
        <v>7</v>
      </c>
      <c r="U148" s="175" t="n">
        <f aca="false">IF('HC by Program-Term'!$Y31="","—",'HC by Program-Term'!T31-'New vs Continuing — Term'!AP31)</f>
        <v>35</v>
      </c>
      <c r="V148" s="175" t="n">
        <f aca="false">IF('HC by Program-Term'!$Y31="","—",'HC by Program-Term'!U31-'New vs Continuing — Term'!AQ31)</f>
        <v>-8</v>
      </c>
      <c r="W148" s="147" t="n">
        <f aca="false">IF('HC by Program-Term'!$Y31="","—",SUM(C148:V148))</f>
        <v>174</v>
      </c>
    </row>
    <row r="149" customFormat="false" ht="14.25" hidden="false" customHeight="false" outlineLevel="0" collapsed="false">
      <c r="A149" s="165" t="str">
        <f aca="false">'Program List'!A27</f>
        <v>M260</v>
      </c>
      <c r="B149" s="166" t="str">
        <f aca="false">'Program List'!B27</f>
        <v>Master of Science in Criminal Justice</v>
      </c>
      <c r="C149" s="177" t="s">
        <v>282</v>
      </c>
      <c r="D149" s="177" t="n">
        <f aca="false">IF('HC by Program-Term'!$Y32="","—",'HC by Program-Term'!C32-'New vs Continuing — Term'!Y32)</f>
        <v>0</v>
      </c>
      <c r="E149" s="177" t="n">
        <f aca="false">IF('HC by Program-Term'!$Y32="","—",'HC by Program-Term'!D32-'New vs Continuing — Term'!Z32)</f>
        <v>2</v>
      </c>
      <c r="F149" s="177" t="n">
        <f aca="false">IF('HC by Program-Term'!$Y32="","—",'HC by Program-Term'!E32-'New vs Continuing — Term'!AA32)</f>
        <v>6</v>
      </c>
      <c r="G149" s="177" t="n">
        <f aca="false">IF('HC by Program-Term'!$Y32="","—",'HC by Program-Term'!F32-'New vs Continuing — Term'!AB32)</f>
        <v>-2</v>
      </c>
      <c r="H149" s="177" t="n">
        <f aca="false">IF('HC by Program-Term'!$Y32="","—",'HC by Program-Term'!G32-'New vs Continuing — Term'!AC32)</f>
        <v>6</v>
      </c>
      <c r="I149" s="177" t="n">
        <f aca="false">IF('HC by Program-Term'!$Y32="","—",'HC by Program-Term'!H32-'New vs Continuing — Term'!AD32)</f>
        <v>24</v>
      </c>
      <c r="J149" s="177" t="n">
        <f aca="false">IF('HC by Program-Term'!$Y32="","—",'HC by Program-Term'!I32-'New vs Continuing — Term'!AE32)</f>
        <v>2</v>
      </c>
      <c r="K149" s="177" t="n">
        <f aca="false">IF('HC by Program-Term'!$Y32="","—",'HC by Program-Term'!J32-'New vs Continuing — Term'!AF32)</f>
        <v>15</v>
      </c>
      <c r="L149" s="177" t="n">
        <f aca="false">IF('HC by Program-Term'!$Y32="","—",'HC by Program-Term'!K32-'New vs Continuing — Term'!AG32)</f>
        <v>42</v>
      </c>
      <c r="M149" s="177" t="n">
        <f aca="false">IF('HC by Program-Term'!$Y32="","—",'HC by Program-Term'!L32-'New vs Continuing — Term'!AH32)</f>
        <v>-10</v>
      </c>
      <c r="N149" s="177" t="n">
        <f aca="false">IF('HC by Program-Term'!$Y32="","—",'HC by Program-Term'!M32-'New vs Continuing — Term'!AI32)</f>
        <v>23</v>
      </c>
      <c r="O149" s="177" t="n">
        <f aca="false">IF('HC by Program-Term'!$Y32="","—",'HC by Program-Term'!N32-'New vs Continuing — Term'!AJ32)</f>
        <v>46</v>
      </c>
      <c r="P149" s="177" t="n">
        <f aca="false">IF('HC by Program-Term'!$Y32="","—",'HC by Program-Term'!O32-'New vs Continuing — Term'!AK32)</f>
        <v>-3</v>
      </c>
      <c r="Q149" s="177" t="n">
        <f aca="false">IF('HC by Program-Term'!$Y32="","—",'HC by Program-Term'!P32-'New vs Continuing — Term'!AL32)</f>
        <v>22</v>
      </c>
      <c r="R149" s="177" t="n">
        <f aca="false">IF('HC by Program-Term'!$Y32="","—",'HC by Program-Term'!Q32-'New vs Continuing — Term'!AM32)</f>
        <v>52</v>
      </c>
      <c r="S149" s="177" t="n">
        <f aca="false">IF('HC by Program-Term'!$Y32="","—",'HC by Program-Term'!R32-'New vs Continuing — Term'!AN32)</f>
        <v>0</v>
      </c>
      <c r="T149" s="177" t="n">
        <f aca="false">IF('HC by Program-Term'!$Y32="","—",'HC by Program-Term'!S32-'New vs Continuing — Term'!AO32)</f>
        <v>22</v>
      </c>
      <c r="U149" s="177" t="n">
        <f aca="false">IF('HC by Program-Term'!$Y32="","—",'HC by Program-Term'!T32-'New vs Continuing — Term'!AP32)</f>
        <v>40</v>
      </c>
      <c r="V149" s="177" t="n">
        <f aca="false">IF('HC by Program-Term'!$Y32="","—",'HC by Program-Term'!U32-'New vs Continuing — Term'!AQ32)</f>
        <v>-5</v>
      </c>
      <c r="W149" s="151" t="n">
        <f aca="false">IF('HC by Program-Term'!$Y32="","—",SUM(C149:V149))</f>
        <v>282</v>
      </c>
    </row>
    <row r="150" customFormat="false" ht="14.25" hidden="false" customHeight="false" outlineLevel="0" collapsed="false">
      <c r="A150" s="162" t="str">
        <f aca="false">'Program List'!A28</f>
        <v>M264</v>
      </c>
      <c r="B150" s="163" t="str">
        <f aca="false">'Program List'!B28</f>
        <v>Master of Science in Cybersecurity Leadership</v>
      </c>
      <c r="C150" s="175" t="s">
        <v>282</v>
      </c>
      <c r="D150" s="175" t="str">
        <f aca="false">IF('HC by Program-Term'!$Y33="","—",'HC by Program-Term'!C33-'New vs Continuing — Term'!Y33)</f>
        <v>—</v>
      </c>
      <c r="E150" s="175" t="str">
        <f aca="false">IF('HC by Program-Term'!$Y33="","—",'HC by Program-Term'!D33-'New vs Continuing — Term'!Z33)</f>
        <v>—</v>
      </c>
      <c r="F150" s="175" t="str">
        <f aca="false">IF('HC by Program-Term'!$Y33="","—",'HC by Program-Term'!E33-'New vs Continuing — Term'!AA33)</f>
        <v>—</v>
      </c>
      <c r="G150" s="175" t="str">
        <f aca="false">IF('HC by Program-Term'!$Y33="","—",'HC by Program-Term'!F33-'New vs Continuing — Term'!AB33)</f>
        <v>—</v>
      </c>
      <c r="H150" s="175" t="str">
        <f aca="false">IF('HC by Program-Term'!$Y33="","—",'HC by Program-Term'!G33-'New vs Continuing — Term'!AC33)</f>
        <v>—</v>
      </c>
      <c r="I150" s="175" t="str">
        <f aca="false">IF('HC by Program-Term'!$Y33="","—",'HC by Program-Term'!H33-'New vs Continuing — Term'!AD33)</f>
        <v>—</v>
      </c>
      <c r="J150" s="175" t="str">
        <f aca="false">IF('HC by Program-Term'!$Y33="","—",'HC by Program-Term'!I33-'New vs Continuing — Term'!AE33)</f>
        <v>—</v>
      </c>
      <c r="K150" s="175" t="str">
        <f aca="false">IF('HC by Program-Term'!$Y33="","—",'HC by Program-Term'!J33-'New vs Continuing — Term'!AF33)</f>
        <v>—</v>
      </c>
      <c r="L150" s="175" t="str">
        <f aca="false">IF('HC by Program-Term'!$Y33="","—",'HC by Program-Term'!K33-'New vs Continuing — Term'!AG33)</f>
        <v>—</v>
      </c>
      <c r="M150" s="175" t="str">
        <f aca="false">IF('HC by Program-Term'!$Y33="","—",'HC by Program-Term'!L33-'New vs Continuing — Term'!AH33)</f>
        <v>—</v>
      </c>
      <c r="N150" s="175" t="str">
        <f aca="false">IF('HC by Program-Term'!$Y33="","—",'HC by Program-Term'!M33-'New vs Continuing — Term'!AI33)</f>
        <v>—</v>
      </c>
      <c r="O150" s="175" t="str">
        <f aca="false">IF('HC by Program-Term'!$Y33="","—",'HC by Program-Term'!N33-'New vs Continuing — Term'!AJ33)</f>
        <v>—</v>
      </c>
      <c r="P150" s="175" t="str">
        <f aca="false">IF('HC by Program-Term'!$Y33="","—",'HC by Program-Term'!O33-'New vs Continuing — Term'!AK33)</f>
        <v>—</v>
      </c>
      <c r="Q150" s="175" t="str">
        <f aca="false">IF('HC by Program-Term'!$Y33="","—",'HC by Program-Term'!P33-'New vs Continuing — Term'!AL33)</f>
        <v>—</v>
      </c>
      <c r="R150" s="175" t="str">
        <f aca="false">IF('HC by Program-Term'!$Y33="","—",'HC by Program-Term'!Q33-'New vs Continuing — Term'!AM33)</f>
        <v>—</v>
      </c>
      <c r="S150" s="175" t="str">
        <f aca="false">IF('HC by Program-Term'!$Y33="","—",'HC by Program-Term'!R33-'New vs Continuing — Term'!AN33)</f>
        <v>—</v>
      </c>
      <c r="T150" s="175" t="str">
        <f aca="false">IF('HC by Program-Term'!$Y33="","—",'HC by Program-Term'!S33-'New vs Continuing — Term'!AO33)</f>
        <v>—</v>
      </c>
      <c r="U150" s="175" t="str">
        <f aca="false">IF('HC by Program-Term'!$Y33="","—",'HC by Program-Term'!T33-'New vs Continuing — Term'!AP33)</f>
        <v>—</v>
      </c>
      <c r="V150" s="175" t="str">
        <f aca="false">IF('HC by Program-Term'!$Y33="","—",'HC by Program-Term'!U33-'New vs Continuing — Term'!AQ33)</f>
        <v>—</v>
      </c>
      <c r="W150" s="147" t="str">
        <f aca="false">IF('HC by Program-Term'!$Y33="","—",SUM(C150:V150))</f>
        <v>—</v>
      </c>
    </row>
    <row r="151" customFormat="false" ht="14.25" hidden="false" customHeight="false" outlineLevel="0" collapsed="false">
      <c r="A151" s="165" t="str">
        <f aca="false">'Program List'!A29</f>
        <v>M374</v>
      </c>
      <c r="B151" s="166" t="str">
        <f aca="false">'Program List'!B29</f>
        <v>Master of Science in Engineering Leadership and Management</v>
      </c>
      <c r="C151" s="177" t="s">
        <v>282</v>
      </c>
      <c r="D151" s="177" t="n">
        <f aca="false">IF('HC by Program-Term'!$Y34="","—",'HC by Program-Term'!C34-'New vs Continuing — Term'!Y34)</f>
        <v>0</v>
      </c>
      <c r="E151" s="177" t="n">
        <f aca="false">IF('HC by Program-Term'!$Y34="","—",'HC by Program-Term'!D34-'New vs Continuing — Term'!Z34)</f>
        <v>0</v>
      </c>
      <c r="F151" s="177" t="n">
        <f aca="false">IF('HC by Program-Term'!$Y34="","—",'HC by Program-Term'!E34-'New vs Continuing — Term'!AA34)</f>
        <v>0</v>
      </c>
      <c r="G151" s="177" t="n">
        <f aca="false">IF('HC by Program-Term'!$Y34="","—",'HC by Program-Term'!F34-'New vs Continuing — Term'!AB34)</f>
        <v>0</v>
      </c>
      <c r="H151" s="177" t="n">
        <f aca="false">IF('HC by Program-Term'!$Y34="","—",'HC by Program-Term'!G34-'New vs Continuing — Term'!AC34)</f>
        <v>0</v>
      </c>
      <c r="I151" s="177" t="n">
        <f aca="false">IF('HC by Program-Term'!$Y34="","—",'HC by Program-Term'!H34-'New vs Continuing — Term'!AD34)</f>
        <v>0</v>
      </c>
      <c r="J151" s="177" t="n">
        <f aca="false">IF('HC by Program-Term'!$Y34="","—",'HC by Program-Term'!I34-'New vs Continuing — Term'!AE34)</f>
        <v>0</v>
      </c>
      <c r="K151" s="177" t="n">
        <f aca="false">IF('HC by Program-Term'!$Y34="","—",'HC by Program-Term'!J34-'New vs Continuing — Term'!AF34)</f>
        <v>0</v>
      </c>
      <c r="L151" s="177" t="n">
        <f aca="false">IF('HC by Program-Term'!$Y34="","—",'HC by Program-Term'!K34-'New vs Continuing — Term'!AG34)</f>
        <v>0</v>
      </c>
      <c r="M151" s="177" t="n">
        <f aca="false">IF('HC by Program-Term'!$Y34="","—",'HC by Program-Term'!L34-'New vs Continuing — Term'!AH34)</f>
        <v>0</v>
      </c>
      <c r="N151" s="177" t="n">
        <f aca="false">IF('HC by Program-Term'!$Y34="","—",'HC by Program-Term'!M34-'New vs Continuing — Term'!AI34)</f>
        <v>0</v>
      </c>
      <c r="O151" s="177" t="n">
        <f aca="false">IF('HC by Program-Term'!$Y34="","—",'HC by Program-Term'!N34-'New vs Continuing — Term'!AJ34)</f>
        <v>4</v>
      </c>
      <c r="P151" s="177" t="n">
        <f aca="false">IF('HC by Program-Term'!$Y34="","—",'HC by Program-Term'!O34-'New vs Continuing — Term'!AK34)</f>
        <v>1</v>
      </c>
      <c r="Q151" s="177" t="n">
        <f aca="false">IF('HC by Program-Term'!$Y34="","—",'HC by Program-Term'!P34-'New vs Continuing — Term'!AL34)</f>
        <v>11</v>
      </c>
      <c r="R151" s="177" t="n">
        <f aca="false">IF('HC by Program-Term'!$Y34="","—",'HC by Program-Term'!Q34-'New vs Continuing — Term'!AM34)</f>
        <v>11</v>
      </c>
      <c r="S151" s="177" t="n">
        <f aca="false">IF('HC by Program-Term'!$Y34="","—",'HC by Program-Term'!R34-'New vs Continuing — Term'!AN34)</f>
        <v>23</v>
      </c>
      <c r="T151" s="177" t="n">
        <f aca="false">IF('HC by Program-Term'!$Y34="","—",'HC by Program-Term'!S34-'New vs Continuing — Term'!AO34)</f>
        <v>19</v>
      </c>
      <c r="U151" s="177" t="n">
        <f aca="false">IF('HC by Program-Term'!$Y34="","—",'HC by Program-Term'!T34-'New vs Continuing — Term'!AP34)</f>
        <v>9</v>
      </c>
      <c r="V151" s="177" t="n">
        <f aca="false">IF('HC by Program-Term'!$Y34="","—",'HC by Program-Term'!U34-'New vs Continuing — Term'!AQ34)</f>
        <v>18</v>
      </c>
      <c r="W151" s="151" t="n">
        <f aca="false">IF('HC by Program-Term'!$Y34="","—",SUM(C151:V151))</f>
        <v>96</v>
      </c>
    </row>
    <row r="152" customFormat="false" ht="14.25" hidden="false" customHeight="false" outlineLevel="0" collapsed="false">
      <c r="A152" s="162" t="str">
        <f aca="false">'Program List'!A30</f>
        <v>M435</v>
      </c>
      <c r="B152" s="163" t="str">
        <f aca="false">'Program List'!B30</f>
        <v>Master of Science in Finance</v>
      </c>
      <c r="C152" s="175" t="s">
        <v>282</v>
      </c>
      <c r="D152" s="175" t="n">
        <f aca="false">IF('HC by Program-Term'!$Y35="","—",'HC by Program-Term'!C35-'New vs Continuing — Term'!Y35)</f>
        <v>0</v>
      </c>
      <c r="E152" s="175" t="n">
        <f aca="false">IF('HC by Program-Term'!$Y35="","—",'HC by Program-Term'!D35-'New vs Continuing — Term'!Z35)</f>
        <v>5</v>
      </c>
      <c r="F152" s="175" t="n">
        <f aca="false">IF('HC by Program-Term'!$Y35="","—",'HC by Program-Term'!E35-'New vs Continuing — Term'!AA35)</f>
        <v>13</v>
      </c>
      <c r="G152" s="175" t="n">
        <f aca="false">IF('HC by Program-Term'!$Y35="","—",'HC by Program-Term'!F35-'New vs Continuing — Term'!AB35)</f>
        <v>3</v>
      </c>
      <c r="H152" s="175" t="n">
        <f aca="false">IF('HC by Program-Term'!$Y35="","—",'HC by Program-Term'!G35-'New vs Continuing — Term'!AC35)</f>
        <v>37</v>
      </c>
      <c r="I152" s="175" t="n">
        <f aca="false">IF('HC by Program-Term'!$Y35="","—",'HC by Program-Term'!H35-'New vs Continuing — Term'!AD35)</f>
        <v>34</v>
      </c>
      <c r="J152" s="175" t="n">
        <f aca="false">IF('HC by Program-Term'!$Y35="","—",'HC by Program-Term'!I35-'New vs Continuing — Term'!AE35)</f>
        <v>1</v>
      </c>
      <c r="K152" s="175" t="n">
        <f aca="false">IF('HC by Program-Term'!$Y35="","—",'HC by Program-Term'!J35-'New vs Continuing — Term'!AF35)</f>
        <v>38</v>
      </c>
      <c r="L152" s="175" t="n">
        <f aca="false">IF('HC by Program-Term'!$Y35="","—",'HC by Program-Term'!K35-'New vs Continuing — Term'!AG35)</f>
        <v>42</v>
      </c>
      <c r="M152" s="175" t="n">
        <f aca="false">IF('HC by Program-Term'!$Y35="","—",'HC by Program-Term'!L35-'New vs Continuing — Term'!AH35)</f>
        <v>-2</v>
      </c>
      <c r="N152" s="175" t="n">
        <f aca="false">IF('HC by Program-Term'!$Y35="","—",'HC by Program-Term'!M35-'New vs Continuing — Term'!AI35)</f>
        <v>28</v>
      </c>
      <c r="O152" s="175" t="n">
        <f aca="false">IF('HC by Program-Term'!$Y35="","—",'HC by Program-Term'!N35-'New vs Continuing — Term'!AJ35)</f>
        <v>23</v>
      </c>
      <c r="P152" s="175" t="n">
        <f aca="false">IF('HC by Program-Term'!$Y35="","—",'HC by Program-Term'!O35-'New vs Continuing — Term'!AK35)</f>
        <v>1</v>
      </c>
      <c r="Q152" s="175" t="n">
        <f aca="false">IF('HC by Program-Term'!$Y35="","—",'HC by Program-Term'!P35-'New vs Continuing — Term'!AL35)</f>
        <v>27</v>
      </c>
      <c r="R152" s="175" t="n">
        <f aca="false">IF('HC by Program-Term'!$Y35="","—",'HC by Program-Term'!Q35-'New vs Continuing — Term'!AM35)</f>
        <v>22</v>
      </c>
      <c r="S152" s="175" t="n">
        <f aca="false">IF('HC by Program-Term'!$Y35="","—",'HC by Program-Term'!R35-'New vs Continuing — Term'!AN35)</f>
        <v>1</v>
      </c>
      <c r="T152" s="175" t="n">
        <f aca="false">IF('HC by Program-Term'!$Y35="","—",'HC by Program-Term'!S35-'New vs Continuing — Term'!AO35)</f>
        <v>20</v>
      </c>
      <c r="U152" s="175" t="n">
        <f aca="false">IF('HC by Program-Term'!$Y35="","—",'HC by Program-Term'!T35-'New vs Continuing — Term'!AP35)</f>
        <v>27</v>
      </c>
      <c r="V152" s="175" t="n">
        <f aca="false">IF('HC by Program-Term'!$Y35="","—",'HC by Program-Term'!U35-'New vs Continuing — Term'!AQ35)</f>
        <v>5</v>
      </c>
      <c r="W152" s="147" t="n">
        <f aca="false">IF('HC by Program-Term'!$Y35="","—",SUM(C152:V152))</f>
        <v>325</v>
      </c>
    </row>
    <row r="153" customFormat="false" ht="14.25" hidden="false" customHeight="false" outlineLevel="0" collapsed="false">
      <c r="A153" s="165" t="str">
        <f aca="false">'Program List'!A31</f>
        <v>M464</v>
      </c>
      <c r="B153" s="166" t="str">
        <f aca="false">'Program List'!B31</f>
        <v>Master of Science in Geospatial Technology</v>
      </c>
      <c r="C153" s="177" t="s">
        <v>282</v>
      </c>
      <c r="D153" s="177" t="n">
        <f aca="false">IF('HC by Program-Term'!$Y36="","—",'HC by Program-Term'!C36-'New vs Continuing — Term'!Y36)</f>
        <v>0</v>
      </c>
      <c r="E153" s="177" t="n">
        <f aca="false">IF('HC by Program-Term'!$Y36="","—",'HC by Program-Term'!D36-'New vs Continuing — Term'!Z36)</f>
        <v>3</v>
      </c>
      <c r="F153" s="177" t="n">
        <f aca="false">IF('HC by Program-Term'!$Y36="","—",'HC by Program-Term'!E36-'New vs Continuing — Term'!AA36)</f>
        <v>6</v>
      </c>
      <c r="G153" s="177" t="n">
        <f aca="false">IF('HC by Program-Term'!$Y36="","—",'HC by Program-Term'!F36-'New vs Continuing — Term'!AB36)</f>
        <v>1</v>
      </c>
      <c r="H153" s="177" t="n">
        <f aca="false">IF('HC by Program-Term'!$Y36="","—",'HC by Program-Term'!G36-'New vs Continuing — Term'!AC36)</f>
        <v>5</v>
      </c>
      <c r="I153" s="177" t="n">
        <f aca="false">IF('HC by Program-Term'!$Y36="","—",'HC by Program-Term'!H36-'New vs Continuing — Term'!AD36)</f>
        <v>12</v>
      </c>
      <c r="J153" s="177" t="n">
        <f aca="false">IF('HC by Program-Term'!$Y36="","—",'HC by Program-Term'!I36-'New vs Continuing — Term'!AE36)</f>
        <v>13</v>
      </c>
      <c r="K153" s="177" t="n">
        <f aca="false">IF('HC by Program-Term'!$Y36="","—",'HC by Program-Term'!J36-'New vs Continuing — Term'!AF36)</f>
        <v>3</v>
      </c>
      <c r="L153" s="177" t="n">
        <f aca="false">IF('HC by Program-Term'!$Y36="","—",'HC by Program-Term'!K36-'New vs Continuing — Term'!AG36)</f>
        <v>16</v>
      </c>
      <c r="M153" s="177" t="n">
        <f aca="false">IF('HC by Program-Term'!$Y36="","—",'HC by Program-Term'!L36-'New vs Continuing — Term'!AH36)</f>
        <v>5</v>
      </c>
      <c r="N153" s="177" t="n">
        <f aca="false">IF('HC by Program-Term'!$Y36="","—",'HC by Program-Term'!M36-'New vs Continuing — Term'!AI36)</f>
        <v>5</v>
      </c>
      <c r="O153" s="177" t="n">
        <f aca="false">IF('HC by Program-Term'!$Y36="","—",'HC by Program-Term'!N36-'New vs Continuing — Term'!AJ36)</f>
        <v>18</v>
      </c>
      <c r="P153" s="177" t="n">
        <f aca="false">IF('HC by Program-Term'!$Y36="","—",'HC by Program-Term'!O36-'New vs Continuing — Term'!AK36)</f>
        <v>1</v>
      </c>
      <c r="Q153" s="177" t="n">
        <f aca="false">IF('HC by Program-Term'!$Y36="","—",'HC by Program-Term'!P36-'New vs Continuing — Term'!AL36)</f>
        <v>5</v>
      </c>
      <c r="R153" s="177" t="n">
        <f aca="false">IF('HC by Program-Term'!$Y36="","—",'HC by Program-Term'!Q36-'New vs Continuing — Term'!AM36)</f>
        <v>2</v>
      </c>
      <c r="S153" s="177" t="n">
        <f aca="false">IF('HC by Program-Term'!$Y36="","—",'HC by Program-Term'!R36-'New vs Continuing — Term'!AN36)</f>
        <v>10</v>
      </c>
      <c r="T153" s="177" t="n">
        <f aca="false">IF('HC by Program-Term'!$Y36="","—",'HC by Program-Term'!S36-'New vs Continuing — Term'!AO36)</f>
        <v>4</v>
      </c>
      <c r="U153" s="177" t="n">
        <f aca="false">IF('HC by Program-Term'!$Y36="","—",'HC by Program-Term'!T36-'New vs Continuing — Term'!AP36)</f>
        <v>7</v>
      </c>
      <c r="V153" s="177" t="n">
        <f aca="false">IF('HC by Program-Term'!$Y36="","—",'HC by Program-Term'!U36-'New vs Continuing — Term'!AQ36)</f>
        <v>0</v>
      </c>
      <c r="W153" s="151" t="n">
        <f aca="false">IF('HC by Program-Term'!$Y36="","—",SUM(C153:V153))</f>
        <v>116</v>
      </c>
    </row>
    <row r="154" customFormat="false" ht="14.25" hidden="false" customHeight="false" outlineLevel="0" collapsed="false">
      <c r="A154" s="162" t="str">
        <f aca="false">'Program List'!A32</f>
        <v>M527</v>
      </c>
      <c r="B154" s="163" t="str">
        <f aca="false">'Program List'!B32</f>
        <v>Master of Science in Industrial and Systems Engineering</v>
      </c>
      <c r="C154" s="175" t="s">
        <v>282</v>
      </c>
      <c r="D154" s="175" t="n">
        <f aca="false">IF('HC by Program-Term'!$Y37="","—",'HC by Program-Term'!C37-'New vs Continuing — Term'!Y37)</f>
        <v>0</v>
      </c>
      <c r="E154" s="175" t="n">
        <f aca="false">IF('HC by Program-Term'!$Y37="","—",'HC by Program-Term'!D37-'New vs Continuing — Term'!Z37)</f>
        <v>0</v>
      </c>
      <c r="F154" s="175" t="n">
        <f aca="false">IF('HC by Program-Term'!$Y37="","—",'HC by Program-Term'!E37-'New vs Continuing — Term'!AA37)</f>
        <v>0</v>
      </c>
      <c r="G154" s="175" t="n">
        <f aca="false">IF('HC by Program-Term'!$Y37="","—",'HC by Program-Term'!F37-'New vs Continuing — Term'!AB37)</f>
        <v>0</v>
      </c>
      <c r="H154" s="175" t="n">
        <f aca="false">IF('HC by Program-Term'!$Y37="","—",'HC by Program-Term'!G37-'New vs Continuing — Term'!AC37)</f>
        <v>0</v>
      </c>
      <c r="I154" s="175" t="n">
        <f aca="false">IF('HC by Program-Term'!$Y37="","—",'HC by Program-Term'!H37-'New vs Continuing — Term'!AD37)</f>
        <v>11</v>
      </c>
      <c r="J154" s="175" t="n">
        <f aca="false">IF('HC by Program-Term'!$Y37="","—",'HC by Program-Term'!I37-'New vs Continuing — Term'!AE37)</f>
        <v>0</v>
      </c>
      <c r="K154" s="175" t="n">
        <f aca="false">IF('HC by Program-Term'!$Y37="","—",'HC by Program-Term'!J37-'New vs Continuing — Term'!AF37)</f>
        <v>7</v>
      </c>
      <c r="L154" s="175" t="n">
        <f aca="false">IF('HC by Program-Term'!$Y37="","—",'HC by Program-Term'!K37-'New vs Continuing — Term'!AG37)</f>
        <v>6</v>
      </c>
      <c r="M154" s="175" t="n">
        <f aca="false">IF('HC by Program-Term'!$Y37="","—",'HC by Program-Term'!L37-'New vs Continuing — Term'!AH37)</f>
        <v>4</v>
      </c>
      <c r="N154" s="175" t="n">
        <f aca="false">IF('HC by Program-Term'!$Y37="","—",'HC by Program-Term'!M37-'New vs Continuing — Term'!AI37)</f>
        <v>10</v>
      </c>
      <c r="O154" s="175" t="n">
        <f aca="false">IF('HC by Program-Term'!$Y37="","—",'HC by Program-Term'!N37-'New vs Continuing — Term'!AJ37)</f>
        <v>11</v>
      </c>
      <c r="P154" s="175" t="n">
        <f aca="false">IF('HC by Program-Term'!$Y37="","—",'HC by Program-Term'!O37-'New vs Continuing — Term'!AK37)</f>
        <v>4</v>
      </c>
      <c r="Q154" s="175" t="n">
        <f aca="false">IF('HC by Program-Term'!$Y37="","—",'HC by Program-Term'!P37-'New vs Continuing — Term'!AL37)</f>
        <v>3</v>
      </c>
      <c r="R154" s="175" t="n">
        <f aca="false">IF('HC by Program-Term'!$Y37="","—",'HC by Program-Term'!Q37-'New vs Continuing — Term'!AM37)</f>
        <v>32</v>
      </c>
      <c r="S154" s="175" t="n">
        <f aca="false">IF('HC by Program-Term'!$Y37="","—",'HC by Program-Term'!R37-'New vs Continuing — Term'!AN37)</f>
        <v>14</v>
      </c>
      <c r="T154" s="175" t="n">
        <f aca="false">IF('HC by Program-Term'!$Y37="","—",'HC by Program-Term'!S37-'New vs Continuing — Term'!AO37)</f>
        <v>3</v>
      </c>
      <c r="U154" s="175" t="n">
        <f aca="false">IF('HC by Program-Term'!$Y37="","—",'HC by Program-Term'!T37-'New vs Continuing — Term'!AP37)</f>
        <v>33</v>
      </c>
      <c r="V154" s="175" t="n">
        <f aca="false">IF('HC by Program-Term'!$Y37="","—",'HC by Program-Term'!U37-'New vs Continuing — Term'!AQ37)</f>
        <v>15</v>
      </c>
      <c r="W154" s="147" t="n">
        <f aca="false">IF('HC by Program-Term'!$Y37="","—",SUM(C154:V154))</f>
        <v>153</v>
      </c>
    </row>
    <row r="155" customFormat="false" ht="14.25" hidden="false" customHeight="false" outlineLevel="0" collapsed="false">
      <c r="A155" s="165" t="str">
        <f aca="false">'Program List'!A33</f>
        <v>M746</v>
      </c>
      <c r="B155" s="166" t="str">
        <f aca="false">'Program List'!B33</f>
        <v>Master of Science in Natural Gas Engineering and Management</v>
      </c>
      <c r="C155" s="177" t="s">
        <v>282</v>
      </c>
      <c r="D155" s="177" t="n">
        <f aca="false">IF('HC by Program-Term'!$Y38="","—",'HC by Program-Term'!C38-'New vs Continuing — Term'!Y38)</f>
        <v>0</v>
      </c>
      <c r="E155" s="177" t="n">
        <f aca="false">IF('HC by Program-Term'!$Y38="","—",'HC by Program-Term'!D38-'New vs Continuing — Term'!Z38)</f>
        <v>1</v>
      </c>
      <c r="F155" s="177" t="n">
        <f aca="false">IF('HC by Program-Term'!$Y38="","—",'HC by Program-Term'!E38-'New vs Continuing — Term'!AA38)</f>
        <v>2</v>
      </c>
      <c r="G155" s="177" t="n">
        <f aca="false">IF('HC by Program-Term'!$Y38="","—",'HC by Program-Term'!F38-'New vs Continuing — Term'!AB38)</f>
        <v>-2</v>
      </c>
      <c r="H155" s="177" t="n">
        <f aca="false">IF('HC by Program-Term'!$Y38="","—",'HC by Program-Term'!G38-'New vs Continuing — Term'!AC38)</f>
        <v>2</v>
      </c>
      <c r="I155" s="177" t="n">
        <f aca="false">IF('HC by Program-Term'!$Y38="","—",'HC by Program-Term'!H38-'New vs Continuing — Term'!AD38)</f>
        <v>9</v>
      </c>
      <c r="J155" s="177" t="n">
        <f aca="false">IF('HC by Program-Term'!$Y38="","—",'HC by Program-Term'!I38-'New vs Continuing — Term'!AE38)</f>
        <v>-1</v>
      </c>
      <c r="K155" s="177" t="n">
        <f aca="false">IF('HC by Program-Term'!$Y38="","—",'HC by Program-Term'!J38-'New vs Continuing — Term'!AF38)</f>
        <v>7</v>
      </c>
      <c r="L155" s="177" t="n">
        <f aca="false">IF('HC by Program-Term'!$Y38="","—",'HC by Program-Term'!K38-'New vs Continuing — Term'!AG38)</f>
        <v>11</v>
      </c>
      <c r="M155" s="177" t="n">
        <f aca="false">IF('HC by Program-Term'!$Y38="","—",'HC by Program-Term'!L38-'New vs Continuing — Term'!AH38)</f>
        <v>3</v>
      </c>
      <c r="N155" s="177" t="n">
        <f aca="false">IF('HC by Program-Term'!$Y38="","—",'HC by Program-Term'!M38-'New vs Continuing — Term'!AI38)</f>
        <v>-1</v>
      </c>
      <c r="O155" s="177" t="n">
        <f aca="false">IF('HC by Program-Term'!$Y38="","—",'HC by Program-Term'!N38-'New vs Continuing — Term'!AJ38)</f>
        <v>18</v>
      </c>
      <c r="P155" s="177" t="n">
        <f aca="false">IF('HC by Program-Term'!$Y38="","—",'HC by Program-Term'!O38-'New vs Continuing — Term'!AK38)</f>
        <v>4</v>
      </c>
      <c r="Q155" s="177" t="n">
        <f aca="false">IF('HC by Program-Term'!$Y38="","—",'HC by Program-Term'!P38-'New vs Continuing — Term'!AL38)</f>
        <v>10</v>
      </c>
      <c r="R155" s="177" t="n">
        <f aca="false">IF('HC by Program-Term'!$Y38="","—",'HC by Program-Term'!Q38-'New vs Continuing — Term'!AM38)</f>
        <v>18</v>
      </c>
      <c r="S155" s="177" t="n">
        <f aca="false">IF('HC by Program-Term'!$Y38="","—",'HC by Program-Term'!R38-'New vs Continuing — Term'!AN38)</f>
        <v>8</v>
      </c>
      <c r="T155" s="177" t="n">
        <f aca="false">IF('HC by Program-Term'!$Y38="","—",'HC by Program-Term'!S38-'New vs Continuing — Term'!AO38)</f>
        <v>6</v>
      </c>
      <c r="U155" s="177" t="n">
        <f aca="false">IF('HC by Program-Term'!$Y38="","—",'HC by Program-Term'!T38-'New vs Continuing — Term'!AP38)</f>
        <v>19</v>
      </c>
      <c r="V155" s="177" t="n">
        <f aca="false">IF('HC by Program-Term'!$Y38="","—",'HC by Program-Term'!U38-'New vs Continuing — Term'!AQ38)</f>
        <v>2</v>
      </c>
      <c r="W155" s="151" t="n">
        <f aca="false">IF('HC by Program-Term'!$Y38="","—",SUM(C155:V155))</f>
        <v>116</v>
      </c>
    </row>
    <row r="156" customFormat="false" ht="14.25" hidden="false" customHeight="false" outlineLevel="0" collapsed="false">
      <c r="A156" s="162" t="str">
        <f aca="false">'Program List'!A34</f>
        <v>M861</v>
      </c>
      <c r="B156" s="163" t="str">
        <f aca="false">'Program List'!B34</f>
        <v>Master of Science in Supply Chain Management</v>
      </c>
      <c r="C156" s="175" t="s">
        <v>282</v>
      </c>
      <c r="D156" s="175" t="n">
        <f aca="false">IF('HC by Program-Term'!$Y39="","—",'HC by Program-Term'!C39-'New vs Continuing — Term'!Y39)</f>
        <v>0</v>
      </c>
      <c r="E156" s="175" t="n">
        <f aca="false">IF('HC by Program-Term'!$Y39="","—",'HC by Program-Term'!D39-'New vs Continuing — Term'!Z39)</f>
        <v>0</v>
      </c>
      <c r="F156" s="175" t="n">
        <f aca="false">IF('HC by Program-Term'!$Y39="","—",'HC by Program-Term'!E39-'New vs Continuing — Term'!AA39)</f>
        <v>0</v>
      </c>
      <c r="G156" s="175" t="n">
        <f aca="false">IF('HC by Program-Term'!$Y39="","—",'HC by Program-Term'!F39-'New vs Continuing — Term'!AB39)</f>
        <v>0</v>
      </c>
      <c r="H156" s="175" t="n">
        <f aca="false">IF('HC by Program-Term'!$Y39="","—",'HC by Program-Term'!G39-'New vs Continuing — Term'!AC39)</f>
        <v>0</v>
      </c>
      <c r="I156" s="175" t="n">
        <f aca="false">IF('HC by Program-Term'!$Y39="","—",'HC by Program-Term'!H39-'New vs Continuing — Term'!AD39)</f>
        <v>0</v>
      </c>
      <c r="J156" s="175" t="n">
        <f aca="false">IF('HC by Program-Term'!$Y39="","—",'HC by Program-Term'!I39-'New vs Continuing — Term'!AE39)</f>
        <v>0</v>
      </c>
      <c r="K156" s="175" t="n">
        <f aca="false">IF('HC by Program-Term'!$Y39="","—",'HC by Program-Term'!J39-'New vs Continuing — Term'!AF39)</f>
        <v>1</v>
      </c>
      <c r="L156" s="175" t="n">
        <f aca="false">IF('HC by Program-Term'!$Y39="","—",'HC by Program-Term'!K39-'New vs Continuing — Term'!AG39)</f>
        <v>5</v>
      </c>
      <c r="M156" s="175" t="n">
        <f aca="false">IF('HC by Program-Term'!$Y39="","—",'HC by Program-Term'!L39-'New vs Continuing — Term'!AH39)</f>
        <v>-2</v>
      </c>
      <c r="N156" s="175" t="n">
        <f aca="false">IF('HC by Program-Term'!$Y39="","—",'HC by Program-Term'!M39-'New vs Continuing — Term'!AI39)</f>
        <v>12</v>
      </c>
      <c r="O156" s="175" t="n">
        <f aca="false">IF('HC by Program-Term'!$Y39="","—",'HC by Program-Term'!N39-'New vs Continuing — Term'!AJ39)</f>
        <v>18</v>
      </c>
      <c r="P156" s="175" t="n">
        <f aca="false">IF('HC by Program-Term'!$Y39="","—",'HC by Program-Term'!O39-'New vs Continuing — Term'!AK39)</f>
        <v>1</v>
      </c>
      <c r="Q156" s="175" t="n">
        <f aca="false">IF('HC by Program-Term'!$Y39="","—",'HC by Program-Term'!P39-'New vs Continuing — Term'!AL39)</f>
        <v>33</v>
      </c>
      <c r="R156" s="175" t="n">
        <f aca="false">IF('HC by Program-Term'!$Y39="","—",'HC by Program-Term'!Q39-'New vs Continuing — Term'!AM39)</f>
        <v>27</v>
      </c>
      <c r="S156" s="175" t="n">
        <f aca="false">IF('HC by Program-Term'!$Y39="","—",'HC by Program-Term'!R39-'New vs Continuing — Term'!AN39)</f>
        <v>-9</v>
      </c>
      <c r="T156" s="175" t="n">
        <f aca="false">IF('HC by Program-Term'!$Y39="","—",'HC by Program-Term'!S39-'New vs Continuing — Term'!AO39)</f>
        <v>26</v>
      </c>
      <c r="U156" s="175" t="n">
        <f aca="false">IF('HC by Program-Term'!$Y39="","—",'HC by Program-Term'!T39-'New vs Continuing — Term'!AP39)</f>
        <v>26</v>
      </c>
      <c r="V156" s="175" t="n">
        <f aca="false">IF('HC by Program-Term'!$Y39="","—",'HC by Program-Term'!U39-'New vs Continuing — Term'!AQ39)</f>
        <v>-1</v>
      </c>
      <c r="W156" s="147" t="n">
        <f aca="false">IF('HC by Program-Term'!$Y39="","—",SUM(C156:V156))</f>
        <v>137</v>
      </c>
    </row>
    <row r="157" customFormat="false" ht="14.25" hidden="false" customHeight="false" outlineLevel="0" collapsed="false">
      <c r="A157" s="165" t="str">
        <f aca="false">'Program List'!A35</f>
        <v>M869</v>
      </c>
      <c r="B157" s="166" t="str">
        <f aca="false">'Program List'!B35</f>
        <v>Master of Science in Sustainability - Energy and Materials Mgmt</v>
      </c>
      <c r="C157" s="177" t="s">
        <v>282</v>
      </c>
      <c r="D157" s="177" t="n">
        <f aca="false">IF('HC by Program-Term'!$Y40="","—",'HC by Program-Term'!C40-'New vs Continuing — Term'!Y40)</f>
        <v>0</v>
      </c>
      <c r="E157" s="177" t="n">
        <f aca="false">IF('HC by Program-Term'!$Y40="","—",'HC by Program-Term'!D40-'New vs Continuing — Term'!Z40)</f>
        <v>0</v>
      </c>
      <c r="F157" s="177" t="n">
        <f aca="false">IF('HC by Program-Term'!$Y40="","—",'HC by Program-Term'!E40-'New vs Continuing — Term'!AA40)</f>
        <v>0</v>
      </c>
      <c r="G157" s="177" t="n">
        <f aca="false">IF('HC by Program-Term'!$Y40="","—",'HC by Program-Term'!F40-'New vs Continuing — Term'!AB40)</f>
        <v>0</v>
      </c>
      <c r="H157" s="177" t="n">
        <f aca="false">IF('HC by Program-Term'!$Y40="","—",'HC by Program-Term'!G40-'New vs Continuing — Term'!AC40)</f>
        <v>0</v>
      </c>
      <c r="I157" s="177" t="n">
        <f aca="false">IF('HC by Program-Term'!$Y40="","—",'HC by Program-Term'!H40-'New vs Continuing — Term'!AD40)</f>
        <v>0</v>
      </c>
      <c r="J157" s="177" t="n">
        <f aca="false">IF('HC by Program-Term'!$Y40="","—",'HC by Program-Term'!I40-'New vs Continuing — Term'!AE40)</f>
        <v>0</v>
      </c>
      <c r="K157" s="177" t="n">
        <f aca="false">IF('HC by Program-Term'!$Y40="","—",'HC by Program-Term'!J40-'New vs Continuing — Term'!AF40)</f>
        <v>0</v>
      </c>
      <c r="L157" s="177" t="n">
        <f aca="false">IF('HC by Program-Term'!$Y40="","—",'HC by Program-Term'!K40-'New vs Continuing — Term'!AG40)</f>
        <v>0</v>
      </c>
      <c r="M157" s="177" t="n">
        <f aca="false">IF('HC by Program-Term'!$Y40="","—",'HC by Program-Term'!L40-'New vs Continuing — Term'!AH40)</f>
        <v>0</v>
      </c>
      <c r="N157" s="177" t="n">
        <f aca="false">IF('HC by Program-Term'!$Y40="","—",'HC by Program-Term'!M40-'New vs Continuing — Term'!AI40)</f>
        <v>2</v>
      </c>
      <c r="O157" s="177" t="n">
        <f aca="false">IF('HC by Program-Term'!$Y40="","—",'HC by Program-Term'!N40-'New vs Continuing — Term'!AJ40)</f>
        <v>8</v>
      </c>
      <c r="P157" s="177" t="n">
        <f aca="false">IF('HC by Program-Term'!$Y40="","—",'HC by Program-Term'!O40-'New vs Continuing — Term'!AK40)</f>
        <v>2</v>
      </c>
      <c r="Q157" s="177" t="n">
        <f aca="false">IF('HC by Program-Term'!$Y40="","—",'HC by Program-Term'!P40-'New vs Continuing — Term'!AL40)</f>
        <v>5</v>
      </c>
      <c r="R157" s="177" t="n">
        <f aca="false">IF('HC by Program-Term'!$Y40="","—",'HC by Program-Term'!Q40-'New vs Continuing — Term'!AM40)</f>
        <v>16</v>
      </c>
      <c r="S157" s="177" t="n">
        <f aca="false">IF('HC by Program-Term'!$Y40="","—",'HC by Program-Term'!R40-'New vs Continuing — Term'!AN40)</f>
        <v>5</v>
      </c>
      <c r="T157" s="177" t="n">
        <f aca="false">IF('HC by Program-Term'!$Y40="","—",'HC by Program-Term'!S40-'New vs Continuing — Term'!AO40)</f>
        <v>10</v>
      </c>
      <c r="U157" s="177" t="n">
        <f aca="false">IF('HC by Program-Term'!$Y40="","—",'HC by Program-Term'!T40-'New vs Continuing — Term'!AP40)</f>
        <v>29</v>
      </c>
      <c r="V157" s="177" t="n">
        <f aca="false">IF('HC by Program-Term'!$Y40="","—",'HC by Program-Term'!U40-'New vs Continuing — Term'!AQ40)</f>
        <v>12</v>
      </c>
      <c r="W157" s="151" t="n">
        <f aca="false">IF('HC by Program-Term'!$Y40="","—",SUM(C157:V157))</f>
        <v>89</v>
      </c>
    </row>
    <row r="158" customFormat="false" ht="14.25" hidden="false" customHeight="false" outlineLevel="0" collapsed="false">
      <c r="A158" s="162" t="str">
        <f aca="false">'Program List'!A36</f>
        <v>M867</v>
      </c>
      <c r="B158" s="163" t="str">
        <f aca="false">'Program List'!B36</f>
        <v>Master of Science in Sustainable Architecture</v>
      </c>
      <c r="C158" s="175" t="s">
        <v>282</v>
      </c>
      <c r="D158" s="175" t="n">
        <f aca="false">IF('HC by Program-Term'!$Y41="","—",'HC by Program-Term'!C41-'New vs Continuing — Term'!Y41)</f>
        <v>0</v>
      </c>
      <c r="E158" s="175" t="n">
        <f aca="false">IF('HC by Program-Term'!$Y41="","—",'HC by Program-Term'!D41-'New vs Continuing — Term'!Z41)</f>
        <v>0</v>
      </c>
      <c r="F158" s="175" t="n">
        <f aca="false">IF('HC by Program-Term'!$Y41="","—",'HC by Program-Term'!E41-'New vs Continuing — Term'!AA41)</f>
        <v>0</v>
      </c>
      <c r="G158" s="175" t="n">
        <f aca="false">IF('HC by Program-Term'!$Y41="","—",'HC by Program-Term'!F41-'New vs Continuing — Term'!AB41)</f>
        <v>0</v>
      </c>
      <c r="H158" s="175" t="n">
        <f aca="false">IF('HC by Program-Term'!$Y41="","—",'HC by Program-Term'!G41-'New vs Continuing — Term'!AC41)</f>
        <v>0</v>
      </c>
      <c r="I158" s="175" t="n">
        <f aca="false">IF('HC by Program-Term'!$Y41="","—",'HC by Program-Term'!H41-'New vs Continuing — Term'!AD41)</f>
        <v>0</v>
      </c>
      <c r="J158" s="175" t="n">
        <f aca="false">IF('HC by Program-Term'!$Y41="","—",'HC by Program-Term'!I41-'New vs Continuing — Term'!AE41)</f>
        <v>0</v>
      </c>
      <c r="K158" s="175" t="n">
        <f aca="false">IF('HC by Program-Term'!$Y41="","—",'HC by Program-Term'!J41-'New vs Continuing — Term'!AF41)</f>
        <v>0</v>
      </c>
      <c r="L158" s="175" t="n">
        <f aca="false">IF('HC by Program-Term'!$Y41="","—",'HC by Program-Term'!K41-'New vs Continuing — Term'!AG41)</f>
        <v>0</v>
      </c>
      <c r="M158" s="175" t="n">
        <f aca="false">IF('HC by Program-Term'!$Y41="","—",'HC by Program-Term'!L41-'New vs Continuing — Term'!AH41)</f>
        <v>0</v>
      </c>
      <c r="N158" s="175" t="n">
        <f aca="false">IF('HC by Program-Term'!$Y41="","—",'HC by Program-Term'!M41-'New vs Continuing — Term'!AI41)</f>
        <v>0</v>
      </c>
      <c r="O158" s="175" t="n">
        <f aca="false">IF('HC by Program-Term'!$Y41="","—",'HC by Program-Term'!N41-'New vs Continuing — Term'!AJ41)</f>
        <v>7</v>
      </c>
      <c r="P158" s="175" t="n">
        <f aca="false">IF('HC by Program-Term'!$Y41="","—",'HC by Program-Term'!O41-'New vs Continuing — Term'!AK41)</f>
        <v>-2</v>
      </c>
      <c r="Q158" s="175" t="n">
        <f aca="false">IF('HC by Program-Term'!$Y41="","—",'HC by Program-Term'!P41-'New vs Continuing — Term'!AL41)</f>
        <v>6</v>
      </c>
      <c r="R158" s="175" t="n">
        <f aca="false">IF('HC by Program-Term'!$Y41="","—",'HC by Program-Term'!Q41-'New vs Continuing — Term'!AM41)</f>
        <v>17</v>
      </c>
      <c r="S158" s="175" t="n">
        <f aca="false">IF('HC by Program-Term'!$Y41="","—",'HC by Program-Term'!R41-'New vs Continuing — Term'!AN41)</f>
        <v>-1</v>
      </c>
      <c r="T158" s="175" t="n">
        <f aca="false">IF('HC by Program-Term'!$Y41="","—",'HC by Program-Term'!S41-'New vs Continuing — Term'!AO41)</f>
        <v>13</v>
      </c>
      <c r="U158" s="175" t="n">
        <f aca="false">IF('HC by Program-Term'!$Y41="","—",'HC by Program-Term'!T41-'New vs Continuing — Term'!AP41)</f>
        <v>13</v>
      </c>
      <c r="V158" s="175" t="n">
        <f aca="false">IF('HC by Program-Term'!$Y41="","—",'HC by Program-Term'!U41-'New vs Continuing — Term'!AQ41)</f>
        <v>-1</v>
      </c>
      <c r="W158" s="147" t="n">
        <f aca="false">IF('HC by Program-Term'!$Y41="","—",SUM(C158:V158))</f>
        <v>52</v>
      </c>
    </row>
    <row r="159" customFormat="false" ht="14.25" hidden="false" customHeight="false" outlineLevel="0" collapsed="false">
      <c r="A159" s="165" t="str">
        <f aca="false">'Program List'!A37</f>
        <v>M844</v>
      </c>
      <c r="B159" s="166" t="str">
        <f aca="false">'Program List'!B37</f>
        <v>Master of Social Work</v>
      </c>
      <c r="C159" s="177" t="s">
        <v>282</v>
      </c>
      <c r="D159" s="177" t="n">
        <f aca="false">IF('HC by Program-Term'!$Y42="","—",'HC by Program-Term'!C42-'New vs Continuing — Term'!Y42)</f>
        <v>0</v>
      </c>
      <c r="E159" s="177" t="n">
        <f aca="false">IF('HC by Program-Term'!$Y42="","—",'HC by Program-Term'!D42-'New vs Continuing — Term'!Z42)</f>
        <v>10</v>
      </c>
      <c r="F159" s="177" t="n">
        <f aca="false">IF('HC by Program-Term'!$Y42="","—",'HC by Program-Term'!E42-'New vs Continuing — Term'!AA42)</f>
        <v>18</v>
      </c>
      <c r="G159" s="177" t="n">
        <f aca="false">IF('HC by Program-Term'!$Y42="","—",'HC by Program-Term'!F42-'New vs Continuing — Term'!AB42)</f>
        <v>-5</v>
      </c>
      <c r="H159" s="177" t="n">
        <f aca="false">IF('HC by Program-Term'!$Y42="","—",'HC by Program-Term'!G42-'New vs Continuing — Term'!AC42)</f>
        <v>25</v>
      </c>
      <c r="I159" s="177" t="n">
        <f aca="false">IF('HC by Program-Term'!$Y42="","—",'HC by Program-Term'!H42-'New vs Continuing — Term'!AD42)</f>
        <v>55</v>
      </c>
      <c r="J159" s="177" t="n">
        <f aca="false">IF('HC by Program-Term'!$Y42="","—",'HC by Program-Term'!I42-'New vs Continuing — Term'!AE42)</f>
        <v>-6</v>
      </c>
      <c r="K159" s="177" t="n">
        <f aca="false">IF('HC by Program-Term'!$Y42="","—",'HC by Program-Term'!J42-'New vs Continuing — Term'!AF42)</f>
        <v>64</v>
      </c>
      <c r="L159" s="177" t="n">
        <f aca="false">IF('HC by Program-Term'!$Y42="","—",'HC by Program-Term'!K42-'New vs Continuing — Term'!AG42)</f>
        <v>103</v>
      </c>
      <c r="M159" s="177" t="n">
        <f aca="false">IF('HC by Program-Term'!$Y42="","—",'HC by Program-Term'!L42-'New vs Continuing — Term'!AH42)</f>
        <v>-1</v>
      </c>
      <c r="N159" s="177" t="n">
        <f aca="false">IF('HC by Program-Term'!$Y42="","—",'HC by Program-Term'!M42-'New vs Continuing — Term'!AI42)</f>
        <v>67</v>
      </c>
      <c r="O159" s="177" t="n">
        <f aca="false">IF('HC by Program-Term'!$Y42="","—",'HC by Program-Term'!N42-'New vs Continuing — Term'!AJ42)</f>
        <v>108</v>
      </c>
      <c r="P159" s="177" t="n">
        <f aca="false">IF('HC by Program-Term'!$Y42="","—",'HC by Program-Term'!O42-'New vs Continuing — Term'!AK42)</f>
        <v>4</v>
      </c>
      <c r="Q159" s="177" t="n">
        <f aca="false">IF('HC by Program-Term'!$Y42="","—",'HC by Program-Term'!P42-'New vs Continuing — Term'!AL42)</f>
        <v>94</v>
      </c>
      <c r="R159" s="177" t="n">
        <f aca="false">IF('HC by Program-Term'!$Y42="","—",'HC by Program-Term'!Q42-'New vs Continuing — Term'!AM42)</f>
        <v>66</v>
      </c>
      <c r="S159" s="177" t="n">
        <f aca="false">IF('HC by Program-Term'!$Y42="","—",'HC by Program-Term'!R42-'New vs Continuing — Term'!AN42)</f>
        <v>26</v>
      </c>
      <c r="T159" s="177" t="n">
        <f aca="false">IF('HC by Program-Term'!$Y42="","—",'HC by Program-Term'!S42-'New vs Continuing — Term'!AO42)</f>
        <v>37</v>
      </c>
      <c r="U159" s="177" t="n">
        <f aca="false">IF('HC by Program-Term'!$Y42="","—",'HC by Program-Term'!T42-'New vs Continuing — Term'!AP42)</f>
        <v>50</v>
      </c>
      <c r="V159" s="177" t="n">
        <f aca="false">IF('HC by Program-Term'!$Y42="","—",'HC by Program-Term'!U42-'New vs Continuing — Term'!AQ42)</f>
        <v>62</v>
      </c>
      <c r="W159" s="151" t="n">
        <f aca="false">IF('HC by Program-Term'!$Y42="","—",SUM(C159:V159))</f>
        <v>777</v>
      </c>
    </row>
    <row r="160" customFormat="false" ht="14.25" hidden="false" customHeight="false" outlineLevel="0" collapsed="false">
      <c r="A160" s="162" t="str">
        <f aca="false">'Program List'!A38</f>
        <v>1237Q</v>
      </c>
      <c r="B160" s="163" t="str">
        <f aca="false">'Program List'!B38</f>
        <v>Masters in Public Health</v>
      </c>
      <c r="C160" s="175" t="s">
        <v>282</v>
      </c>
      <c r="D160" s="175" t="str">
        <f aca="false">IF('HC by Program-Term'!$Y43="","—",'HC by Program-Term'!C43-'New vs Continuing — Term'!Y43)</f>
        <v>—</v>
      </c>
      <c r="E160" s="175" t="str">
        <f aca="false">IF('HC by Program-Term'!$Y43="","—",'HC by Program-Term'!D43-'New vs Continuing — Term'!Z43)</f>
        <v>—</v>
      </c>
      <c r="F160" s="175" t="str">
        <f aca="false">IF('HC by Program-Term'!$Y43="","—",'HC by Program-Term'!E43-'New vs Continuing — Term'!AA43)</f>
        <v>—</v>
      </c>
      <c r="G160" s="175" t="str">
        <f aca="false">IF('HC by Program-Term'!$Y43="","—",'HC by Program-Term'!F43-'New vs Continuing — Term'!AB43)</f>
        <v>—</v>
      </c>
      <c r="H160" s="175" t="str">
        <f aca="false">IF('HC by Program-Term'!$Y43="","—",'HC by Program-Term'!G43-'New vs Continuing — Term'!AC43)</f>
        <v>—</v>
      </c>
      <c r="I160" s="175" t="str">
        <f aca="false">IF('HC by Program-Term'!$Y43="","—",'HC by Program-Term'!H43-'New vs Continuing — Term'!AD43)</f>
        <v>—</v>
      </c>
      <c r="J160" s="175" t="str">
        <f aca="false">IF('HC by Program-Term'!$Y43="","—",'HC by Program-Term'!I43-'New vs Continuing — Term'!AE43)</f>
        <v>—</v>
      </c>
      <c r="K160" s="175" t="str">
        <f aca="false">IF('HC by Program-Term'!$Y43="","—",'HC by Program-Term'!J43-'New vs Continuing — Term'!AF43)</f>
        <v>—</v>
      </c>
      <c r="L160" s="175" t="str">
        <f aca="false">IF('HC by Program-Term'!$Y43="","—",'HC by Program-Term'!K43-'New vs Continuing — Term'!AG43)</f>
        <v>—</v>
      </c>
      <c r="M160" s="175" t="str">
        <f aca="false">IF('HC by Program-Term'!$Y43="","—",'HC by Program-Term'!L43-'New vs Continuing — Term'!AH43)</f>
        <v>—</v>
      </c>
      <c r="N160" s="175" t="str">
        <f aca="false">IF('HC by Program-Term'!$Y43="","—",'HC by Program-Term'!M43-'New vs Continuing — Term'!AI43)</f>
        <v>—</v>
      </c>
      <c r="O160" s="175" t="str">
        <f aca="false">IF('HC by Program-Term'!$Y43="","—",'HC by Program-Term'!N43-'New vs Continuing — Term'!AJ43)</f>
        <v>—</v>
      </c>
      <c r="P160" s="175" t="str">
        <f aca="false">IF('HC by Program-Term'!$Y43="","—",'HC by Program-Term'!O43-'New vs Continuing — Term'!AK43)</f>
        <v>—</v>
      </c>
      <c r="Q160" s="175" t="str">
        <f aca="false">IF('HC by Program-Term'!$Y43="","—",'HC by Program-Term'!P43-'New vs Continuing — Term'!AL43)</f>
        <v>—</v>
      </c>
      <c r="R160" s="175" t="str">
        <f aca="false">IF('HC by Program-Term'!$Y43="","—",'HC by Program-Term'!Q43-'New vs Continuing — Term'!AM43)</f>
        <v>—</v>
      </c>
      <c r="S160" s="175" t="str">
        <f aca="false">IF('HC by Program-Term'!$Y43="","—",'HC by Program-Term'!R43-'New vs Continuing — Term'!AN43)</f>
        <v>—</v>
      </c>
      <c r="T160" s="175" t="str">
        <f aca="false">IF('HC by Program-Term'!$Y43="","—",'HC by Program-Term'!S43-'New vs Continuing — Term'!AO43)</f>
        <v>—</v>
      </c>
      <c r="U160" s="175" t="str">
        <f aca="false">IF('HC by Program-Term'!$Y43="","—",'HC by Program-Term'!T43-'New vs Continuing — Term'!AP43)</f>
        <v>—</v>
      </c>
      <c r="V160" s="175" t="str">
        <f aca="false">IF('HC by Program-Term'!$Y43="","—",'HC by Program-Term'!U43-'New vs Continuing — Term'!AQ43)</f>
        <v>—</v>
      </c>
      <c r="W160" s="147" t="str">
        <f aca="false">IF('HC by Program-Term'!$Y43="","—",SUM(C160:V160))</f>
        <v>—</v>
      </c>
    </row>
    <row r="161" customFormat="false" ht="14.25" hidden="false" customHeight="false" outlineLevel="0" collapsed="false">
      <c r="A161" s="165" t="str">
        <f aca="false">'Program List'!A39</f>
        <v>M355</v>
      </c>
      <c r="B161" s="166" t="str">
        <f aca="false">'Program List'!B39</f>
        <v>Online LL.M. Energy and Natural Resources</v>
      </c>
      <c r="C161" s="177" t="s">
        <v>282</v>
      </c>
      <c r="D161" s="177" t="n">
        <f aca="false">IF('HC by Program-Term'!$Y44="","—",'HC by Program-Term'!C44-'New vs Continuing — Term'!Y44)</f>
        <v>0</v>
      </c>
      <c r="E161" s="177" t="n">
        <f aca="false">IF('HC by Program-Term'!$Y44="","—",'HC by Program-Term'!D44-'New vs Continuing — Term'!Z44)</f>
        <v>0</v>
      </c>
      <c r="F161" s="177" t="n">
        <f aca="false">IF('HC by Program-Term'!$Y44="","—",'HC by Program-Term'!E44-'New vs Continuing — Term'!AA44)</f>
        <v>0</v>
      </c>
      <c r="G161" s="177" t="n">
        <f aca="false">IF('HC by Program-Term'!$Y44="","—",'HC by Program-Term'!F44-'New vs Continuing — Term'!AB44)</f>
        <v>0</v>
      </c>
      <c r="H161" s="177" t="n">
        <f aca="false">IF('HC by Program-Term'!$Y44="","—",'HC by Program-Term'!G44-'New vs Continuing — Term'!AC44)</f>
        <v>0</v>
      </c>
      <c r="I161" s="177" t="n">
        <f aca="false">IF('HC by Program-Term'!$Y44="","—",'HC by Program-Term'!H44-'New vs Continuing — Term'!AD44)</f>
        <v>2</v>
      </c>
      <c r="J161" s="177" t="n">
        <f aca="false">IF('HC by Program-Term'!$Y44="","—",'HC by Program-Term'!I44-'New vs Continuing — Term'!AE44)</f>
        <v>0</v>
      </c>
      <c r="K161" s="177" t="n">
        <f aca="false">IF('HC by Program-Term'!$Y44="","—",'HC by Program-Term'!J44-'New vs Continuing — Term'!AF44)</f>
        <v>2</v>
      </c>
      <c r="L161" s="177" t="n">
        <f aca="false">IF('HC by Program-Term'!$Y44="","—",'HC by Program-Term'!K44-'New vs Continuing — Term'!AG44)</f>
        <v>0</v>
      </c>
      <c r="M161" s="177" t="n">
        <f aca="false">IF('HC by Program-Term'!$Y44="","—",'HC by Program-Term'!L44-'New vs Continuing — Term'!AH44)</f>
        <v>0</v>
      </c>
      <c r="N161" s="177" t="n">
        <f aca="false">IF('HC by Program-Term'!$Y44="","—",'HC by Program-Term'!M44-'New vs Continuing — Term'!AI44)</f>
        <v>1</v>
      </c>
      <c r="O161" s="177" t="n">
        <f aca="false">IF('HC by Program-Term'!$Y44="","—",'HC by Program-Term'!N44-'New vs Continuing — Term'!AJ44)</f>
        <v>1</v>
      </c>
      <c r="P161" s="177" t="n">
        <f aca="false">IF('HC by Program-Term'!$Y44="","—",'HC by Program-Term'!O44-'New vs Continuing — Term'!AK44)</f>
        <v>0</v>
      </c>
      <c r="Q161" s="177" t="n">
        <f aca="false">IF('HC by Program-Term'!$Y44="","—",'HC by Program-Term'!P44-'New vs Continuing — Term'!AL44)</f>
        <v>3</v>
      </c>
      <c r="R161" s="177" t="n">
        <f aca="false">IF('HC by Program-Term'!$Y44="","—",'HC by Program-Term'!Q44-'New vs Continuing — Term'!AM44)</f>
        <v>1</v>
      </c>
      <c r="S161" s="177" t="n">
        <f aca="false">IF('HC by Program-Term'!$Y44="","—",'HC by Program-Term'!R44-'New vs Continuing — Term'!AN44)</f>
        <v>0</v>
      </c>
      <c r="T161" s="177" t="n">
        <f aca="false">IF('HC by Program-Term'!$Y44="","—",'HC by Program-Term'!S44-'New vs Continuing — Term'!AO44)</f>
        <v>2</v>
      </c>
      <c r="U161" s="177" t="n">
        <f aca="false">IF('HC by Program-Term'!$Y44="","—",'HC by Program-Term'!T44-'New vs Continuing — Term'!AP44)</f>
        <v>1</v>
      </c>
      <c r="V161" s="177" t="n">
        <f aca="false">IF('HC by Program-Term'!$Y44="","—",'HC by Program-Term'!U44-'New vs Continuing — Term'!AQ44)</f>
        <v>1</v>
      </c>
      <c r="W161" s="151" t="n">
        <f aca="false">IF('HC by Program-Term'!$Y44="","—",SUM(C161:V161))</f>
        <v>14</v>
      </c>
    </row>
    <row r="162" customFormat="false" ht="14.25" hidden="false" customHeight="false" outlineLevel="0" collapsed="false">
      <c r="A162" s="162" t="str">
        <f aca="false">'Program List'!A40</f>
        <v>M504</v>
      </c>
      <c r="B162" s="163" t="str">
        <f aca="false">'Program List'!B40</f>
        <v>Online LL.M. Healthcare Law</v>
      </c>
      <c r="C162" s="175" t="s">
        <v>282</v>
      </c>
      <c r="D162" s="175" t="n">
        <f aca="false">IF('HC by Program-Term'!$Y45="","—",'HC by Program-Term'!C45-'New vs Continuing — Term'!Y45)</f>
        <v>0</v>
      </c>
      <c r="E162" s="175" t="n">
        <f aca="false">IF('HC by Program-Term'!$Y45="","—",'HC by Program-Term'!D45-'New vs Continuing — Term'!Z45)</f>
        <v>0</v>
      </c>
      <c r="F162" s="175" t="n">
        <f aca="false">IF('HC by Program-Term'!$Y45="","—",'HC by Program-Term'!E45-'New vs Continuing — Term'!AA45)</f>
        <v>0</v>
      </c>
      <c r="G162" s="175" t="n">
        <f aca="false">IF('HC by Program-Term'!$Y45="","—",'HC by Program-Term'!F45-'New vs Continuing — Term'!AB45)</f>
        <v>0</v>
      </c>
      <c r="H162" s="175" t="n">
        <f aca="false">IF('HC by Program-Term'!$Y45="","—",'HC by Program-Term'!G45-'New vs Continuing — Term'!AC45)</f>
        <v>1</v>
      </c>
      <c r="I162" s="175" t="n">
        <f aca="false">IF('HC by Program-Term'!$Y45="","—",'HC by Program-Term'!H45-'New vs Continuing — Term'!AD45)</f>
        <v>0</v>
      </c>
      <c r="J162" s="175" t="n">
        <f aca="false">IF('HC by Program-Term'!$Y45="","—",'HC by Program-Term'!I45-'New vs Continuing — Term'!AE45)</f>
        <v>2</v>
      </c>
      <c r="K162" s="175" t="n">
        <f aca="false">IF('HC by Program-Term'!$Y45="","—",'HC by Program-Term'!J45-'New vs Continuing — Term'!AF45)</f>
        <v>1</v>
      </c>
      <c r="L162" s="175" t="n">
        <f aca="false">IF('HC by Program-Term'!$Y45="","—",'HC by Program-Term'!K45-'New vs Continuing — Term'!AG45)</f>
        <v>1</v>
      </c>
      <c r="M162" s="175" t="n">
        <f aca="false">IF('HC by Program-Term'!$Y45="","—",'HC by Program-Term'!L45-'New vs Continuing — Term'!AH45)</f>
        <v>0</v>
      </c>
      <c r="N162" s="175" t="n">
        <f aca="false">IF('HC by Program-Term'!$Y45="","—",'HC by Program-Term'!M45-'New vs Continuing — Term'!AI45)</f>
        <v>2</v>
      </c>
      <c r="O162" s="175" t="n">
        <f aca="false">IF('HC by Program-Term'!$Y45="","—",'HC by Program-Term'!N45-'New vs Continuing — Term'!AJ45)</f>
        <v>1</v>
      </c>
      <c r="P162" s="175" t="n">
        <f aca="false">IF('HC by Program-Term'!$Y45="","—",'HC by Program-Term'!O45-'New vs Continuing — Term'!AK45)</f>
        <v>2</v>
      </c>
      <c r="Q162" s="175" t="n">
        <f aca="false">IF('HC by Program-Term'!$Y45="","—",'HC by Program-Term'!P45-'New vs Continuing — Term'!AL45)</f>
        <v>0</v>
      </c>
      <c r="R162" s="175" t="n">
        <f aca="false">IF('HC by Program-Term'!$Y45="","—",'HC by Program-Term'!Q45-'New vs Continuing — Term'!AM45)</f>
        <v>0</v>
      </c>
      <c r="S162" s="175" t="n">
        <f aca="false">IF('HC by Program-Term'!$Y45="","—",'HC by Program-Term'!R45-'New vs Continuing — Term'!AN45)</f>
        <v>1</v>
      </c>
      <c r="T162" s="175" t="n">
        <f aca="false">IF('HC by Program-Term'!$Y45="","—",'HC by Program-Term'!S45-'New vs Continuing — Term'!AO45)</f>
        <v>0</v>
      </c>
      <c r="U162" s="175" t="n">
        <f aca="false">IF('HC by Program-Term'!$Y45="","—",'HC by Program-Term'!T45-'New vs Continuing — Term'!AP45)</f>
        <v>3</v>
      </c>
      <c r="V162" s="175" t="n">
        <f aca="false">IF('HC by Program-Term'!$Y45="","—",'HC by Program-Term'!U45-'New vs Continuing — Term'!AQ45)</f>
        <v>-1</v>
      </c>
      <c r="W162" s="147" t="n">
        <f aca="false">IF('HC by Program-Term'!$Y45="","—",SUM(C162:V162))</f>
        <v>13</v>
      </c>
    </row>
    <row r="163" customFormat="false" ht="14.25" hidden="false" customHeight="false" outlineLevel="0" collapsed="false">
      <c r="A163" s="165" t="str">
        <f aca="false">'Program List'!A41</f>
        <v>M526</v>
      </c>
      <c r="B163" s="166" t="str">
        <f aca="false">'Program List'!B41</f>
        <v>Online LL.M. Indigenous Peoples Law</v>
      </c>
      <c r="C163" s="177" t="s">
        <v>282</v>
      </c>
      <c r="D163" s="177" t="n">
        <f aca="false">IF('HC by Program-Term'!$Y46="","—",'HC by Program-Term'!C46-'New vs Continuing — Term'!Y46)</f>
        <v>0</v>
      </c>
      <c r="E163" s="177" t="n">
        <f aca="false">IF('HC by Program-Term'!$Y46="","—",'HC by Program-Term'!D46-'New vs Continuing — Term'!Z46)</f>
        <v>0</v>
      </c>
      <c r="F163" s="177" t="n">
        <f aca="false">IF('HC by Program-Term'!$Y46="","—",'HC by Program-Term'!E46-'New vs Continuing — Term'!AA46)</f>
        <v>0</v>
      </c>
      <c r="G163" s="177" t="n">
        <f aca="false">IF('HC by Program-Term'!$Y46="","—",'HC by Program-Term'!F46-'New vs Continuing — Term'!AB46)</f>
        <v>2</v>
      </c>
      <c r="H163" s="177" t="n">
        <f aca="false">IF('HC by Program-Term'!$Y46="","—",'HC by Program-Term'!G46-'New vs Continuing — Term'!AC46)</f>
        <v>3</v>
      </c>
      <c r="I163" s="177" t="n">
        <f aca="false">IF('HC by Program-Term'!$Y46="","—",'HC by Program-Term'!H46-'New vs Continuing — Term'!AD46)</f>
        <v>1</v>
      </c>
      <c r="J163" s="177" t="n">
        <f aca="false">IF('HC by Program-Term'!$Y46="","—",'HC by Program-Term'!I46-'New vs Continuing — Term'!AE46)</f>
        <v>0</v>
      </c>
      <c r="K163" s="177" t="n">
        <f aca="false">IF('HC by Program-Term'!$Y46="","—",'HC by Program-Term'!J46-'New vs Continuing — Term'!AF46)</f>
        <v>2</v>
      </c>
      <c r="L163" s="177" t="n">
        <f aca="false">IF('HC by Program-Term'!$Y46="","—",'HC by Program-Term'!K46-'New vs Continuing — Term'!AG46)</f>
        <v>6</v>
      </c>
      <c r="M163" s="177" t="n">
        <f aca="false">IF('HC by Program-Term'!$Y46="","—",'HC by Program-Term'!L46-'New vs Continuing — Term'!AH46)</f>
        <v>-1</v>
      </c>
      <c r="N163" s="177" t="n">
        <f aca="false">IF('HC by Program-Term'!$Y46="","—",'HC by Program-Term'!M46-'New vs Continuing — Term'!AI46)</f>
        <v>0</v>
      </c>
      <c r="O163" s="177" t="n">
        <f aca="false">IF('HC by Program-Term'!$Y46="","—",'HC by Program-Term'!N46-'New vs Continuing — Term'!AJ46)</f>
        <v>2</v>
      </c>
      <c r="P163" s="177" t="n">
        <f aca="false">IF('HC by Program-Term'!$Y46="","—",'HC by Program-Term'!O46-'New vs Continuing — Term'!AK46)</f>
        <v>0</v>
      </c>
      <c r="Q163" s="177" t="n">
        <f aca="false">IF('HC by Program-Term'!$Y46="","—",'HC by Program-Term'!P46-'New vs Continuing — Term'!AL46)</f>
        <v>1</v>
      </c>
      <c r="R163" s="177" t="n">
        <f aca="false">IF('HC by Program-Term'!$Y46="","—",'HC by Program-Term'!Q46-'New vs Continuing — Term'!AM46)</f>
        <v>7</v>
      </c>
      <c r="S163" s="177" t="n">
        <f aca="false">IF('HC by Program-Term'!$Y46="","—",'HC by Program-Term'!R46-'New vs Continuing — Term'!AN46)</f>
        <v>-1</v>
      </c>
      <c r="T163" s="177" t="n">
        <f aca="false">IF('HC by Program-Term'!$Y46="","—",'HC by Program-Term'!S46-'New vs Continuing — Term'!AO46)</f>
        <v>4</v>
      </c>
      <c r="U163" s="177" t="n">
        <f aca="false">IF('HC by Program-Term'!$Y46="","—",'HC by Program-Term'!T46-'New vs Continuing — Term'!AP46)</f>
        <v>1</v>
      </c>
      <c r="V163" s="177" t="n">
        <f aca="false">IF('HC by Program-Term'!$Y46="","—",'HC by Program-Term'!U46-'New vs Continuing — Term'!AQ46)</f>
        <v>2</v>
      </c>
      <c r="W163" s="151" t="n">
        <f aca="false">IF('HC by Program-Term'!$Y46="","—",SUM(C163:V163))</f>
        <v>29</v>
      </c>
    </row>
    <row r="164" customFormat="false" ht="14.25" hidden="false" customHeight="false" outlineLevel="0" collapsed="false">
      <c r="A164" s="162" t="str">
        <f aca="false">'Program List'!A42</f>
        <v>M592</v>
      </c>
      <c r="B164" s="163" t="str">
        <f aca="false">'Program List'!B42</f>
        <v>Online LL.M. International Business</v>
      </c>
      <c r="C164" s="175" t="s">
        <v>282</v>
      </c>
      <c r="D164" s="175" t="n">
        <f aca="false">IF('HC by Program-Term'!$Y47="","—",'HC by Program-Term'!C47-'New vs Continuing — Term'!Y47)</f>
        <v>0</v>
      </c>
      <c r="E164" s="175" t="n">
        <f aca="false">IF('HC by Program-Term'!$Y47="","—",'HC by Program-Term'!D47-'New vs Continuing — Term'!Z47)</f>
        <v>0</v>
      </c>
      <c r="F164" s="175" t="n">
        <f aca="false">IF('HC by Program-Term'!$Y47="","—",'HC by Program-Term'!E47-'New vs Continuing — Term'!AA47)</f>
        <v>0</v>
      </c>
      <c r="G164" s="175" t="n">
        <f aca="false">IF('HC by Program-Term'!$Y47="","—",'HC by Program-Term'!F47-'New vs Continuing — Term'!AB47)</f>
        <v>0</v>
      </c>
      <c r="H164" s="175" t="n">
        <f aca="false">IF('HC by Program-Term'!$Y47="","—",'HC by Program-Term'!G47-'New vs Continuing — Term'!AC47)</f>
        <v>0</v>
      </c>
      <c r="I164" s="175" t="n">
        <f aca="false">IF('HC by Program-Term'!$Y47="","—",'HC by Program-Term'!H47-'New vs Continuing — Term'!AD47)</f>
        <v>0</v>
      </c>
      <c r="J164" s="175" t="n">
        <f aca="false">IF('HC by Program-Term'!$Y47="","—",'HC by Program-Term'!I47-'New vs Continuing — Term'!AE47)</f>
        <v>0</v>
      </c>
      <c r="K164" s="175" t="n">
        <f aca="false">IF('HC by Program-Term'!$Y47="","—",'HC by Program-Term'!J47-'New vs Continuing — Term'!AF47)</f>
        <v>0</v>
      </c>
      <c r="L164" s="175" t="n">
        <f aca="false">IF('HC by Program-Term'!$Y47="","—",'HC by Program-Term'!K47-'New vs Continuing — Term'!AG47)</f>
        <v>1</v>
      </c>
      <c r="M164" s="175" t="n">
        <f aca="false">IF('HC by Program-Term'!$Y47="","—",'HC by Program-Term'!L47-'New vs Continuing — Term'!AH47)</f>
        <v>0</v>
      </c>
      <c r="N164" s="175" t="n">
        <f aca="false">IF('HC by Program-Term'!$Y47="","—",'HC by Program-Term'!M47-'New vs Continuing — Term'!AI47)</f>
        <v>0</v>
      </c>
      <c r="O164" s="175" t="n">
        <f aca="false">IF('HC by Program-Term'!$Y47="","—",'HC by Program-Term'!N47-'New vs Continuing — Term'!AJ47)</f>
        <v>0</v>
      </c>
      <c r="P164" s="175" t="n">
        <f aca="false">IF('HC by Program-Term'!$Y47="","—",'HC by Program-Term'!O47-'New vs Continuing — Term'!AK47)</f>
        <v>1</v>
      </c>
      <c r="Q164" s="175" t="n">
        <f aca="false">IF('HC by Program-Term'!$Y47="","—",'HC by Program-Term'!P47-'New vs Continuing — Term'!AL47)</f>
        <v>0</v>
      </c>
      <c r="R164" s="175" t="n">
        <f aca="false">IF('HC by Program-Term'!$Y47="","—",'HC by Program-Term'!Q47-'New vs Continuing — Term'!AM47)</f>
        <v>0</v>
      </c>
      <c r="S164" s="175" t="n">
        <f aca="false">IF('HC by Program-Term'!$Y47="","—",'HC by Program-Term'!R47-'New vs Continuing — Term'!AN47)</f>
        <v>0</v>
      </c>
      <c r="T164" s="175" t="n">
        <f aca="false">IF('HC by Program-Term'!$Y47="","—",'HC by Program-Term'!S47-'New vs Continuing — Term'!AO47)</f>
        <v>0</v>
      </c>
      <c r="U164" s="175" t="n">
        <f aca="false">IF('HC by Program-Term'!$Y47="","—",'HC by Program-Term'!T47-'New vs Continuing — Term'!AP47)</f>
        <v>2</v>
      </c>
      <c r="V164" s="175" t="n">
        <f aca="false">IF('HC by Program-Term'!$Y47="","—",'HC by Program-Term'!U47-'New vs Continuing — Term'!AQ47)</f>
        <v>0</v>
      </c>
      <c r="W164" s="147" t="n">
        <f aca="false">IF('HC by Program-Term'!$Y47="","—",SUM(C164:V164))</f>
        <v>4</v>
      </c>
    </row>
    <row r="165" customFormat="false" ht="14.25" hidden="false" customHeight="false" outlineLevel="0" collapsed="false">
      <c r="A165" s="87"/>
      <c r="B165" s="152" t="s">
        <v>700</v>
      </c>
      <c r="C165" s="153" t="n">
        <f aca="false">SUM(C124:C164)</f>
        <v>0</v>
      </c>
      <c r="D165" s="153" t="n">
        <f aca="false">SUM(D124:D164)</f>
        <v>17</v>
      </c>
      <c r="E165" s="153" t="n">
        <f aca="false">SUM(E124:E164)</f>
        <v>78</v>
      </c>
      <c r="F165" s="153" t="n">
        <f aca="false">SUM(F124:F164)</f>
        <v>223</v>
      </c>
      <c r="G165" s="153" t="n">
        <f aca="false">SUM(G124:G164)</f>
        <v>-3</v>
      </c>
      <c r="H165" s="153" t="n">
        <f aca="false">SUM(H124:H164)</f>
        <v>286</v>
      </c>
      <c r="I165" s="153" t="n">
        <f aca="false">SUM(I124:I164)</f>
        <v>625</v>
      </c>
      <c r="J165" s="153" t="n">
        <f aca="false">SUM(J124:J164)</f>
        <v>67</v>
      </c>
      <c r="K165" s="153" t="n">
        <f aca="false">SUM(K124:K164)</f>
        <v>469</v>
      </c>
      <c r="L165" s="153" t="n">
        <f aca="false">SUM(L124:L164)</f>
        <v>785</v>
      </c>
      <c r="M165" s="153" t="n">
        <f aca="false">SUM(M124:M164)</f>
        <v>34</v>
      </c>
      <c r="N165" s="153" t="n">
        <f aca="false">SUM(N124:N164)</f>
        <v>500</v>
      </c>
      <c r="O165" s="153" t="n">
        <f aca="false">SUM(O124:O164)</f>
        <v>919</v>
      </c>
      <c r="P165" s="153" t="n">
        <f aca="false">SUM(P124:P164)</f>
        <v>62</v>
      </c>
      <c r="Q165" s="153" t="n">
        <f aca="false">SUM(Q124:Q164)</f>
        <v>658</v>
      </c>
      <c r="R165" s="153" t="n">
        <f aca="false">SUM(R124:R164)</f>
        <v>888</v>
      </c>
      <c r="S165" s="153" t="n">
        <f aca="false">SUM(S124:S164)</f>
        <v>157</v>
      </c>
      <c r="T165" s="153" t="n">
        <f aca="false">SUM(T124:T164)</f>
        <v>571</v>
      </c>
      <c r="U165" s="153" t="n">
        <f aca="false">SUM(U124:U164)</f>
        <v>834</v>
      </c>
      <c r="V165" s="153" t="n">
        <f aca="false">SUM(V124:V164)</f>
        <v>199</v>
      </c>
      <c r="W165" s="153" t="n">
        <f aca="false">SUM(W124:W164)</f>
        <v>7369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6"/>
    <col collapsed="false" customWidth="true" hidden="false" outlineLevel="0" max="12" min="3" style="0" width="11"/>
  </cols>
  <sheetData>
    <row r="1" customFormat="false" ht="17.35" hidden="false" customHeight="false" outlineLevel="0" collapsed="false">
      <c r="A1" s="203" t="s">
        <v>776</v>
      </c>
    </row>
    <row r="2" customFormat="false" ht="25.5" hidden="false" customHeight="true" outlineLevel="0" collapsed="false">
      <c r="A2" s="204" t="s">
        <v>777</v>
      </c>
      <c r="B2" s="204"/>
      <c r="C2" s="204"/>
      <c r="D2" s="204"/>
      <c r="E2" s="204"/>
      <c r="F2" s="204"/>
      <c r="G2" s="204"/>
      <c r="H2" s="204"/>
      <c r="I2" s="204"/>
      <c r="J2" s="204"/>
      <c r="K2" s="204"/>
      <c r="L2" s="204"/>
    </row>
    <row r="4" customFormat="false" ht="25.5" hidden="false" customHeight="true" outlineLevel="0" collapsed="false">
      <c r="A4" s="205" t="s">
        <v>699</v>
      </c>
      <c r="B4" s="206" t="s">
        <v>134</v>
      </c>
      <c r="C4" s="205" t="s">
        <v>704</v>
      </c>
      <c r="D4" s="205" t="s">
        <v>707</v>
      </c>
      <c r="E4" s="205" t="s">
        <v>710</v>
      </c>
      <c r="F4" s="205" t="s">
        <v>713</v>
      </c>
      <c r="G4" s="205" t="s">
        <v>716</v>
      </c>
      <c r="H4" s="205" t="s">
        <v>719</v>
      </c>
      <c r="I4" s="205" t="s">
        <v>722</v>
      </c>
      <c r="J4" s="205" t="s">
        <v>778</v>
      </c>
      <c r="K4" s="205" t="s">
        <v>779</v>
      </c>
      <c r="L4" s="205" t="s">
        <v>780</v>
      </c>
    </row>
    <row r="5" customFormat="false" ht="15" hidden="false" customHeight="false" outlineLevel="0" collapsed="false">
      <c r="A5" s="207" t="str">
        <f aca="false">'Program List'!A2</f>
        <v>1550C</v>
      </c>
      <c r="B5" s="208" t="str">
        <f aca="false">'Program List'!B2</f>
        <v>Certificate in Population Health</v>
      </c>
      <c r="C5" s="209" t="str">
        <f aca="false">'HC by Program-Term'!D7</f>
        <v>—</v>
      </c>
      <c r="D5" s="209" t="str">
        <f aca="false">'HC by Program-Term'!G7</f>
        <v>—</v>
      </c>
      <c r="E5" s="209" t="str">
        <f aca="false">'HC by Program-Term'!J7</f>
        <v>—</v>
      </c>
      <c r="F5" s="209" t="str">
        <f aca="false">'HC by Program-Term'!M7</f>
        <v>—</v>
      </c>
      <c r="G5" s="209" t="str">
        <f aca="false">'HC by Program-Term'!P7</f>
        <v>—</v>
      </c>
      <c r="H5" s="209" t="str">
        <f aca="false">'HC by Program-Term'!S7</f>
        <v>—</v>
      </c>
      <c r="I5" s="209" t="str">
        <f aca="false">'HC by Program-Term'!V7</f>
        <v>—</v>
      </c>
      <c r="J5" s="146" t="str">
        <f aca="false">IF(COUNT(C5:I5)=0,"—",MAX(C5:I5))</f>
        <v>—</v>
      </c>
      <c r="K5" s="146" t="str">
        <f aca="false">I5</f>
        <v>—</v>
      </c>
      <c r="L5" s="210" t="str">
        <f aca="false">IF(AND(ISNUMBER(C5),ISNUMBER(I5)),I5-C5,"—")</f>
        <v>—</v>
      </c>
    </row>
    <row r="6" customFormat="false" ht="15" hidden="false" customHeight="false" outlineLevel="0" collapsed="false">
      <c r="A6" s="211" t="str">
        <f aca="false">'Program List'!A3</f>
        <v>D318</v>
      </c>
      <c r="B6" s="212" t="str">
        <f aca="false">'Program List'!B3</f>
        <v>Ed.D. in Education Administration</v>
      </c>
      <c r="C6" s="213" t="str">
        <f aca="false">'HC by Program-Term'!D8</f>
        <v>—</v>
      </c>
      <c r="D6" s="213" t="str">
        <f aca="false">'HC by Program-Term'!G8</f>
        <v>—</v>
      </c>
      <c r="E6" s="213" t="str">
        <f aca="false">'HC by Program-Term'!J8</f>
        <v>—</v>
      </c>
      <c r="F6" s="213" t="str">
        <f aca="false">'HC by Program-Term'!M8</f>
        <v>—</v>
      </c>
      <c r="G6" s="213" t="str">
        <f aca="false">'HC by Program-Term'!P8</f>
        <v>—</v>
      </c>
      <c r="H6" s="213" t="str">
        <f aca="false">'HC by Program-Term'!S8</f>
        <v>—</v>
      </c>
      <c r="I6" s="213" t="str">
        <f aca="false">'HC by Program-Term'!V8</f>
        <v>—</v>
      </c>
      <c r="J6" s="150" t="str">
        <f aca="false">IF(COUNT(C6:I6)=0,"—",MAX(C6:I6))</f>
        <v>—</v>
      </c>
      <c r="K6" s="150" t="str">
        <f aca="false">I6</f>
        <v>—</v>
      </c>
      <c r="L6" s="214" t="str">
        <f aca="false">IF(AND(ISNUMBER(C6),ISNUMBER(I6)),I6-C6,"—")</f>
        <v>—</v>
      </c>
    </row>
    <row r="7" customFormat="false" ht="15" hidden="false" customHeight="false" outlineLevel="0" collapsed="false">
      <c r="A7" s="207" t="str">
        <f aca="false">'Program List'!A4</f>
        <v>M366</v>
      </c>
      <c r="B7" s="208" t="str">
        <f aca="false">'Program List'!B4</f>
        <v>Executive MBA in Energy</v>
      </c>
      <c r="C7" s="209" t="n">
        <f aca="false">'HC by Program-Term'!D9</f>
        <v>17</v>
      </c>
      <c r="D7" s="209" t="n">
        <f aca="false">'HC by Program-Term'!G9</f>
        <v>47</v>
      </c>
      <c r="E7" s="209" t="n">
        <f aca="false">'HC by Program-Term'!J9</f>
        <v>55</v>
      </c>
      <c r="F7" s="209" t="n">
        <f aca="false">'HC by Program-Term'!M9</f>
        <v>63</v>
      </c>
      <c r="G7" s="209" t="n">
        <f aca="false">'HC by Program-Term'!P9</f>
        <v>52</v>
      </c>
      <c r="H7" s="209" t="n">
        <f aca="false">'HC by Program-Term'!S9</f>
        <v>39</v>
      </c>
      <c r="I7" s="209" t="n">
        <f aca="false">'HC by Program-Term'!V9</f>
        <v>21</v>
      </c>
      <c r="J7" s="146" t="n">
        <f aca="false">IF(COUNT(C7:I7)=0,"—",MAX(C7:I7))</f>
        <v>63</v>
      </c>
      <c r="K7" s="146" t="n">
        <f aca="false">I7</f>
        <v>21</v>
      </c>
      <c r="L7" s="210" t="n">
        <f aca="false">IF(AND(ISNUMBER(C7),ISNUMBER(I7)),I7-C7,"—")</f>
        <v>4</v>
      </c>
    </row>
    <row r="8" customFormat="false" ht="15" hidden="false" customHeight="false" outlineLevel="0" collapsed="false">
      <c r="A8" s="211" t="str">
        <f aca="false">'Program List'!A5</f>
        <v>1231EX</v>
      </c>
      <c r="B8" s="212" t="str">
        <f aca="false">'Program List'!B5</f>
        <v>Executive Masters in Health Administration</v>
      </c>
      <c r="C8" s="213" t="str">
        <f aca="false">'HC by Program-Term'!D10</f>
        <v>—</v>
      </c>
      <c r="D8" s="213" t="str">
        <f aca="false">'HC by Program-Term'!G10</f>
        <v>—</v>
      </c>
      <c r="E8" s="213" t="str">
        <f aca="false">'HC by Program-Term'!J10</f>
        <v>—</v>
      </c>
      <c r="F8" s="213" t="str">
        <f aca="false">'HC by Program-Term'!M10</f>
        <v>—</v>
      </c>
      <c r="G8" s="213" t="str">
        <f aca="false">'HC by Program-Term'!P10</f>
        <v>—</v>
      </c>
      <c r="H8" s="213" t="str">
        <f aca="false">'HC by Program-Term'!S10</f>
        <v>—</v>
      </c>
      <c r="I8" s="213" t="str">
        <f aca="false">'HC by Program-Term'!V10</f>
        <v>—</v>
      </c>
      <c r="J8" s="150" t="str">
        <f aca="false">IF(COUNT(C8:I8)=0,"—",MAX(C8:I8))</f>
        <v>—</v>
      </c>
      <c r="K8" s="150" t="str">
        <f aca="false">I8</f>
        <v>—</v>
      </c>
      <c r="L8" s="214" t="str">
        <f aca="false">IF(AND(ISNUMBER(C8),ISNUMBER(I8)),I8-C8,"—")</f>
        <v>—</v>
      </c>
    </row>
    <row r="9" customFormat="false" ht="15" hidden="false" customHeight="false" outlineLevel="0" collapsed="false">
      <c r="A9" s="207" t="str">
        <f aca="false">'Program List'!A6</f>
        <v>M013</v>
      </c>
      <c r="B9" s="208" t="str">
        <f aca="false">'Program List'!B6</f>
        <v>Master of Accountancy</v>
      </c>
      <c r="C9" s="209" t="n">
        <f aca="false">'HC by Program-Term'!D11</f>
        <v>38</v>
      </c>
      <c r="D9" s="209" t="n">
        <f aca="false">'HC by Program-Term'!G11</f>
        <v>90</v>
      </c>
      <c r="E9" s="209" t="n">
        <f aca="false">'HC by Program-Term'!J11</f>
        <v>112</v>
      </c>
      <c r="F9" s="209" t="n">
        <f aca="false">'HC by Program-Term'!M11</f>
        <v>106</v>
      </c>
      <c r="G9" s="209" t="n">
        <f aca="false">'HC by Program-Term'!P11</f>
        <v>108</v>
      </c>
      <c r="H9" s="209" t="n">
        <f aca="false">'HC by Program-Term'!S11</f>
        <v>115</v>
      </c>
      <c r="I9" s="209" t="n">
        <f aca="false">'HC by Program-Term'!V11</f>
        <v>96</v>
      </c>
      <c r="J9" s="146" t="n">
        <f aca="false">IF(COUNT(C9:I9)=0,"—",MAX(C9:I9))</f>
        <v>115</v>
      </c>
      <c r="K9" s="146" t="n">
        <f aca="false">I9</f>
        <v>96</v>
      </c>
      <c r="L9" s="210" t="n">
        <f aca="false">IF(AND(ISNUMBER(C9),ISNUMBER(I9)),I9-C9,"—")</f>
        <v>58</v>
      </c>
    </row>
    <row r="10" customFormat="false" ht="15" hidden="false" customHeight="false" outlineLevel="0" collapsed="false">
      <c r="A10" s="211" t="str">
        <f aca="false">'Program List'!A7</f>
        <v>M075</v>
      </c>
      <c r="B10" s="212" t="str">
        <f aca="false">'Program List'!B7</f>
        <v>Master of Arts in Art and Technology</v>
      </c>
      <c r="C10" s="213" t="n">
        <f aca="false">'HC by Program-Term'!D12</f>
        <v>0</v>
      </c>
      <c r="D10" s="213" t="n">
        <f aca="false">'HC by Program-Term'!G12</f>
        <v>23</v>
      </c>
      <c r="E10" s="213" t="n">
        <f aca="false">'HC by Program-Term'!J12</f>
        <v>65</v>
      </c>
      <c r="F10" s="213" t="n">
        <f aca="false">'HC by Program-Term'!M12</f>
        <v>68</v>
      </c>
      <c r="G10" s="213" t="n">
        <f aca="false">'HC by Program-Term'!P12</f>
        <v>62</v>
      </c>
      <c r="H10" s="213" t="n">
        <f aca="false">'HC by Program-Term'!S12</f>
        <v>50</v>
      </c>
      <c r="I10" s="213" t="n">
        <f aca="false">'HC by Program-Term'!V12</f>
        <v>43</v>
      </c>
      <c r="J10" s="150" t="n">
        <f aca="false">IF(COUNT(C10:I10)=0,"—",MAX(C10:I10))</f>
        <v>68</v>
      </c>
      <c r="K10" s="150" t="n">
        <f aca="false">I10</f>
        <v>43</v>
      </c>
      <c r="L10" s="214" t="str">
        <f aca="false">IF(AND(ISNUMBER(C10),ISNUMBER(I10)),I10-C10,"—")</f>
        <v>—</v>
      </c>
    </row>
    <row r="11" customFormat="false" ht="15" hidden="false" customHeight="false" outlineLevel="0" collapsed="false">
      <c r="A11" s="207" t="str">
        <f aca="false">'Program List'!A8</f>
        <v>M073</v>
      </c>
      <c r="B11" s="208" t="str">
        <f aca="false">'Program List'!B8</f>
        <v>Master of Arts in Arts Management</v>
      </c>
      <c r="C11" s="209" t="n">
        <f aca="false">'HC by Program-Term'!D13</f>
        <v>0</v>
      </c>
      <c r="D11" s="209" t="n">
        <f aca="false">'HC by Program-Term'!G13</f>
        <v>0</v>
      </c>
      <c r="E11" s="209" t="n">
        <f aca="false">'HC by Program-Term'!J13</f>
        <v>0</v>
      </c>
      <c r="F11" s="209" t="n">
        <f aca="false">'HC by Program-Term'!M13</f>
        <v>38</v>
      </c>
      <c r="G11" s="209" t="n">
        <f aca="false">'HC by Program-Term'!P13</f>
        <v>87</v>
      </c>
      <c r="H11" s="209" t="n">
        <f aca="false">'HC by Program-Term'!S13</f>
        <v>91</v>
      </c>
      <c r="I11" s="209" t="n">
        <f aca="false">'HC by Program-Term'!V13</f>
        <v>71</v>
      </c>
      <c r="J11" s="146" t="n">
        <f aca="false">IF(COUNT(C11:I11)=0,"—",MAX(C11:I11))</f>
        <v>91</v>
      </c>
      <c r="K11" s="146" t="n">
        <f aca="false">I11</f>
        <v>71</v>
      </c>
      <c r="L11" s="210" t="str">
        <f aca="false">IF(AND(ISNUMBER(C11),ISNUMBER(I11)),I11-C11,"—")</f>
        <v>—</v>
      </c>
    </row>
    <row r="12" customFormat="false" ht="15" hidden="false" customHeight="false" outlineLevel="0" collapsed="false">
      <c r="A12" s="211" t="str">
        <f aca="false">'Program List'!A9</f>
        <v>M494</v>
      </c>
      <c r="B12" s="212" t="str">
        <f aca="false">'Program List'!B9</f>
        <v>Master of Arts in Global Affairs</v>
      </c>
      <c r="C12" s="213" t="n">
        <f aca="false">'HC by Program-Term'!D14</f>
        <v>29</v>
      </c>
      <c r="D12" s="213" t="n">
        <f aca="false">'HC by Program-Term'!G14</f>
        <v>66</v>
      </c>
      <c r="E12" s="213" t="n">
        <f aca="false">'HC by Program-Term'!J14</f>
        <v>90</v>
      </c>
      <c r="F12" s="213" t="n">
        <f aca="false">'HC by Program-Term'!M14</f>
        <v>97</v>
      </c>
      <c r="G12" s="213" t="n">
        <f aca="false">'HC by Program-Term'!P14</f>
        <v>136</v>
      </c>
      <c r="H12" s="213" t="n">
        <f aca="false">'HC by Program-Term'!S14</f>
        <v>140</v>
      </c>
      <c r="I12" s="213" t="n">
        <f aca="false">'HC by Program-Term'!V14</f>
        <v>100</v>
      </c>
      <c r="J12" s="150" t="n">
        <f aca="false">IF(COUNT(C12:I12)=0,"—",MAX(C12:I12))</f>
        <v>140</v>
      </c>
      <c r="K12" s="150" t="n">
        <f aca="false">I12</f>
        <v>100</v>
      </c>
      <c r="L12" s="214" t="n">
        <f aca="false">IF(AND(ISNUMBER(C12),ISNUMBER(I12)),I12-C12,"—")</f>
        <v>71</v>
      </c>
    </row>
    <row r="13" customFormat="false" ht="15" hidden="false" customHeight="false" outlineLevel="0" collapsed="false">
      <c r="A13" s="207" t="str">
        <f aca="false">'Program List'!A10</f>
        <v>M700</v>
      </c>
      <c r="B13" s="208" t="str">
        <f aca="false">'Program List'!B10</f>
        <v>Master of Arts in Museum Studies</v>
      </c>
      <c r="C13" s="209" t="n">
        <f aca="false">'HC by Program-Term'!D15</f>
        <v>26</v>
      </c>
      <c r="D13" s="209" t="n">
        <f aca="false">'HC by Program-Term'!G15</f>
        <v>62</v>
      </c>
      <c r="E13" s="209" t="n">
        <f aca="false">'HC by Program-Term'!J15</f>
        <v>155</v>
      </c>
      <c r="F13" s="209" t="n">
        <f aca="false">'HC by Program-Term'!M15</f>
        <v>281</v>
      </c>
      <c r="G13" s="209" t="n">
        <f aca="false">'HC by Program-Term'!P15</f>
        <v>306</v>
      </c>
      <c r="H13" s="209" t="n">
        <f aca="false">'HC by Program-Term'!S15</f>
        <v>259</v>
      </c>
      <c r="I13" s="209" t="n">
        <f aca="false">'HC by Program-Term'!V15</f>
        <v>221</v>
      </c>
      <c r="J13" s="146" t="n">
        <f aca="false">IF(COUNT(C13:I13)=0,"—",MAX(C13:I13))</f>
        <v>306</v>
      </c>
      <c r="K13" s="146" t="n">
        <f aca="false">I13</f>
        <v>221</v>
      </c>
      <c r="L13" s="210" t="n">
        <f aca="false">IF(AND(ISNUMBER(C13),ISNUMBER(I13)),I13-C13,"—")</f>
        <v>195</v>
      </c>
    </row>
    <row r="14" customFormat="false" ht="15" hidden="false" customHeight="false" outlineLevel="0" collapsed="false">
      <c r="A14" s="211" t="str">
        <f aca="false">'Program List'!A11</f>
        <v>M762</v>
      </c>
      <c r="B14" s="212" t="str">
        <f aca="false">'Program List'!B11</f>
        <v>Master of Arts in Organizational Leadership</v>
      </c>
      <c r="C14" s="213" t="n">
        <f aca="false">'HC by Program-Term'!D16</f>
        <v>68</v>
      </c>
      <c r="D14" s="213" t="n">
        <f aca="false">'HC by Program-Term'!G16</f>
        <v>133</v>
      </c>
      <c r="E14" s="213" t="n">
        <f aca="false">'HC by Program-Term'!J16</f>
        <v>175</v>
      </c>
      <c r="F14" s="213" t="n">
        <f aca="false">'HC by Program-Term'!M16</f>
        <v>207</v>
      </c>
      <c r="G14" s="213" t="n">
        <f aca="false">'HC by Program-Term'!P16</f>
        <v>230</v>
      </c>
      <c r="H14" s="213" t="n">
        <f aca="false">'HC by Program-Term'!S16</f>
        <v>177</v>
      </c>
      <c r="I14" s="213" t="n">
        <f aca="false">'HC by Program-Term'!V16</f>
        <v>155</v>
      </c>
      <c r="J14" s="150" t="n">
        <f aca="false">IF(COUNT(C14:I14)=0,"—",MAX(C14:I14))</f>
        <v>230</v>
      </c>
      <c r="K14" s="150" t="n">
        <f aca="false">I14</f>
        <v>155</v>
      </c>
      <c r="L14" s="214" t="n">
        <f aca="false">IF(AND(ISNUMBER(C14),ISNUMBER(I14)),I14-C14,"—")</f>
        <v>87</v>
      </c>
    </row>
    <row r="15" customFormat="false" ht="15" hidden="false" customHeight="false" outlineLevel="0" collapsed="false">
      <c r="A15" s="207" t="str">
        <f aca="false">'Program List'!A12</f>
        <v>M859</v>
      </c>
      <c r="B15" s="208" t="str">
        <f aca="false">'Program List'!B12</f>
        <v>Master of Arts in Strategic Communication and Digital Strategy</v>
      </c>
      <c r="C15" s="209" t="n">
        <f aca="false">'HC by Program-Term'!D17</f>
        <v>0</v>
      </c>
      <c r="D15" s="209" t="n">
        <f aca="false">'HC by Program-Term'!G17</f>
        <v>89</v>
      </c>
      <c r="E15" s="209" t="n">
        <f aca="false">'HC by Program-Term'!J17</f>
        <v>115</v>
      </c>
      <c r="F15" s="209" t="n">
        <f aca="false">'HC by Program-Term'!M17</f>
        <v>99</v>
      </c>
      <c r="G15" s="209" t="n">
        <f aca="false">'HC by Program-Term'!P17</f>
        <v>102</v>
      </c>
      <c r="H15" s="209" t="n">
        <f aca="false">'HC by Program-Term'!S17</f>
        <v>98</v>
      </c>
      <c r="I15" s="209" t="n">
        <f aca="false">'HC by Program-Term'!V17</f>
        <v>80</v>
      </c>
      <c r="J15" s="146" t="n">
        <f aca="false">IF(COUNT(C15:I15)=0,"—",MAX(C15:I15))</f>
        <v>115</v>
      </c>
      <c r="K15" s="146" t="n">
        <f aca="false">I15</f>
        <v>80</v>
      </c>
      <c r="L15" s="210" t="str">
        <f aca="false">IF(AND(ISNUMBER(C15),ISNUMBER(I15)),I15-C15,"—")</f>
        <v>—</v>
      </c>
    </row>
    <row r="16" customFormat="false" ht="15" hidden="false" customHeight="false" outlineLevel="0" collapsed="false">
      <c r="A16" s="211" t="str">
        <f aca="false">'Program List'!A13</f>
        <v>M202</v>
      </c>
      <c r="B16" s="212" t="str">
        <f aca="false">'Program List'!B13</f>
        <v>Master of Clinical Mental Health Counseling</v>
      </c>
      <c r="C16" s="213" t="n">
        <f aca="false">'HC by Program-Term'!D18</f>
        <v>0</v>
      </c>
      <c r="D16" s="213" t="n">
        <f aca="false">'HC by Program-Term'!G18</f>
        <v>30</v>
      </c>
      <c r="E16" s="213" t="n">
        <f aca="false">'HC by Program-Term'!J18</f>
        <v>121</v>
      </c>
      <c r="F16" s="213" t="n">
        <f aca="false">'HC by Program-Term'!M18</f>
        <v>169</v>
      </c>
      <c r="G16" s="213" t="n">
        <f aca="false">'HC by Program-Term'!P18</f>
        <v>161</v>
      </c>
      <c r="H16" s="213" t="n">
        <f aca="false">'HC by Program-Term'!S18</f>
        <v>151</v>
      </c>
      <c r="I16" s="213" t="n">
        <f aca="false">'HC by Program-Term'!V18</f>
        <v>174</v>
      </c>
      <c r="J16" s="150" t="n">
        <f aca="false">IF(COUNT(C16:I16)=0,"—",MAX(C16:I16))</f>
        <v>174</v>
      </c>
      <c r="K16" s="150" t="n">
        <f aca="false">I16</f>
        <v>174</v>
      </c>
      <c r="L16" s="214" t="str">
        <f aca="false">IF(AND(ISNUMBER(C16),ISNUMBER(I16)),I16-C16,"—")</f>
        <v>—</v>
      </c>
    </row>
    <row r="17" customFormat="false" ht="15" hidden="false" customHeight="false" outlineLevel="0" collapsed="false">
      <c r="A17" s="207" t="str">
        <f aca="false">'Program List'!A14</f>
        <v>M246</v>
      </c>
      <c r="B17" s="208" t="str">
        <f aca="false">'Program List'!B14</f>
        <v>Master of Construction Business</v>
      </c>
      <c r="C17" s="209" t="n">
        <f aca="false">'HC by Program-Term'!D19</f>
        <v>0</v>
      </c>
      <c r="D17" s="209" t="n">
        <f aca="false">'HC by Program-Term'!G19</f>
        <v>22</v>
      </c>
      <c r="E17" s="209" t="n">
        <f aca="false">'HC by Program-Term'!J19</f>
        <v>54</v>
      </c>
      <c r="F17" s="209" t="n">
        <f aca="false">'HC by Program-Term'!M19</f>
        <v>66</v>
      </c>
      <c r="G17" s="209" t="n">
        <f aca="false">'HC by Program-Term'!P19</f>
        <v>58</v>
      </c>
      <c r="H17" s="209" t="n">
        <f aca="false">'HC by Program-Term'!S19</f>
        <v>55</v>
      </c>
      <c r="I17" s="209" t="n">
        <f aca="false">'HC by Program-Term'!V19</f>
        <v>45</v>
      </c>
      <c r="J17" s="146" t="n">
        <f aca="false">IF(COUNT(C17:I17)=0,"—",MAX(C17:I17))</f>
        <v>66</v>
      </c>
      <c r="K17" s="146" t="n">
        <f aca="false">I17</f>
        <v>45</v>
      </c>
      <c r="L17" s="210" t="str">
        <f aca="false">IF(AND(ISNUMBER(C17),ISNUMBER(I17)),I17-C17,"—")</f>
        <v>—</v>
      </c>
    </row>
    <row r="18" customFormat="false" ht="15" hidden="false" customHeight="false" outlineLevel="0" collapsed="false">
      <c r="A18" s="211" t="str">
        <f aca="false">'Program List'!A15</f>
        <v>M297</v>
      </c>
      <c r="B18" s="212" t="str">
        <f aca="false">'Program List'!B15</f>
        <v>Master of Econometrics</v>
      </c>
      <c r="C18" s="213" t="str">
        <f aca="false">'HC by Program-Term'!D20</f>
        <v>—</v>
      </c>
      <c r="D18" s="213" t="str">
        <f aca="false">'HC by Program-Term'!G20</f>
        <v>—</v>
      </c>
      <c r="E18" s="213" t="str">
        <f aca="false">'HC by Program-Term'!J20</f>
        <v>—</v>
      </c>
      <c r="F18" s="213" t="str">
        <f aca="false">'HC by Program-Term'!M20</f>
        <v>—</v>
      </c>
      <c r="G18" s="213" t="str">
        <f aca="false">'HC by Program-Term'!P20</f>
        <v>—</v>
      </c>
      <c r="H18" s="213" t="str">
        <f aca="false">'HC by Program-Term'!S20</f>
        <v>—</v>
      </c>
      <c r="I18" s="213" t="str">
        <f aca="false">'HC by Program-Term'!V20</f>
        <v>—</v>
      </c>
      <c r="J18" s="150" t="str">
        <f aca="false">IF(COUNT(C18:I18)=0,"—",MAX(C18:I18))</f>
        <v>—</v>
      </c>
      <c r="K18" s="150" t="str">
        <f aca="false">I18</f>
        <v>—</v>
      </c>
      <c r="L18" s="214" t="str">
        <f aca="false">IF(AND(ISNUMBER(C18),ISNUMBER(I18)),I18-C18,"—")</f>
        <v>—</v>
      </c>
    </row>
    <row r="19" customFormat="false" ht="15" hidden="false" customHeight="false" outlineLevel="0" collapsed="false">
      <c r="A19" s="207" t="str">
        <f aca="false">'Program List'!A16</f>
        <v>M383</v>
      </c>
      <c r="B19" s="208" t="str">
        <f aca="false">'Program List'!B16</f>
        <v>Master of Entrepreneurship &amp; Innovation</v>
      </c>
      <c r="C19" s="209" t="str">
        <f aca="false">'HC by Program-Term'!D21</f>
        <v>—</v>
      </c>
      <c r="D19" s="209" t="str">
        <f aca="false">'HC by Program-Term'!G21</f>
        <v>—</v>
      </c>
      <c r="E19" s="209" t="str">
        <f aca="false">'HC by Program-Term'!J21</f>
        <v>—</v>
      </c>
      <c r="F19" s="209" t="str">
        <f aca="false">'HC by Program-Term'!M21</f>
        <v>—</v>
      </c>
      <c r="G19" s="209" t="str">
        <f aca="false">'HC by Program-Term'!P21</f>
        <v>—</v>
      </c>
      <c r="H19" s="209" t="str">
        <f aca="false">'HC by Program-Term'!S21</f>
        <v>—</v>
      </c>
      <c r="I19" s="209" t="str">
        <f aca="false">'HC by Program-Term'!V21</f>
        <v>—</v>
      </c>
      <c r="J19" s="146" t="str">
        <f aca="false">IF(COUNT(C19:I19)=0,"—",MAX(C19:I19))</f>
        <v>—</v>
      </c>
      <c r="K19" s="146" t="str">
        <f aca="false">I19</f>
        <v>—</v>
      </c>
      <c r="L19" s="210" t="str">
        <f aca="false">IF(AND(ISNUMBER(C19),ISNUMBER(I19)),I19-C19,"—")</f>
        <v>—</v>
      </c>
    </row>
    <row r="20" customFormat="false" ht="15" hidden="false" customHeight="false" outlineLevel="0" collapsed="false">
      <c r="A20" s="211" t="str">
        <f aca="false">'Program List'!A17</f>
        <v>M518</v>
      </c>
      <c r="B20" s="212" t="str">
        <f aca="false">'Program List'!B17</f>
        <v>Master of Environmental Science: Hydrology and Water Security</v>
      </c>
      <c r="C20" s="213" t="n">
        <f aca="false">'HC by Program-Term'!D22</f>
        <v>53</v>
      </c>
      <c r="D20" s="213" t="n">
        <f aca="false">'HC by Program-Term'!G22</f>
        <v>115</v>
      </c>
      <c r="E20" s="213" t="n">
        <f aca="false">'HC by Program-Term'!J22</f>
        <v>76</v>
      </c>
      <c r="F20" s="213" t="n">
        <f aca="false">'HC by Program-Term'!M22</f>
        <v>75</v>
      </c>
      <c r="G20" s="213" t="n">
        <f aca="false">'HC by Program-Term'!P22</f>
        <v>89</v>
      </c>
      <c r="H20" s="213" t="n">
        <f aca="false">'HC by Program-Term'!S22</f>
        <v>97</v>
      </c>
      <c r="I20" s="213" t="n">
        <f aca="false">'HC by Program-Term'!V22</f>
        <v>94</v>
      </c>
      <c r="J20" s="150" t="n">
        <f aca="false">IF(COUNT(C20:I20)=0,"—",MAX(C20:I20))</f>
        <v>115</v>
      </c>
      <c r="K20" s="150" t="n">
        <f aca="false">I20</f>
        <v>94</v>
      </c>
      <c r="L20" s="214" t="n">
        <f aca="false">IF(AND(ISNUMBER(C20),ISNUMBER(I20)),I20-C20,"—")</f>
        <v>41</v>
      </c>
    </row>
    <row r="21" customFormat="false" ht="15" hidden="false" customHeight="false" outlineLevel="0" collapsed="false">
      <c r="A21" s="207" t="str">
        <f aca="false">'Program List'!A18</f>
        <v>M368</v>
      </c>
      <c r="B21" s="208" t="str">
        <f aca="false">'Program List'!B18</f>
        <v>Master of Legal Studies - Energy</v>
      </c>
      <c r="C21" s="209" t="n">
        <f aca="false">'HC by Program-Term'!D23</f>
        <v>0</v>
      </c>
      <c r="D21" s="209" t="n">
        <f aca="false">'HC by Program-Term'!G23</f>
        <v>22</v>
      </c>
      <c r="E21" s="209" t="n">
        <f aca="false">'HC by Program-Term'!J23</f>
        <v>34</v>
      </c>
      <c r="F21" s="209" t="n">
        <f aca="false">'HC by Program-Term'!M23</f>
        <v>34</v>
      </c>
      <c r="G21" s="209" t="n">
        <f aca="false">'HC by Program-Term'!P23</f>
        <v>27</v>
      </c>
      <c r="H21" s="209" t="n">
        <f aca="false">'HC by Program-Term'!S23</f>
        <v>27</v>
      </c>
      <c r="I21" s="209" t="n">
        <f aca="false">'HC by Program-Term'!V23</f>
        <v>36</v>
      </c>
      <c r="J21" s="146" t="n">
        <f aca="false">IF(COUNT(C21:I21)=0,"—",MAX(C21:I21))</f>
        <v>36</v>
      </c>
      <c r="K21" s="146" t="n">
        <f aca="false">I21</f>
        <v>36</v>
      </c>
      <c r="L21" s="210" t="str">
        <f aca="false">IF(AND(ISNUMBER(C21),ISNUMBER(I21)),I21-C21,"—")</f>
        <v>—</v>
      </c>
    </row>
    <row r="22" customFormat="false" ht="15" hidden="false" customHeight="false" outlineLevel="0" collapsed="false">
      <c r="A22" s="211" t="str">
        <f aca="false">'Program List'!A19</f>
        <v>M636</v>
      </c>
      <c r="B22" s="212" t="str">
        <f aca="false">'Program List'!B19</f>
        <v>Master of Legal Studies - General</v>
      </c>
      <c r="C22" s="213" t="str">
        <f aca="false">'HC by Program-Term'!D24</f>
        <v>—</v>
      </c>
      <c r="D22" s="213" t="str">
        <f aca="false">'HC by Program-Term'!G24</f>
        <v>—</v>
      </c>
      <c r="E22" s="213" t="str">
        <f aca="false">'HC by Program-Term'!J24</f>
        <v>—</v>
      </c>
      <c r="F22" s="213" t="str">
        <f aca="false">'HC by Program-Term'!M24</f>
        <v>—</v>
      </c>
      <c r="G22" s="213" t="str">
        <f aca="false">'HC by Program-Term'!P24</f>
        <v>—</v>
      </c>
      <c r="H22" s="213" t="str">
        <f aca="false">'HC by Program-Term'!S24</f>
        <v>—</v>
      </c>
      <c r="I22" s="213" t="str">
        <f aca="false">'HC by Program-Term'!V24</f>
        <v>—</v>
      </c>
      <c r="J22" s="150" t="str">
        <f aca="false">IF(COUNT(C22:I22)=0,"—",MAX(C22:I22))</f>
        <v>—</v>
      </c>
      <c r="K22" s="150" t="str">
        <f aca="false">I22</f>
        <v>—</v>
      </c>
      <c r="L22" s="214" t="str">
        <f aca="false">IF(AND(ISNUMBER(C22),ISNUMBER(I22)),I22-C22,"—")</f>
        <v>—</v>
      </c>
    </row>
    <row r="23" customFormat="false" ht="15" hidden="false" customHeight="false" outlineLevel="0" collapsed="false">
      <c r="A23" s="207" t="str">
        <f aca="false">'Program List'!A20</f>
        <v>M503</v>
      </c>
      <c r="B23" s="208" t="str">
        <f aca="false">'Program List'!B20</f>
        <v>Master of Legal Studies - Healthcare Law</v>
      </c>
      <c r="C23" s="209" t="n">
        <f aca="false">'HC by Program-Term'!D25</f>
        <v>65</v>
      </c>
      <c r="D23" s="209" t="n">
        <f aca="false">'HC by Program-Term'!G25</f>
        <v>123</v>
      </c>
      <c r="E23" s="209" t="n">
        <f aca="false">'HC by Program-Term'!J25</f>
        <v>160</v>
      </c>
      <c r="F23" s="209" t="n">
        <f aca="false">'HC by Program-Term'!M25</f>
        <v>130</v>
      </c>
      <c r="G23" s="209" t="n">
        <f aca="false">'HC by Program-Term'!P25</f>
        <v>97</v>
      </c>
      <c r="H23" s="209" t="n">
        <f aca="false">'HC by Program-Term'!S25</f>
        <v>81</v>
      </c>
      <c r="I23" s="209" t="n">
        <f aca="false">'HC by Program-Term'!V25</f>
        <v>81</v>
      </c>
      <c r="J23" s="146" t="n">
        <f aca="false">IF(COUNT(C23:I23)=0,"—",MAX(C23:I23))</f>
        <v>160</v>
      </c>
      <c r="K23" s="146" t="n">
        <f aca="false">I23</f>
        <v>81</v>
      </c>
      <c r="L23" s="210" t="n">
        <f aca="false">IF(AND(ISNUMBER(C23),ISNUMBER(I23)),I23-C23,"—")</f>
        <v>16</v>
      </c>
    </row>
    <row r="24" customFormat="false" ht="15" hidden="false" customHeight="false" outlineLevel="0" collapsed="false">
      <c r="A24" s="211" t="str">
        <f aca="false">'Program List'!A21</f>
        <v>M522</v>
      </c>
      <c r="B24" s="212" t="str">
        <f aca="false">'Program List'!B21</f>
        <v>Master of Legal Studies - Indigenous Peoples Law</v>
      </c>
      <c r="C24" s="213" t="n">
        <f aca="false">'HC by Program-Term'!D26</f>
        <v>78</v>
      </c>
      <c r="D24" s="213" t="n">
        <f aca="false">'HC by Program-Term'!G26</f>
        <v>211</v>
      </c>
      <c r="E24" s="213" t="n">
        <f aca="false">'HC by Program-Term'!J26</f>
        <v>177</v>
      </c>
      <c r="F24" s="213" t="n">
        <f aca="false">'HC by Program-Term'!M26</f>
        <v>159</v>
      </c>
      <c r="G24" s="213" t="n">
        <f aca="false">'HC by Program-Term'!P26</f>
        <v>141</v>
      </c>
      <c r="H24" s="213" t="n">
        <f aca="false">'HC by Program-Term'!S26</f>
        <v>127</v>
      </c>
      <c r="I24" s="213" t="n">
        <f aca="false">'HC by Program-Term'!V26</f>
        <v>90</v>
      </c>
      <c r="J24" s="150" t="n">
        <f aca="false">IF(COUNT(C24:I24)=0,"—",MAX(C24:I24))</f>
        <v>211</v>
      </c>
      <c r="K24" s="150" t="n">
        <f aca="false">I24</f>
        <v>90</v>
      </c>
      <c r="L24" s="214" t="n">
        <f aca="false">IF(AND(ISNUMBER(C24),ISNUMBER(I24)),I24-C24,"—")</f>
        <v>12</v>
      </c>
    </row>
    <row r="25" customFormat="false" ht="15" hidden="false" customHeight="false" outlineLevel="0" collapsed="false">
      <c r="A25" s="207" t="str">
        <f aca="false">'Program List'!A22</f>
        <v>M589</v>
      </c>
      <c r="B25" s="208" t="str">
        <f aca="false">'Program List'!B22</f>
        <v>Master of Legal Studies - International Business</v>
      </c>
      <c r="C25" s="209" t="n">
        <f aca="false">'HC by Program-Term'!D27</f>
        <v>14</v>
      </c>
      <c r="D25" s="209" t="n">
        <f aca="false">'HC by Program-Term'!G27</f>
        <v>33</v>
      </c>
      <c r="E25" s="209" t="n">
        <f aca="false">'HC by Program-Term'!J27</f>
        <v>19</v>
      </c>
      <c r="F25" s="209" t="n">
        <f aca="false">'HC by Program-Term'!M27</f>
        <v>17</v>
      </c>
      <c r="G25" s="209" t="n">
        <f aca="false">'HC by Program-Term'!P27</f>
        <v>10</v>
      </c>
      <c r="H25" s="209" t="n">
        <f aca="false">'HC by Program-Term'!S27</f>
        <v>7</v>
      </c>
      <c r="I25" s="209" t="n">
        <f aca="false">'HC by Program-Term'!V27</f>
        <v>12</v>
      </c>
      <c r="J25" s="146" t="n">
        <f aca="false">IF(COUNT(C25:I25)=0,"—",MAX(C25:I25))</f>
        <v>33</v>
      </c>
      <c r="K25" s="146" t="n">
        <f aca="false">I25</f>
        <v>12</v>
      </c>
      <c r="L25" s="210" t="n">
        <f aca="false">IF(AND(ISNUMBER(C25),ISNUMBER(I25)),I25-C25,"—")</f>
        <v>-2</v>
      </c>
    </row>
    <row r="26" customFormat="false" ht="15" hidden="false" customHeight="false" outlineLevel="0" collapsed="false">
      <c r="A26" s="211" t="str">
        <f aca="false">'Program List'!A23</f>
        <v>M029</v>
      </c>
      <c r="B26" s="212" t="str">
        <f aca="false">'Program List'!B23</f>
        <v>Master of Science in Applied Computing</v>
      </c>
      <c r="C26" s="213" t="str">
        <f aca="false">'HC by Program-Term'!D28</f>
        <v>—</v>
      </c>
      <c r="D26" s="213" t="str">
        <f aca="false">'HC by Program-Term'!G28</f>
        <v>—</v>
      </c>
      <c r="E26" s="213" t="str">
        <f aca="false">'HC by Program-Term'!J28</f>
        <v>—</v>
      </c>
      <c r="F26" s="213" t="str">
        <f aca="false">'HC by Program-Term'!M28</f>
        <v>—</v>
      </c>
      <c r="G26" s="213" t="str">
        <f aca="false">'HC by Program-Term'!P28</f>
        <v>—</v>
      </c>
      <c r="H26" s="213" t="str">
        <f aca="false">'HC by Program-Term'!S28</f>
        <v>—</v>
      </c>
      <c r="I26" s="213" t="str">
        <f aca="false">'HC by Program-Term'!V28</f>
        <v>—</v>
      </c>
      <c r="J26" s="150" t="str">
        <f aca="false">IF(COUNT(C26:I26)=0,"—",MAX(C26:I26))</f>
        <v>—</v>
      </c>
      <c r="K26" s="150" t="str">
        <f aca="false">I26</f>
        <v>—</v>
      </c>
      <c r="L26" s="214" t="str">
        <f aca="false">IF(AND(ISNUMBER(C26),ISNUMBER(I26)),I26-C26,"—")</f>
        <v>—</v>
      </c>
    </row>
    <row r="27" customFormat="false" ht="15" hidden="false" customHeight="false" outlineLevel="0" collapsed="false">
      <c r="A27" s="207" t="str">
        <f aca="false">'Program List'!A24</f>
        <v>M035</v>
      </c>
      <c r="B27" s="208" t="str">
        <f aca="false">'Program List'!B24</f>
        <v>Master of Science in Applied Statistics</v>
      </c>
      <c r="C27" s="209" t="n">
        <f aca="false">'HC by Program-Term'!D29</f>
        <v>0</v>
      </c>
      <c r="D27" s="209" t="n">
        <f aca="false">'HC by Program-Term'!G29</f>
        <v>0</v>
      </c>
      <c r="E27" s="209" t="n">
        <f aca="false">'HC by Program-Term'!J29</f>
        <v>0</v>
      </c>
      <c r="F27" s="209" t="n">
        <f aca="false">'HC by Program-Term'!M29</f>
        <v>22</v>
      </c>
      <c r="G27" s="209" t="n">
        <f aca="false">'HC by Program-Term'!P29</f>
        <v>66</v>
      </c>
      <c r="H27" s="209" t="n">
        <f aca="false">'HC by Program-Term'!S29</f>
        <v>78</v>
      </c>
      <c r="I27" s="209" t="n">
        <f aca="false">'HC by Program-Term'!V29</f>
        <v>32</v>
      </c>
      <c r="J27" s="146" t="n">
        <f aca="false">IF(COUNT(C27:I27)=0,"—",MAX(C27:I27))</f>
        <v>78</v>
      </c>
      <c r="K27" s="146" t="n">
        <f aca="false">I27</f>
        <v>32</v>
      </c>
      <c r="L27" s="210" t="str">
        <f aca="false">IF(AND(ISNUMBER(C27),ISNUMBER(I27)),I27-C27,"—")</f>
        <v>—</v>
      </c>
    </row>
    <row r="28" customFormat="false" ht="15" hidden="false" customHeight="false" outlineLevel="0" collapsed="false">
      <c r="A28" s="211" t="str">
        <f aca="false">'Program List'!A25</f>
        <v>M145</v>
      </c>
      <c r="B28" s="212" t="str">
        <f aca="false">'Program List'!B25</f>
        <v>Master of Science in Business Analytics</v>
      </c>
      <c r="C28" s="213" t="n">
        <f aca="false">'HC by Program-Term'!D30</f>
        <v>0</v>
      </c>
      <c r="D28" s="213" t="n">
        <f aca="false">'HC by Program-Term'!G30</f>
        <v>0</v>
      </c>
      <c r="E28" s="213" t="n">
        <f aca="false">'HC by Program-Term'!J30</f>
        <v>17</v>
      </c>
      <c r="F28" s="213" t="n">
        <f aca="false">'HC by Program-Term'!M30</f>
        <v>49</v>
      </c>
      <c r="G28" s="213" t="n">
        <f aca="false">'HC by Program-Term'!P30</f>
        <v>41</v>
      </c>
      <c r="H28" s="213" t="n">
        <f aca="false">'HC by Program-Term'!S30</f>
        <v>51</v>
      </c>
      <c r="I28" s="213" t="n">
        <f aca="false">'HC by Program-Term'!V30</f>
        <v>51</v>
      </c>
      <c r="J28" s="150" t="n">
        <f aca="false">IF(COUNT(C28:I28)=0,"—",MAX(C28:I28))</f>
        <v>51</v>
      </c>
      <c r="K28" s="150" t="n">
        <f aca="false">I28</f>
        <v>51</v>
      </c>
      <c r="L28" s="214" t="str">
        <f aca="false">IF(AND(ISNUMBER(C28),ISNUMBER(I28)),I28-C28,"—")</f>
        <v>—</v>
      </c>
    </row>
    <row r="29" customFormat="false" ht="15" hidden="false" customHeight="false" outlineLevel="0" collapsed="false">
      <c r="A29" s="207" t="str">
        <f aca="false">'Program List'!A26</f>
        <v>M191</v>
      </c>
      <c r="B29" s="208" t="str">
        <f aca="false">'Program List'!B26</f>
        <v>Master of Science in Civil Engineering</v>
      </c>
      <c r="C29" s="209" t="n">
        <f aca="false">'HC by Program-Term'!D31</f>
        <v>28</v>
      </c>
      <c r="D29" s="209" t="n">
        <f aca="false">'HC by Program-Term'!G31</f>
        <v>58</v>
      </c>
      <c r="E29" s="209" t="n">
        <f aca="false">'HC by Program-Term'!J31</f>
        <v>62</v>
      </c>
      <c r="F29" s="209" t="n">
        <f aca="false">'HC by Program-Term'!M31</f>
        <v>64</v>
      </c>
      <c r="G29" s="209" t="n">
        <f aca="false">'HC by Program-Term'!P31</f>
        <v>69</v>
      </c>
      <c r="H29" s="209" t="n">
        <f aca="false">'HC by Program-Term'!S31</f>
        <v>68</v>
      </c>
      <c r="I29" s="209" t="n">
        <f aca="false">'HC by Program-Term'!V31</f>
        <v>67</v>
      </c>
      <c r="J29" s="146" t="n">
        <f aca="false">IF(COUNT(C29:I29)=0,"—",MAX(C29:I29))</f>
        <v>69</v>
      </c>
      <c r="K29" s="146" t="n">
        <f aca="false">I29</f>
        <v>67</v>
      </c>
      <c r="L29" s="210" t="n">
        <f aca="false">IF(AND(ISNUMBER(C29),ISNUMBER(I29)),I29-C29,"—")</f>
        <v>39</v>
      </c>
    </row>
    <row r="30" customFormat="false" ht="15" hidden="false" customHeight="false" outlineLevel="0" collapsed="false">
      <c r="A30" s="211" t="str">
        <f aca="false">'Program List'!A27</f>
        <v>M260</v>
      </c>
      <c r="B30" s="212" t="str">
        <f aca="false">'Program List'!B27</f>
        <v>Master of Science in Criminal Justice</v>
      </c>
      <c r="C30" s="213" t="n">
        <f aca="false">'HC by Program-Term'!D32</f>
        <v>11</v>
      </c>
      <c r="D30" s="213" t="n">
        <f aca="false">'HC by Program-Term'!G32</f>
        <v>37</v>
      </c>
      <c r="E30" s="213" t="n">
        <f aca="false">'HC by Program-Term'!J32</f>
        <v>84</v>
      </c>
      <c r="F30" s="213" t="n">
        <f aca="false">'HC by Program-Term'!M32</f>
        <v>110</v>
      </c>
      <c r="G30" s="213" t="n">
        <f aca="false">'HC by Program-Term'!P32</f>
        <v>108</v>
      </c>
      <c r="H30" s="213" t="n">
        <f aca="false">'HC by Program-Term'!S32</f>
        <v>80</v>
      </c>
      <c r="I30" s="213" t="n">
        <f aca="false">'HC by Program-Term'!V32</f>
        <v>63</v>
      </c>
      <c r="J30" s="150" t="n">
        <f aca="false">IF(COUNT(C30:I30)=0,"—",MAX(C30:I30))</f>
        <v>110</v>
      </c>
      <c r="K30" s="150" t="n">
        <f aca="false">I30</f>
        <v>63</v>
      </c>
      <c r="L30" s="214" t="n">
        <f aca="false">IF(AND(ISNUMBER(C30),ISNUMBER(I30)),I30-C30,"—")</f>
        <v>52</v>
      </c>
    </row>
    <row r="31" customFormat="false" ht="15" hidden="false" customHeight="false" outlineLevel="0" collapsed="false">
      <c r="A31" s="207" t="str">
        <f aca="false">'Program List'!A28</f>
        <v>M264</v>
      </c>
      <c r="B31" s="208" t="str">
        <f aca="false">'Program List'!B28</f>
        <v>Master of Science in Cybersecurity Leadership</v>
      </c>
      <c r="C31" s="209" t="str">
        <f aca="false">'HC by Program-Term'!D33</f>
        <v>—</v>
      </c>
      <c r="D31" s="209" t="str">
        <f aca="false">'HC by Program-Term'!G33</f>
        <v>—</v>
      </c>
      <c r="E31" s="209" t="str">
        <f aca="false">'HC by Program-Term'!J33</f>
        <v>—</v>
      </c>
      <c r="F31" s="209" t="str">
        <f aca="false">'HC by Program-Term'!M33</f>
        <v>—</v>
      </c>
      <c r="G31" s="209" t="str">
        <f aca="false">'HC by Program-Term'!P33</f>
        <v>—</v>
      </c>
      <c r="H31" s="209" t="str">
        <f aca="false">'HC by Program-Term'!S33</f>
        <v>—</v>
      </c>
      <c r="I31" s="209" t="str">
        <f aca="false">'HC by Program-Term'!V33</f>
        <v>—</v>
      </c>
      <c r="J31" s="146" t="str">
        <f aca="false">IF(COUNT(C31:I31)=0,"—",MAX(C31:I31))</f>
        <v>—</v>
      </c>
      <c r="K31" s="146" t="str">
        <f aca="false">I31</f>
        <v>—</v>
      </c>
      <c r="L31" s="210" t="str">
        <f aca="false">IF(AND(ISNUMBER(C31),ISNUMBER(I31)),I31-C31,"—")</f>
        <v>—</v>
      </c>
    </row>
    <row r="32" customFormat="false" ht="15" hidden="false" customHeight="false" outlineLevel="0" collapsed="false">
      <c r="A32" s="211" t="str">
        <f aca="false">'Program List'!A29</f>
        <v>M374</v>
      </c>
      <c r="B32" s="212" t="str">
        <f aca="false">'Program List'!B29</f>
        <v>Master of Science in Engineering Leadership and Management</v>
      </c>
      <c r="C32" s="213" t="n">
        <f aca="false">'HC by Program-Term'!D34</f>
        <v>0</v>
      </c>
      <c r="D32" s="213" t="n">
        <f aca="false">'HC by Program-Term'!G34</f>
        <v>0</v>
      </c>
      <c r="E32" s="213" t="n">
        <f aca="false">'HC by Program-Term'!J34</f>
        <v>0</v>
      </c>
      <c r="F32" s="213" t="n">
        <f aca="false">'HC by Program-Term'!M34</f>
        <v>0</v>
      </c>
      <c r="G32" s="213" t="n">
        <f aca="false">'HC by Program-Term'!P34</f>
        <v>54</v>
      </c>
      <c r="H32" s="213" t="n">
        <f aca="false">'HC by Program-Term'!S34</f>
        <v>72</v>
      </c>
      <c r="I32" s="213" t="n">
        <f aca="false">'HC by Program-Term'!V34</f>
        <v>91</v>
      </c>
      <c r="J32" s="150" t="n">
        <f aca="false">IF(COUNT(C32:I32)=0,"—",MAX(C32:I32))</f>
        <v>91</v>
      </c>
      <c r="K32" s="150" t="n">
        <f aca="false">I32</f>
        <v>91</v>
      </c>
      <c r="L32" s="214" t="str">
        <f aca="false">IF(AND(ISNUMBER(C32),ISNUMBER(I32)),I32-C32,"—")</f>
        <v>—</v>
      </c>
    </row>
    <row r="33" customFormat="false" ht="15" hidden="false" customHeight="false" outlineLevel="0" collapsed="false">
      <c r="A33" s="207" t="str">
        <f aca="false">'Program List'!A30</f>
        <v>M435</v>
      </c>
      <c r="B33" s="208" t="str">
        <f aca="false">'Program List'!B30</f>
        <v>Master of Science in Finance</v>
      </c>
      <c r="C33" s="209" t="n">
        <f aca="false">'HC by Program-Term'!D35</f>
        <v>50</v>
      </c>
      <c r="D33" s="209" t="n">
        <f aca="false">'HC by Program-Term'!G35</f>
        <v>107</v>
      </c>
      <c r="E33" s="209" t="n">
        <f aca="false">'HC by Program-Term'!J35</f>
        <v>104</v>
      </c>
      <c r="F33" s="209" t="n">
        <f aca="false">'HC by Program-Term'!M35</f>
        <v>75</v>
      </c>
      <c r="G33" s="209" t="n">
        <f aca="false">'HC by Program-Term'!P35</f>
        <v>65</v>
      </c>
      <c r="H33" s="209" t="n">
        <f aca="false">'HC by Program-Term'!S35</f>
        <v>72</v>
      </c>
      <c r="I33" s="209" t="n">
        <f aca="false">'HC by Program-Term'!V35</f>
        <v>77</v>
      </c>
      <c r="J33" s="146" t="n">
        <f aca="false">IF(COUNT(C33:I33)=0,"—",MAX(C33:I33))</f>
        <v>107</v>
      </c>
      <c r="K33" s="146" t="n">
        <f aca="false">I33</f>
        <v>77</v>
      </c>
      <c r="L33" s="210" t="n">
        <f aca="false">IF(AND(ISNUMBER(C33),ISNUMBER(I33)),I33-C33,"—")</f>
        <v>27</v>
      </c>
    </row>
    <row r="34" customFormat="false" ht="15" hidden="false" customHeight="false" outlineLevel="0" collapsed="false">
      <c r="A34" s="211" t="str">
        <f aca="false">'Program List'!A31</f>
        <v>M464</v>
      </c>
      <c r="B34" s="212" t="str">
        <f aca="false">'Program List'!B31</f>
        <v>Master of Science in Geospatial Technology</v>
      </c>
      <c r="C34" s="213" t="n">
        <f aca="false">'HC by Program-Term'!D36</f>
        <v>18</v>
      </c>
      <c r="D34" s="213" t="n">
        <f aca="false">'HC by Program-Term'!G36</f>
        <v>46</v>
      </c>
      <c r="E34" s="213" t="n">
        <f aca="false">'HC by Program-Term'!J36</f>
        <v>36</v>
      </c>
      <c r="F34" s="213" t="n">
        <f aca="false">'HC by Program-Term'!M36</f>
        <v>27</v>
      </c>
      <c r="G34" s="213" t="n">
        <f aca="false">'HC by Program-Term'!P36</f>
        <v>26</v>
      </c>
      <c r="H34" s="213" t="n">
        <f aca="false">'HC by Program-Term'!S36</f>
        <v>18</v>
      </c>
      <c r="I34" s="213" t="n">
        <f aca="false">'HC by Program-Term'!V36</f>
        <v>15</v>
      </c>
      <c r="J34" s="150" t="n">
        <f aca="false">IF(COUNT(C34:I34)=0,"—",MAX(C34:I34))</f>
        <v>46</v>
      </c>
      <c r="K34" s="150" t="n">
        <f aca="false">I34</f>
        <v>15</v>
      </c>
      <c r="L34" s="214" t="n">
        <f aca="false">IF(AND(ISNUMBER(C34),ISNUMBER(I34)),I34-C34,"—")</f>
        <v>-3</v>
      </c>
    </row>
    <row r="35" customFormat="false" ht="15" hidden="false" customHeight="false" outlineLevel="0" collapsed="false">
      <c r="A35" s="207" t="str">
        <f aca="false">'Program List'!A32</f>
        <v>M527</v>
      </c>
      <c r="B35" s="208" t="str">
        <f aca="false">'Program List'!B32</f>
        <v>Master of Science in Industrial and Systems Engineering</v>
      </c>
      <c r="C35" s="209" t="n">
        <f aca="false">'HC by Program-Term'!D37</f>
        <v>0</v>
      </c>
      <c r="D35" s="209" t="n">
        <f aca="false">'HC by Program-Term'!G37</f>
        <v>8</v>
      </c>
      <c r="E35" s="209" t="n">
        <f aca="false">'HC by Program-Term'!J37</f>
        <v>22</v>
      </c>
      <c r="F35" s="209" t="n">
        <f aca="false">'HC by Program-Term'!M37</f>
        <v>37</v>
      </c>
      <c r="G35" s="209" t="n">
        <f aca="false">'HC by Program-Term'!P37</f>
        <v>63</v>
      </c>
      <c r="H35" s="209" t="n">
        <f aca="false">'HC by Program-Term'!S37</f>
        <v>71</v>
      </c>
      <c r="I35" s="209" t="n">
        <f aca="false">'HC by Program-Term'!V37</f>
        <v>93</v>
      </c>
      <c r="J35" s="146" t="n">
        <f aca="false">IF(COUNT(C35:I35)=0,"—",MAX(C35:I35))</f>
        <v>93</v>
      </c>
      <c r="K35" s="146" t="n">
        <f aca="false">I35</f>
        <v>93</v>
      </c>
      <c r="L35" s="210" t="str">
        <f aca="false">IF(AND(ISNUMBER(C35),ISNUMBER(I35)),I35-C35,"—")</f>
        <v>—</v>
      </c>
    </row>
    <row r="36" customFormat="false" ht="15" hidden="false" customHeight="false" outlineLevel="0" collapsed="false">
      <c r="A36" s="211" t="str">
        <f aca="false">'Program List'!A33</f>
        <v>M746</v>
      </c>
      <c r="B36" s="212" t="str">
        <f aca="false">'Program List'!B33</f>
        <v>Master of Science in Natural Gas Engineering and Management</v>
      </c>
      <c r="C36" s="213" t="n">
        <f aca="false">'HC by Program-Term'!D38</f>
        <v>9</v>
      </c>
      <c r="D36" s="213" t="n">
        <f aca="false">'HC by Program-Term'!G38</f>
        <v>20</v>
      </c>
      <c r="E36" s="213" t="n">
        <f aca="false">'HC by Program-Term'!J38</f>
        <v>26</v>
      </c>
      <c r="F36" s="213" t="n">
        <f aca="false">'HC by Program-Term'!M38</f>
        <v>37</v>
      </c>
      <c r="G36" s="213" t="n">
        <f aca="false">'HC by Program-Term'!P38</f>
        <v>49</v>
      </c>
      <c r="H36" s="213" t="n">
        <f aca="false">'HC by Program-Term'!S38</f>
        <v>50</v>
      </c>
      <c r="I36" s="213" t="n">
        <f aca="false">'HC by Program-Term'!V38</f>
        <v>59</v>
      </c>
      <c r="J36" s="150" t="n">
        <f aca="false">IF(COUNT(C36:I36)=0,"—",MAX(C36:I36))</f>
        <v>59</v>
      </c>
      <c r="K36" s="150" t="n">
        <f aca="false">I36</f>
        <v>59</v>
      </c>
      <c r="L36" s="214" t="n">
        <f aca="false">IF(AND(ISNUMBER(C36),ISNUMBER(I36)),I36-C36,"—")</f>
        <v>50</v>
      </c>
    </row>
    <row r="37" customFormat="false" ht="15" hidden="false" customHeight="false" outlineLevel="0" collapsed="false">
      <c r="A37" s="207" t="str">
        <f aca="false">'Program List'!A34</f>
        <v>M861</v>
      </c>
      <c r="B37" s="208" t="str">
        <f aca="false">'Program List'!B34</f>
        <v>Master of Science in Supply Chain Management</v>
      </c>
      <c r="C37" s="209" t="n">
        <f aca="false">'HC by Program-Term'!D39</f>
        <v>0</v>
      </c>
      <c r="D37" s="209" t="n">
        <f aca="false">'HC by Program-Term'!G39</f>
        <v>0</v>
      </c>
      <c r="E37" s="209" t="n">
        <f aca="false">'HC by Program-Term'!J39</f>
        <v>10</v>
      </c>
      <c r="F37" s="209" t="n">
        <f aca="false">'HC by Program-Term'!M39</f>
        <v>59</v>
      </c>
      <c r="G37" s="209" t="n">
        <f aca="false">'HC by Program-Term'!P39</f>
        <v>72</v>
      </c>
      <c r="H37" s="209" t="n">
        <f aca="false">'HC by Program-Term'!S39</f>
        <v>80</v>
      </c>
      <c r="I37" s="209" t="n">
        <f aca="false">'HC by Program-Term'!V39</f>
        <v>80</v>
      </c>
      <c r="J37" s="146" t="n">
        <f aca="false">IF(COUNT(C37:I37)=0,"—",MAX(C37:I37))</f>
        <v>80</v>
      </c>
      <c r="K37" s="146" t="n">
        <f aca="false">I37</f>
        <v>80</v>
      </c>
      <c r="L37" s="210" t="str">
        <f aca="false">IF(AND(ISNUMBER(C37),ISNUMBER(I37)),I37-C37,"—")</f>
        <v>—</v>
      </c>
    </row>
    <row r="38" customFormat="false" ht="15" hidden="false" customHeight="false" outlineLevel="0" collapsed="false">
      <c r="A38" s="211" t="str">
        <f aca="false">'Program List'!A35</f>
        <v>M869</v>
      </c>
      <c r="B38" s="212" t="str">
        <f aca="false">'Program List'!B35</f>
        <v>Master of Science in Sustainability - Energy and Materials Mgmt</v>
      </c>
      <c r="C38" s="213" t="n">
        <f aca="false">'HC by Program-Term'!D40</f>
        <v>0</v>
      </c>
      <c r="D38" s="213" t="n">
        <f aca="false">'HC by Program-Term'!G40</f>
        <v>0</v>
      </c>
      <c r="E38" s="213" t="n">
        <f aca="false">'HC by Program-Term'!J40</f>
        <v>0</v>
      </c>
      <c r="F38" s="213" t="n">
        <f aca="false">'HC by Program-Term'!M40</f>
        <v>14</v>
      </c>
      <c r="G38" s="213" t="n">
        <f aca="false">'HC by Program-Term'!P40</f>
        <v>45</v>
      </c>
      <c r="H38" s="213" t="n">
        <f aca="false">'HC by Program-Term'!S40</f>
        <v>65</v>
      </c>
      <c r="I38" s="213" t="n">
        <f aca="false">'HC by Program-Term'!V40</f>
        <v>40</v>
      </c>
      <c r="J38" s="150" t="n">
        <f aca="false">IF(COUNT(C38:I38)=0,"—",MAX(C38:I38))</f>
        <v>65</v>
      </c>
      <c r="K38" s="150" t="n">
        <f aca="false">I38</f>
        <v>40</v>
      </c>
      <c r="L38" s="214" t="str">
        <f aca="false">IF(AND(ISNUMBER(C38),ISNUMBER(I38)),I38-C38,"—")</f>
        <v>—</v>
      </c>
    </row>
    <row r="39" customFormat="false" ht="15" hidden="false" customHeight="false" outlineLevel="0" collapsed="false">
      <c r="A39" s="207" t="str">
        <f aca="false">'Program List'!A36</f>
        <v>M867</v>
      </c>
      <c r="B39" s="208" t="str">
        <f aca="false">'Program List'!B36</f>
        <v>Master of Science in Sustainable Architecture</v>
      </c>
      <c r="C39" s="209" t="n">
        <f aca="false">'HC by Program-Term'!D41</f>
        <v>0</v>
      </c>
      <c r="D39" s="209" t="n">
        <f aca="false">'HC by Program-Term'!G41</f>
        <v>0</v>
      </c>
      <c r="E39" s="209" t="n">
        <f aca="false">'HC by Program-Term'!J41</f>
        <v>0</v>
      </c>
      <c r="F39" s="209" t="n">
        <f aca="false">'HC by Program-Term'!M41</f>
        <v>0</v>
      </c>
      <c r="G39" s="209" t="n">
        <f aca="false">'HC by Program-Term'!P41</f>
        <v>34</v>
      </c>
      <c r="H39" s="209" t="n">
        <f aca="false">'HC by Program-Term'!S41</f>
        <v>35</v>
      </c>
      <c r="I39" s="209" t="n">
        <f aca="false">'HC by Program-Term'!V41</f>
        <v>19</v>
      </c>
      <c r="J39" s="146" t="n">
        <f aca="false">IF(COUNT(C39:I39)=0,"—",MAX(C39:I39))</f>
        <v>35</v>
      </c>
      <c r="K39" s="146" t="n">
        <f aca="false">I39</f>
        <v>19</v>
      </c>
      <c r="L39" s="210" t="str">
        <f aca="false">IF(AND(ISNUMBER(C39),ISNUMBER(I39)),I39-C39,"—")</f>
        <v>—</v>
      </c>
    </row>
    <row r="40" customFormat="false" ht="15" hidden="false" customHeight="false" outlineLevel="0" collapsed="false">
      <c r="A40" s="211" t="str">
        <f aca="false">'Program List'!A37</f>
        <v>M844</v>
      </c>
      <c r="B40" s="212" t="str">
        <f aca="false">'Program List'!B37</f>
        <v>Master of Social Work</v>
      </c>
      <c r="C40" s="213" t="n">
        <f aca="false">'HC by Program-Term'!D42</f>
        <v>85</v>
      </c>
      <c r="D40" s="213" t="n">
        <f aca="false">'HC by Program-Term'!G42</f>
        <v>258</v>
      </c>
      <c r="E40" s="213" t="n">
        <f aca="false">'HC by Program-Term'!J42</f>
        <v>422</v>
      </c>
      <c r="F40" s="213" t="n">
        <f aca="false">'HC by Program-Term'!M42</f>
        <v>436</v>
      </c>
      <c r="G40" s="213" t="n">
        <f aca="false">'HC by Program-Term'!P42</f>
        <v>440</v>
      </c>
      <c r="H40" s="213" t="n">
        <f aca="false">'HC by Program-Term'!S42</f>
        <v>434</v>
      </c>
      <c r="I40" s="213" t="n">
        <f aca="false">'HC by Program-Term'!V42</f>
        <v>468</v>
      </c>
      <c r="J40" s="150" t="n">
        <f aca="false">IF(COUNT(C40:I40)=0,"—",MAX(C40:I40))</f>
        <v>468</v>
      </c>
      <c r="K40" s="150" t="n">
        <f aca="false">I40</f>
        <v>468</v>
      </c>
      <c r="L40" s="214" t="n">
        <f aca="false">IF(AND(ISNUMBER(C40),ISNUMBER(I40)),I40-C40,"—")</f>
        <v>383</v>
      </c>
    </row>
    <row r="41" customFormat="false" ht="15" hidden="false" customHeight="false" outlineLevel="0" collapsed="false">
      <c r="A41" s="207" t="str">
        <f aca="false">'Program List'!A38</f>
        <v>1237Q</v>
      </c>
      <c r="B41" s="208" t="str">
        <f aca="false">'Program List'!B38</f>
        <v>Masters in Public Health</v>
      </c>
      <c r="C41" s="209" t="str">
        <f aca="false">'HC by Program-Term'!D43</f>
        <v>—</v>
      </c>
      <c r="D41" s="209" t="str">
        <f aca="false">'HC by Program-Term'!G43</f>
        <v>—</v>
      </c>
      <c r="E41" s="209" t="str">
        <f aca="false">'HC by Program-Term'!J43</f>
        <v>—</v>
      </c>
      <c r="F41" s="209" t="str">
        <f aca="false">'HC by Program-Term'!M43</f>
        <v>—</v>
      </c>
      <c r="G41" s="209" t="str">
        <f aca="false">'HC by Program-Term'!P43</f>
        <v>—</v>
      </c>
      <c r="H41" s="209" t="str">
        <f aca="false">'HC by Program-Term'!S43</f>
        <v>—</v>
      </c>
      <c r="I41" s="209" t="str">
        <f aca="false">'HC by Program-Term'!V43</f>
        <v>—</v>
      </c>
      <c r="J41" s="146" t="str">
        <f aca="false">IF(COUNT(C41:I41)=0,"—",MAX(C41:I41))</f>
        <v>—</v>
      </c>
      <c r="K41" s="146" t="str">
        <f aca="false">I41</f>
        <v>—</v>
      </c>
      <c r="L41" s="210" t="str">
        <f aca="false">IF(AND(ISNUMBER(C41),ISNUMBER(I41)),I41-C41,"—")</f>
        <v>—</v>
      </c>
    </row>
    <row r="42" customFormat="false" ht="15" hidden="false" customHeight="false" outlineLevel="0" collapsed="false">
      <c r="A42" s="211" t="str">
        <f aca="false">'Program List'!A39</f>
        <v>M355</v>
      </c>
      <c r="B42" s="212" t="str">
        <f aca="false">'Program List'!B39</f>
        <v>Online LL.M. Energy and Natural Resources</v>
      </c>
      <c r="C42" s="213" t="n">
        <f aca="false">'HC by Program-Term'!D44</f>
        <v>0</v>
      </c>
      <c r="D42" s="213" t="n">
        <f aca="false">'HC by Program-Term'!G44</f>
        <v>1</v>
      </c>
      <c r="E42" s="213" t="n">
        <f aca="false">'HC by Program-Term'!J44</f>
        <v>2</v>
      </c>
      <c r="F42" s="213" t="n">
        <f aca="false">'HC by Program-Term'!M44</f>
        <v>3</v>
      </c>
      <c r="G42" s="213" t="n">
        <f aca="false">'HC by Program-Term'!P44</f>
        <v>6</v>
      </c>
      <c r="H42" s="213" t="n">
        <f aca="false">'HC by Program-Term'!S44</f>
        <v>3</v>
      </c>
      <c r="I42" s="213" t="n">
        <f aca="false">'HC by Program-Term'!V44</f>
        <v>2</v>
      </c>
      <c r="J42" s="150" t="n">
        <f aca="false">IF(COUNT(C42:I42)=0,"—",MAX(C42:I42))</f>
        <v>6</v>
      </c>
      <c r="K42" s="150" t="n">
        <f aca="false">I42</f>
        <v>2</v>
      </c>
      <c r="L42" s="214" t="str">
        <f aca="false">IF(AND(ISNUMBER(C42),ISNUMBER(I42)),I42-C42,"—")</f>
        <v>—</v>
      </c>
    </row>
    <row r="43" customFormat="false" ht="15" hidden="false" customHeight="false" outlineLevel="0" collapsed="false">
      <c r="A43" s="207" t="str">
        <f aca="false">'Program List'!A40</f>
        <v>M504</v>
      </c>
      <c r="B43" s="208" t="str">
        <f aca="false">'Program List'!B40</f>
        <v>Online LL.M. Healthcare Law</v>
      </c>
      <c r="C43" s="209" t="n">
        <f aca="false">'HC by Program-Term'!D45</f>
        <v>0</v>
      </c>
      <c r="D43" s="209" t="n">
        <f aca="false">'HC by Program-Term'!G45</f>
        <v>2</v>
      </c>
      <c r="E43" s="209" t="n">
        <f aca="false">'HC by Program-Term'!J45</f>
        <v>1</v>
      </c>
      <c r="F43" s="209" t="n">
        <f aca="false">'HC by Program-Term'!M45</f>
        <v>4</v>
      </c>
      <c r="G43" s="209" t="n">
        <f aca="false">'HC by Program-Term'!P45</f>
        <v>1</v>
      </c>
      <c r="H43" s="209" t="n">
        <f aca="false">'HC by Program-Term'!S45</f>
        <v>3</v>
      </c>
      <c r="I43" s="209" t="n">
        <f aca="false">'HC by Program-Term'!V45</f>
        <v>3</v>
      </c>
      <c r="J43" s="146" t="n">
        <f aca="false">IF(COUNT(C43:I43)=0,"—",MAX(C43:I43))</f>
        <v>4</v>
      </c>
      <c r="K43" s="146" t="n">
        <f aca="false">I43</f>
        <v>3</v>
      </c>
      <c r="L43" s="210" t="str">
        <f aca="false">IF(AND(ISNUMBER(C43),ISNUMBER(I43)),I43-C43,"—")</f>
        <v>—</v>
      </c>
    </row>
    <row r="44" customFormat="false" ht="15" hidden="false" customHeight="false" outlineLevel="0" collapsed="false">
      <c r="A44" s="211" t="str">
        <f aca="false">'Program List'!A41</f>
        <v>M526</v>
      </c>
      <c r="B44" s="212" t="str">
        <f aca="false">'Program List'!B41</f>
        <v>Online LL.M. Indigenous Peoples Law</v>
      </c>
      <c r="C44" s="213" t="n">
        <f aca="false">'HC by Program-Term'!D46</f>
        <v>0</v>
      </c>
      <c r="D44" s="213" t="n">
        <f aca="false">'HC by Program-Term'!G46</f>
        <v>6</v>
      </c>
      <c r="E44" s="213" t="n">
        <f aca="false">'HC by Program-Term'!J46</f>
        <v>7</v>
      </c>
      <c r="F44" s="213" t="n">
        <f aca="false">'HC by Program-Term'!M46</f>
        <v>4</v>
      </c>
      <c r="G44" s="213" t="n">
        <f aca="false">'HC by Program-Term'!P46</f>
        <v>11</v>
      </c>
      <c r="H44" s="213" t="n">
        <f aca="false">'HC by Program-Term'!S46</f>
        <v>7</v>
      </c>
      <c r="I44" s="213" t="n">
        <f aca="false">'HC by Program-Term'!V46</f>
        <v>1</v>
      </c>
      <c r="J44" s="150" t="n">
        <f aca="false">IF(COUNT(C44:I44)=0,"—",MAX(C44:I44))</f>
        <v>11</v>
      </c>
      <c r="K44" s="150" t="n">
        <f aca="false">I44</f>
        <v>1</v>
      </c>
      <c r="L44" s="214" t="str">
        <f aca="false">IF(AND(ISNUMBER(C44),ISNUMBER(I44)),I44-C44,"—")</f>
        <v>—</v>
      </c>
    </row>
    <row r="45" customFormat="false" ht="15" hidden="false" customHeight="false" outlineLevel="0" collapsed="false">
      <c r="A45" s="207" t="str">
        <f aca="false">'Program List'!A42</f>
        <v>M592</v>
      </c>
      <c r="B45" s="208" t="str">
        <f aca="false">'Program List'!B42</f>
        <v>Online LL.M. International Business</v>
      </c>
      <c r="C45" s="209" t="n">
        <f aca="false">'HC by Program-Term'!D47</f>
        <v>0</v>
      </c>
      <c r="D45" s="209" t="n">
        <f aca="false">'HC by Program-Term'!G47</f>
        <v>0</v>
      </c>
      <c r="E45" s="209" t="n">
        <f aca="false">'HC by Program-Term'!J47</f>
        <v>1</v>
      </c>
      <c r="F45" s="209" t="n">
        <f aca="false">'HC by Program-Term'!M47</f>
        <v>1</v>
      </c>
      <c r="G45" s="209" t="n">
        <f aca="false">'HC by Program-Term'!P47</f>
        <v>0</v>
      </c>
      <c r="H45" s="209" t="n">
        <f aca="false">'HC by Program-Term'!S47</f>
        <v>3</v>
      </c>
      <c r="I45" s="209" t="n">
        <f aca="false">'HC by Program-Term'!V47</f>
        <v>2</v>
      </c>
      <c r="J45" s="146" t="n">
        <f aca="false">IF(COUNT(C45:I45)=0,"—",MAX(C45:I45))</f>
        <v>3</v>
      </c>
      <c r="K45" s="146" t="n">
        <f aca="false">I45</f>
        <v>2</v>
      </c>
      <c r="L45" s="210" t="str">
        <f aca="false">IF(AND(ISNUMBER(C45),ISNUMBER(I45)),I45-C45,"—")</f>
        <v>—</v>
      </c>
    </row>
    <row r="46" customFormat="false" ht="15" hidden="false" customHeight="false" outlineLevel="0" collapsed="false">
      <c r="A46" s="87"/>
      <c r="B46" s="215" t="s">
        <v>700</v>
      </c>
      <c r="C46" s="216" t="n">
        <f aca="false">SUM(C5:C45)</f>
        <v>589</v>
      </c>
      <c r="D46" s="216" t="n">
        <f aca="false">SUM(D5:D45)</f>
        <v>1609</v>
      </c>
      <c r="E46" s="216" t="n">
        <f aca="false">SUM(E5:E45)</f>
        <v>2202</v>
      </c>
      <c r="F46" s="216" t="n">
        <f aca="false">SUM(F5:F45)</f>
        <v>2551</v>
      </c>
      <c r="G46" s="216" t="n">
        <f aca="false">SUM(G5:G45)</f>
        <v>2816</v>
      </c>
      <c r="H46" s="216" t="n">
        <f aca="false">SUM(H5:H45)</f>
        <v>2704</v>
      </c>
      <c r="I46" s="216" t="n">
        <f aca="false">SUM(I5:I45)</f>
        <v>2482</v>
      </c>
      <c r="J46" s="87"/>
      <c r="K46" s="216" t="n">
        <f aca="false">SUM(K5:K45)</f>
        <v>2482</v>
      </c>
      <c r="L46" s="87"/>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6"/>
    <col collapsed="false" customWidth="true" hidden="false" outlineLevel="0" max="11" min="3" style="0" width="11"/>
  </cols>
  <sheetData>
    <row r="1" customFormat="false" ht="17.35" hidden="false" customHeight="false" outlineLevel="0" collapsed="false">
      <c r="A1" s="203" t="s">
        <v>781</v>
      </c>
    </row>
    <row r="2" customFormat="false" ht="25.5" hidden="false" customHeight="true" outlineLevel="0" collapsed="false">
      <c r="A2" s="204" t="s">
        <v>782</v>
      </c>
      <c r="B2" s="204"/>
      <c r="C2" s="204"/>
      <c r="D2" s="204"/>
      <c r="E2" s="204"/>
      <c r="F2" s="204"/>
      <c r="G2" s="204"/>
      <c r="H2" s="204"/>
      <c r="I2" s="204"/>
      <c r="J2" s="204"/>
      <c r="K2" s="204"/>
    </row>
    <row r="4" customFormat="false" ht="25.5" hidden="false" customHeight="true" outlineLevel="0" collapsed="false">
      <c r="A4" s="217" t="s">
        <v>699</v>
      </c>
      <c r="B4" s="218" t="s">
        <v>134</v>
      </c>
      <c r="C4" s="217" t="s">
        <v>705</v>
      </c>
      <c r="D4" s="217" t="s">
        <v>708</v>
      </c>
      <c r="E4" s="217" t="s">
        <v>711</v>
      </c>
      <c r="F4" s="217" t="s">
        <v>714</v>
      </c>
      <c r="G4" s="217" t="s">
        <v>717</v>
      </c>
      <c r="H4" s="217" t="s">
        <v>720</v>
      </c>
      <c r="I4" s="217" t="s">
        <v>778</v>
      </c>
      <c r="J4" s="217" t="s">
        <v>783</v>
      </c>
      <c r="K4" s="217" t="s">
        <v>780</v>
      </c>
    </row>
    <row r="5" customFormat="false" ht="15" hidden="false" customHeight="false" outlineLevel="0" collapsed="false">
      <c r="A5" s="207" t="str">
        <f aca="false">'Program List'!A2</f>
        <v>1550C</v>
      </c>
      <c r="B5" s="208" t="str">
        <f aca="false">'Program List'!B2</f>
        <v>Certificate in Population Health</v>
      </c>
      <c r="C5" s="209" t="str">
        <f aca="false">'HC by Program-Term'!E7</f>
        <v>—</v>
      </c>
      <c r="D5" s="209" t="str">
        <f aca="false">'HC by Program-Term'!H7</f>
        <v>—</v>
      </c>
      <c r="E5" s="209" t="str">
        <f aca="false">'HC by Program-Term'!K7</f>
        <v>—</v>
      </c>
      <c r="F5" s="209" t="str">
        <f aca="false">'HC by Program-Term'!N7</f>
        <v>—</v>
      </c>
      <c r="G5" s="209" t="str">
        <f aca="false">'HC by Program-Term'!Q7</f>
        <v>—</v>
      </c>
      <c r="H5" s="209" t="str">
        <f aca="false">'HC by Program-Term'!T7</f>
        <v>—</v>
      </c>
      <c r="I5" s="146" t="str">
        <f aca="false">IF(COUNT(C5:H5)=0,"—",MAX(C5:H5))</f>
        <v>—</v>
      </c>
      <c r="J5" s="146" t="str">
        <f aca="false">H5</f>
        <v>—</v>
      </c>
      <c r="K5" s="210" t="str">
        <f aca="false">IF(AND(ISNUMBER(C5),ISNUMBER(H5)),H5-C5,"—")</f>
        <v>—</v>
      </c>
    </row>
    <row r="6" customFormat="false" ht="15" hidden="false" customHeight="false" outlineLevel="0" collapsed="false">
      <c r="A6" s="211" t="str">
        <f aca="false">'Program List'!A3</f>
        <v>D318</v>
      </c>
      <c r="B6" s="212" t="str">
        <f aca="false">'Program List'!B3</f>
        <v>Ed.D. in Education Administration</v>
      </c>
      <c r="C6" s="213" t="str">
        <f aca="false">'HC by Program-Term'!E8</f>
        <v>—</v>
      </c>
      <c r="D6" s="213" t="str">
        <f aca="false">'HC by Program-Term'!H8</f>
        <v>—</v>
      </c>
      <c r="E6" s="213" t="str">
        <f aca="false">'HC by Program-Term'!K8</f>
        <v>—</v>
      </c>
      <c r="F6" s="213" t="str">
        <f aca="false">'HC by Program-Term'!N8</f>
        <v>—</v>
      </c>
      <c r="G6" s="213" t="str">
        <f aca="false">'HC by Program-Term'!Q8</f>
        <v>—</v>
      </c>
      <c r="H6" s="213" t="str">
        <f aca="false">'HC by Program-Term'!T8</f>
        <v>—</v>
      </c>
      <c r="I6" s="150" t="str">
        <f aca="false">IF(COUNT(C6:H6)=0,"—",MAX(C6:H6))</f>
        <v>—</v>
      </c>
      <c r="J6" s="150" t="str">
        <f aca="false">H6</f>
        <v>—</v>
      </c>
      <c r="K6" s="214" t="str">
        <f aca="false">IF(AND(ISNUMBER(C6),ISNUMBER(H6)),H6-C6,"—")</f>
        <v>—</v>
      </c>
    </row>
    <row r="7" customFormat="false" ht="15" hidden="false" customHeight="false" outlineLevel="0" collapsed="false">
      <c r="A7" s="207" t="str">
        <f aca="false">'Program List'!A4</f>
        <v>M366</v>
      </c>
      <c r="B7" s="208" t="str">
        <f aca="false">'Program List'!B4</f>
        <v>Executive MBA in Energy</v>
      </c>
      <c r="C7" s="209" t="n">
        <f aca="false">'HC by Program-Term'!E9</f>
        <v>27</v>
      </c>
      <c r="D7" s="209" t="n">
        <f aca="false">'HC by Program-Term'!H9</f>
        <v>29</v>
      </c>
      <c r="E7" s="209" t="n">
        <f aca="false">'HC by Program-Term'!K9</f>
        <v>46</v>
      </c>
      <c r="F7" s="209" t="n">
        <f aca="false">'HC by Program-Term'!N9</f>
        <v>44</v>
      </c>
      <c r="G7" s="209" t="n">
        <f aca="false">'HC by Program-Term'!Q9</f>
        <v>39</v>
      </c>
      <c r="H7" s="209" t="n">
        <f aca="false">'HC by Program-Term'!T9</f>
        <v>29</v>
      </c>
      <c r="I7" s="146" t="n">
        <f aca="false">IF(COUNT(C7:H7)=0,"—",MAX(C7:H7))</f>
        <v>46</v>
      </c>
      <c r="J7" s="146" t="n">
        <f aca="false">H7</f>
        <v>29</v>
      </c>
      <c r="K7" s="210" t="n">
        <f aca="false">IF(AND(ISNUMBER(C7),ISNUMBER(H7)),H7-C7,"—")</f>
        <v>2</v>
      </c>
    </row>
    <row r="8" customFormat="false" ht="15" hidden="false" customHeight="false" outlineLevel="0" collapsed="false">
      <c r="A8" s="211" t="str">
        <f aca="false">'Program List'!A5</f>
        <v>1231EX</v>
      </c>
      <c r="B8" s="212" t="str">
        <f aca="false">'Program List'!B5</f>
        <v>Executive Masters in Health Administration</v>
      </c>
      <c r="C8" s="213" t="str">
        <f aca="false">'HC by Program-Term'!E10</f>
        <v>—</v>
      </c>
      <c r="D8" s="213" t="str">
        <f aca="false">'HC by Program-Term'!H10</f>
        <v>—</v>
      </c>
      <c r="E8" s="213" t="str">
        <f aca="false">'HC by Program-Term'!K10</f>
        <v>—</v>
      </c>
      <c r="F8" s="213" t="str">
        <f aca="false">'HC by Program-Term'!N10</f>
        <v>—</v>
      </c>
      <c r="G8" s="213" t="str">
        <f aca="false">'HC by Program-Term'!Q10</f>
        <v>—</v>
      </c>
      <c r="H8" s="213" t="str">
        <f aca="false">'HC by Program-Term'!T10</f>
        <v>—</v>
      </c>
      <c r="I8" s="150" t="str">
        <f aca="false">IF(COUNT(C8:H8)=0,"—",MAX(C8:H8))</f>
        <v>—</v>
      </c>
      <c r="J8" s="150" t="str">
        <f aca="false">H8</f>
        <v>—</v>
      </c>
      <c r="K8" s="214" t="str">
        <f aca="false">IF(AND(ISNUMBER(C8),ISNUMBER(H8)),H8-C8,"—")</f>
        <v>—</v>
      </c>
    </row>
    <row r="9" customFormat="false" ht="15" hidden="false" customHeight="false" outlineLevel="0" collapsed="false">
      <c r="A9" s="207" t="str">
        <f aca="false">'Program List'!A6</f>
        <v>M013</v>
      </c>
      <c r="B9" s="208" t="str">
        <f aca="false">'Program List'!B6</f>
        <v>Master of Accountancy</v>
      </c>
      <c r="C9" s="209" t="n">
        <f aca="false">'HC by Program-Term'!E11</f>
        <v>74</v>
      </c>
      <c r="D9" s="209" t="n">
        <f aca="false">'HC by Program-Term'!H11</f>
        <v>113</v>
      </c>
      <c r="E9" s="209" t="n">
        <f aca="false">'HC by Program-Term'!K11</f>
        <v>107</v>
      </c>
      <c r="F9" s="209" t="n">
        <f aca="false">'HC by Program-Term'!N11</f>
        <v>104</v>
      </c>
      <c r="G9" s="209" t="n">
        <f aca="false">'HC by Program-Term'!Q11</f>
        <v>96</v>
      </c>
      <c r="H9" s="209" t="n">
        <f aca="false">'HC by Program-Term'!T11</f>
        <v>106</v>
      </c>
      <c r="I9" s="146" t="n">
        <f aca="false">IF(COUNT(C9:H9)=0,"—",MAX(C9:H9))</f>
        <v>113</v>
      </c>
      <c r="J9" s="146" t="n">
        <f aca="false">H9</f>
        <v>106</v>
      </c>
      <c r="K9" s="210" t="n">
        <f aca="false">IF(AND(ISNUMBER(C9),ISNUMBER(H9)),H9-C9,"—")</f>
        <v>32</v>
      </c>
    </row>
    <row r="10" customFormat="false" ht="15" hidden="false" customHeight="false" outlineLevel="0" collapsed="false">
      <c r="A10" s="211" t="str">
        <f aca="false">'Program List'!A7</f>
        <v>M075</v>
      </c>
      <c r="B10" s="212" t="str">
        <f aca="false">'Program List'!B7</f>
        <v>Master of Arts in Art and Technology</v>
      </c>
      <c r="C10" s="213" t="n">
        <f aca="false">'HC by Program-Term'!E12</f>
        <v>0</v>
      </c>
      <c r="D10" s="213" t="n">
        <f aca="false">'HC by Program-Term'!H12</f>
        <v>47</v>
      </c>
      <c r="E10" s="213" t="n">
        <f aca="false">'HC by Program-Term'!K12</f>
        <v>73</v>
      </c>
      <c r="F10" s="213" t="n">
        <f aca="false">'HC by Program-Term'!N12</f>
        <v>80</v>
      </c>
      <c r="G10" s="213" t="n">
        <f aca="false">'HC by Program-Term'!Q12</f>
        <v>72</v>
      </c>
      <c r="H10" s="213" t="n">
        <f aca="false">'HC by Program-Term'!T12</f>
        <v>62</v>
      </c>
      <c r="I10" s="150" t="n">
        <f aca="false">IF(COUNT(C10:H10)=0,"—",MAX(C10:H10))</f>
        <v>80</v>
      </c>
      <c r="J10" s="150" t="n">
        <f aca="false">H10</f>
        <v>62</v>
      </c>
      <c r="K10" s="214" t="str">
        <f aca="false">IF(AND(ISNUMBER(C10),ISNUMBER(H10)),H10-C10,"—")</f>
        <v>—</v>
      </c>
    </row>
    <row r="11" customFormat="false" ht="15" hidden="false" customHeight="false" outlineLevel="0" collapsed="false">
      <c r="A11" s="207" t="str">
        <f aca="false">'Program List'!A8</f>
        <v>M073</v>
      </c>
      <c r="B11" s="208" t="str">
        <f aca="false">'Program List'!B8</f>
        <v>Master of Arts in Arts Management</v>
      </c>
      <c r="C11" s="209" t="n">
        <f aca="false">'HC by Program-Term'!E13</f>
        <v>0</v>
      </c>
      <c r="D11" s="209" t="n">
        <f aca="false">'HC by Program-Term'!H13</f>
        <v>0</v>
      </c>
      <c r="E11" s="209" t="n">
        <f aca="false">'HC by Program-Term'!K13</f>
        <v>6</v>
      </c>
      <c r="F11" s="209" t="n">
        <f aca="false">'HC by Program-Term'!N13</f>
        <v>75</v>
      </c>
      <c r="G11" s="209" t="n">
        <f aca="false">'HC by Program-Term'!Q13</f>
        <v>93</v>
      </c>
      <c r="H11" s="209" t="n">
        <f aca="false">'HC by Program-Term'!T13</f>
        <v>87</v>
      </c>
      <c r="I11" s="146" t="n">
        <f aca="false">IF(COUNT(C11:H11)=0,"—",MAX(C11:H11))</f>
        <v>93</v>
      </c>
      <c r="J11" s="146" t="n">
        <f aca="false">H11</f>
        <v>87</v>
      </c>
      <c r="K11" s="210" t="str">
        <f aca="false">IF(AND(ISNUMBER(C11),ISNUMBER(H11)),H11-C11,"—")</f>
        <v>—</v>
      </c>
    </row>
    <row r="12" customFormat="false" ht="15" hidden="false" customHeight="false" outlineLevel="0" collapsed="false">
      <c r="A12" s="211" t="str">
        <f aca="false">'Program List'!A9</f>
        <v>M494</v>
      </c>
      <c r="B12" s="212" t="str">
        <f aca="false">'Program List'!B9</f>
        <v>Master of Arts in Global Affairs</v>
      </c>
      <c r="C12" s="213" t="n">
        <f aca="false">'HC by Program-Term'!E14</f>
        <v>47</v>
      </c>
      <c r="D12" s="213" t="n">
        <f aca="false">'HC by Program-Term'!H14</f>
        <v>70</v>
      </c>
      <c r="E12" s="213" t="n">
        <f aca="false">'HC by Program-Term'!K14</f>
        <v>96</v>
      </c>
      <c r="F12" s="213" t="n">
        <f aca="false">'HC by Program-Term'!N14</f>
        <v>125</v>
      </c>
      <c r="G12" s="213" t="n">
        <f aca="false">'HC by Program-Term'!Q14</f>
        <v>131</v>
      </c>
      <c r="H12" s="213" t="n">
        <f aca="false">'HC by Program-Term'!T14</f>
        <v>113</v>
      </c>
      <c r="I12" s="150" t="n">
        <f aca="false">IF(COUNT(C12:H12)=0,"—",MAX(C12:H12))</f>
        <v>131</v>
      </c>
      <c r="J12" s="150" t="n">
        <f aca="false">H12</f>
        <v>113</v>
      </c>
      <c r="K12" s="214" t="n">
        <f aca="false">IF(AND(ISNUMBER(C12),ISNUMBER(H12)),H12-C12,"—")</f>
        <v>66</v>
      </c>
    </row>
    <row r="13" customFormat="false" ht="15" hidden="false" customHeight="false" outlineLevel="0" collapsed="false">
      <c r="A13" s="207" t="str">
        <f aca="false">'Program List'!A10</f>
        <v>M700</v>
      </c>
      <c r="B13" s="208" t="str">
        <f aca="false">'Program List'!B10</f>
        <v>Master of Arts in Museum Studies</v>
      </c>
      <c r="C13" s="209" t="n">
        <f aca="false">'HC by Program-Term'!E15</f>
        <v>43</v>
      </c>
      <c r="D13" s="209" t="n">
        <f aca="false">'HC by Program-Term'!H15</f>
        <v>89</v>
      </c>
      <c r="E13" s="209" t="n">
        <f aca="false">'HC by Program-Term'!K15</f>
        <v>190</v>
      </c>
      <c r="F13" s="209" t="n">
        <f aca="false">'HC by Program-Term'!N15</f>
        <v>300</v>
      </c>
      <c r="G13" s="209" t="n">
        <f aca="false">'HC by Program-Term'!Q15</f>
        <v>296</v>
      </c>
      <c r="H13" s="209" t="n">
        <f aca="false">'HC by Program-Term'!T15</f>
        <v>250</v>
      </c>
      <c r="I13" s="146" t="n">
        <f aca="false">IF(COUNT(C13:H13)=0,"—",MAX(C13:H13))</f>
        <v>300</v>
      </c>
      <c r="J13" s="146" t="n">
        <f aca="false">H13</f>
        <v>250</v>
      </c>
      <c r="K13" s="210" t="n">
        <f aca="false">IF(AND(ISNUMBER(C13),ISNUMBER(H13)),H13-C13,"—")</f>
        <v>207</v>
      </c>
    </row>
    <row r="14" customFormat="false" ht="15" hidden="false" customHeight="false" outlineLevel="0" collapsed="false">
      <c r="A14" s="211" t="str">
        <f aca="false">'Program List'!A11</f>
        <v>M762</v>
      </c>
      <c r="B14" s="212" t="str">
        <f aca="false">'Program List'!B11</f>
        <v>Master of Arts in Organizational Leadership</v>
      </c>
      <c r="C14" s="213" t="n">
        <f aca="false">'HC by Program-Term'!E16</f>
        <v>98</v>
      </c>
      <c r="D14" s="213" t="n">
        <f aca="false">'HC by Program-Term'!H16</f>
        <v>169</v>
      </c>
      <c r="E14" s="213" t="n">
        <f aca="false">'HC by Program-Term'!K16</f>
        <v>179</v>
      </c>
      <c r="F14" s="213" t="n">
        <f aca="false">'HC by Program-Term'!N16</f>
        <v>213</v>
      </c>
      <c r="G14" s="213" t="n">
        <f aca="false">'HC by Program-Term'!Q16</f>
        <v>196</v>
      </c>
      <c r="H14" s="213" t="n">
        <f aca="false">'HC by Program-Term'!T16</f>
        <v>159</v>
      </c>
      <c r="I14" s="150" t="n">
        <f aca="false">IF(COUNT(C14:H14)=0,"—",MAX(C14:H14))</f>
        <v>213</v>
      </c>
      <c r="J14" s="150" t="n">
        <f aca="false">H14</f>
        <v>159</v>
      </c>
      <c r="K14" s="214" t="n">
        <f aca="false">IF(AND(ISNUMBER(C14),ISNUMBER(H14)),H14-C14,"—")</f>
        <v>61</v>
      </c>
    </row>
    <row r="15" customFormat="false" ht="15" hidden="false" customHeight="false" outlineLevel="0" collapsed="false">
      <c r="A15" s="207" t="str">
        <f aca="false">'Program List'!A12</f>
        <v>M859</v>
      </c>
      <c r="B15" s="208" t="str">
        <f aca="false">'Program List'!B12</f>
        <v>Master of Arts in Strategic Communication and Digital Strategy</v>
      </c>
      <c r="C15" s="209" t="n">
        <f aca="false">'HC by Program-Term'!E17</f>
        <v>30</v>
      </c>
      <c r="D15" s="209" t="n">
        <f aca="false">'HC by Program-Term'!H17</f>
        <v>118</v>
      </c>
      <c r="E15" s="209" t="n">
        <f aca="false">'HC by Program-Term'!K17</f>
        <v>111</v>
      </c>
      <c r="F15" s="209" t="n">
        <f aca="false">'HC by Program-Term'!N17</f>
        <v>116</v>
      </c>
      <c r="G15" s="209" t="n">
        <f aca="false">'HC by Program-Term'!Q17</f>
        <v>107</v>
      </c>
      <c r="H15" s="209" t="n">
        <f aca="false">'HC by Program-Term'!T17</f>
        <v>92</v>
      </c>
      <c r="I15" s="146" t="n">
        <f aca="false">IF(COUNT(C15:H15)=0,"—",MAX(C15:H15))</f>
        <v>118</v>
      </c>
      <c r="J15" s="146" t="n">
        <f aca="false">H15</f>
        <v>92</v>
      </c>
      <c r="K15" s="210" t="n">
        <f aca="false">IF(AND(ISNUMBER(C15),ISNUMBER(H15)),H15-C15,"—")</f>
        <v>62</v>
      </c>
    </row>
    <row r="16" customFormat="false" ht="15" hidden="false" customHeight="false" outlineLevel="0" collapsed="false">
      <c r="A16" s="211" t="str">
        <f aca="false">'Program List'!A13</f>
        <v>M202</v>
      </c>
      <c r="B16" s="212" t="str">
        <f aca="false">'Program List'!B13</f>
        <v>Master of Clinical Mental Health Counseling</v>
      </c>
      <c r="C16" s="213" t="n">
        <f aca="false">'HC by Program-Term'!E18</f>
        <v>0</v>
      </c>
      <c r="D16" s="213" t="n">
        <f aca="false">'HC by Program-Term'!H18</f>
        <v>71</v>
      </c>
      <c r="E16" s="213" t="n">
        <f aca="false">'HC by Program-Term'!K18</f>
        <v>131</v>
      </c>
      <c r="F16" s="213" t="n">
        <f aca="false">'HC by Program-Term'!N18</f>
        <v>176</v>
      </c>
      <c r="G16" s="213" t="n">
        <f aca="false">'HC by Program-Term'!Q18</f>
        <v>165</v>
      </c>
      <c r="H16" s="213" t="n">
        <f aca="false">'HC by Program-Term'!T18</f>
        <v>170</v>
      </c>
      <c r="I16" s="150" t="n">
        <f aca="false">IF(COUNT(C16:H16)=0,"—",MAX(C16:H16))</f>
        <v>176</v>
      </c>
      <c r="J16" s="150" t="n">
        <f aca="false">H16</f>
        <v>170</v>
      </c>
      <c r="K16" s="214" t="str">
        <f aca="false">IF(AND(ISNUMBER(C16),ISNUMBER(H16)),H16-C16,"—")</f>
        <v>—</v>
      </c>
    </row>
    <row r="17" customFormat="false" ht="15" hidden="false" customHeight="false" outlineLevel="0" collapsed="false">
      <c r="A17" s="207" t="str">
        <f aca="false">'Program List'!A14</f>
        <v>M246</v>
      </c>
      <c r="B17" s="208" t="str">
        <f aca="false">'Program List'!B14</f>
        <v>Master of Construction Business</v>
      </c>
      <c r="C17" s="209" t="n">
        <f aca="false">'HC by Program-Term'!E19</f>
        <v>0</v>
      </c>
      <c r="D17" s="209" t="n">
        <f aca="false">'HC by Program-Term'!H19</f>
        <v>39</v>
      </c>
      <c r="E17" s="209" t="n">
        <f aca="false">'HC by Program-Term'!K19</f>
        <v>63</v>
      </c>
      <c r="F17" s="209" t="n">
        <f aca="false">'HC by Program-Term'!N19</f>
        <v>53</v>
      </c>
      <c r="G17" s="209" t="n">
        <f aca="false">'HC by Program-Term'!Q19</f>
        <v>54</v>
      </c>
      <c r="H17" s="209" t="n">
        <f aca="false">'HC by Program-Term'!T19</f>
        <v>50</v>
      </c>
      <c r="I17" s="146" t="n">
        <f aca="false">IF(COUNT(C17:H17)=0,"—",MAX(C17:H17))</f>
        <v>63</v>
      </c>
      <c r="J17" s="146" t="n">
        <f aca="false">H17</f>
        <v>50</v>
      </c>
      <c r="K17" s="210" t="str">
        <f aca="false">IF(AND(ISNUMBER(C17),ISNUMBER(H17)),H17-C17,"—")</f>
        <v>—</v>
      </c>
    </row>
    <row r="18" customFormat="false" ht="15" hidden="false" customHeight="false" outlineLevel="0" collapsed="false">
      <c r="A18" s="211" t="str">
        <f aca="false">'Program List'!A15</f>
        <v>M297</v>
      </c>
      <c r="B18" s="212" t="str">
        <f aca="false">'Program List'!B15</f>
        <v>Master of Econometrics</v>
      </c>
      <c r="C18" s="213" t="str">
        <f aca="false">'HC by Program-Term'!E20</f>
        <v>—</v>
      </c>
      <c r="D18" s="213" t="str">
        <f aca="false">'HC by Program-Term'!H20</f>
        <v>—</v>
      </c>
      <c r="E18" s="213" t="str">
        <f aca="false">'HC by Program-Term'!K20</f>
        <v>—</v>
      </c>
      <c r="F18" s="213" t="str">
        <f aca="false">'HC by Program-Term'!N20</f>
        <v>—</v>
      </c>
      <c r="G18" s="213" t="str">
        <f aca="false">'HC by Program-Term'!Q20</f>
        <v>—</v>
      </c>
      <c r="H18" s="213" t="str">
        <f aca="false">'HC by Program-Term'!T20</f>
        <v>—</v>
      </c>
      <c r="I18" s="150" t="str">
        <f aca="false">IF(COUNT(C18:H18)=0,"—",MAX(C18:H18))</f>
        <v>—</v>
      </c>
      <c r="J18" s="150" t="str">
        <f aca="false">H18</f>
        <v>—</v>
      </c>
      <c r="K18" s="214" t="str">
        <f aca="false">IF(AND(ISNUMBER(C18),ISNUMBER(H18)),H18-C18,"—")</f>
        <v>—</v>
      </c>
    </row>
    <row r="19" customFormat="false" ht="15" hidden="false" customHeight="false" outlineLevel="0" collapsed="false">
      <c r="A19" s="207" t="str">
        <f aca="false">'Program List'!A16</f>
        <v>M383</v>
      </c>
      <c r="B19" s="208" t="str">
        <f aca="false">'Program List'!B16</f>
        <v>Master of Entrepreneurship &amp; Innovation</v>
      </c>
      <c r="C19" s="209" t="str">
        <f aca="false">'HC by Program-Term'!E21</f>
        <v>—</v>
      </c>
      <c r="D19" s="209" t="str">
        <f aca="false">'HC by Program-Term'!H21</f>
        <v>—</v>
      </c>
      <c r="E19" s="209" t="str">
        <f aca="false">'HC by Program-Term'!K21</f>
        <v>—</v>
      </c>
      <c r="F19" s="209" t="str">
        <f aca="false">'HC by Program-Term'!N21</f>
        <v>—</v>
      </c>
      <c r="G19" s="209" t="str">
        <f aca="false">'HC by Program-Term'!Q21</f>
        <v>—</v>
      </c>
      <c r="H19" s="209" t="str">
        <f aca="false">'HC by Program-Term'!T21</f>
        <v>—</v>
      </c>
      <c r="I19" s="146" t="str">
        <f aca="false">IF(COUNT(C19:H19)=0,"—",MAX(C19:H19))</f>
        <v>—</v>
      </c>
      <c r="J19" s="146" t="str">
        <f aca="false">H19</f>
        <v>—</v>
      </c>
      <c r="K19" s="210" t="str">
        <f aca="false">IF(AND(ISNUMBER(C19),ISNUMBER(H19)),H19-C19,"—")</f>
        <v>—</v>
      </c>
    </row>
    <row r="20" customFormat="false" ht="15" hidden="false" customHeight="false" outlineLevel="0" collapsed="false">
      <c r="A20" s="211" t="str">
        <f aca="false">'Program List'!A17</f>
        <v>M518</v>
      </c>
      <c r="B20" s="212" t="str">
        <f aca="false">'Program List'!B17</f>
        <v>Master of Environmental Science: Hydrology and Water Security</v>
      </c>
      <c r="C20" s="213" t="n">
        <f aca="false">'HC by Program-Term'!E22</f>
        <v>84</v>
      </c>
      <c r="D20" s="213" t="n">
        <f aca="false">'HC by Program-Term'!H22</f>
        <v>122</v>
      </c>
      <c r="E20" s="213" t="n">
        <f aca="false">'HC by Program-Term'!K22</f>
        <v>91</v>
      </c>
      <c r="F20" s="213" t="n">
        <f aca="false">'HC by Program-Term'!N22</f>
        <v>96</v>
      </c>
      <c r="G20" s="213" t="n">
        <f aca="false">'HC by Program-Term'!Q22</f>
        <v>104</v>
      </c>
      <c r="H20" s="213" t="n">
        <f aca="false">'HC by Program-Term'!T22</f>
        <v>108</v>
      </c>
      <c r="I20" s="150" t="n">
        <f aca="false">IF(COUNT(C20:H20)=0,"—",MAX(C20:H20))</f>
        <v>122</v>
      </c>
      <c r="J20" s="150" t="n">
        <f aca="false">H20</f>
        <v>108</v>
      </c>
      <c r="K20" s="214" t="n">
        <f aca="false">IF(AND(ISNUMBER(C20),ISNUMBER(H20)),H20-C20,"—")</f>
        <v>24</v>
      </c>
    </row>
    <row r="21" customFormat="false" ht="15" hidden="false" customHeight="false" outlineLevel="0" collapsed="false">
      <c r="A21" s="207" t="str">
        <f aca="false">'Program List'!A18</f>
        <v>M368</v>
      </c>
      <c r="B21" s="208" t="str">
        <f aca="false">'Program List'!B18</f>
        <v>Master of Legal Studies - Energy</v>
      </c>
      <c r="C21" s="209" t="n">
        <f aca="false">'HC by Program-Term'!E23</f>
        <v>0</v>
      </c>
      <c r="D21" s="209" t="n">
        <f aca="false">'HC by Program-Term'!H23</f>
        <v>31</v>
      </c>
      <c r="E21" s="209" t="n">
        <f aca="false">'HC by Program-Term'!K23</f>
        <v>31</v>
      </c>
      <c r="F21" s="209" t="n">
        <f aca="false">'HC by Program-Term'!N23</f>
        <v>24</v>
      </c>
      <c r="G21" s="209" t="n">
        <f aca="false">'HC by Program-Term'!Q23</f>
        <v>24</v>
      </c>
      <c r="H21" s="209" t="n">
        <f aca="false">'HC by Program-Term'!T23</f>
        <v>23</v>
      </c>
      <c r="I21" s="146" t="n">
        <f aca="false">IF(COUNT(C21:H21)=0,"—",MAX(C21:H21))</f>
        <v>31</v>
      </c>
      <c r="J21" s="146" t="n">
        <f aca="false">H21</f>
        <v>23</v>
      </c>
      <c r="K21" s="210" t="str">
        <f aca="false">IF(AND(ISNUMBER(C21),ISNUMBER(H21)),H21-C21,"—")</f>
        <v>—</v>
      </c>
    </row>
    <row r="22" customFormat="false" ht="15" hidden="false" customHeight="false" outlineLevel="0" collapsed="false">
      <c r="A22" s="211" t="str">
        <f aca="false">'Program List'!A19</f>
        <v>M636</v>
      </c>
      <c r="B22" s="212" t="str">
        <f aca="false">'Program List'!B19</f>
        <v>Master of Legal Studies - General</v>
      </c>
      <c r="C22" s="213" t="str">
        <f aca="false">'HC by Program-Term'!E24</f>
        <v>—</v>
      </c>
      <c r="D22" s="213" t="str">
        <f aca="false">'HC by Program-Term'!H24</f>
        <v>—</v>
      </c>
      <c r="E22" s="213" t="str">
        <f aca="false">'HC by Program-Term'!K24</f>
        <v>—</v>
      </c>
      <c r="F22" s="213" t="str">
        <f aca="false">'HC by Program-Term'!N24</f>
        <v>—</v>
      </c>
      <c r="G22" s="213" t="str">
        <f aca="false">'HC by Program-Term'!Q24</f>
        <v>—</v>
      </c>
      <c r="H22" s="213" t="str">
        <f aca="false">'HC by Program-Term'!T24</f>
        <v>—</v>
      </c>
      <c r="I22" s="150" t="str">
        <f aca="false">IF(COUNT(C22:H22)=0,"—",MAX(C22:H22))</f>
        <v>—</v>
      </c>
      <c r="J22" s="150" t="str">
        <f aca="false">H22</f>
        <v>—</v>
      </c>
      <c r="K22" s="214" t="str">
        <f aca="false">IF(AND(ISNUMBER(C22),ISNUMBER(H22)),H22-C22,"—")</f>
        <v>—</v>
      </c>
    </row>
    <row r="23" customFormat="false" ht="15" hidden="false" customHeight="false" outlineLevel="0" collapsed="false">
      <c r="A23" s="207" t="str">
        <f aca="false">'Program List'!A20</f>
        <v>M503</v>
      </c>
      <c r="B23" s="208" t="str">
        <f aca="false">'Program List'!B20</f>
        <v>Master of Legal Studies - Healthcare Law</v>
      </c>
      <c r="C23" s="209" t="n">
        <f aca="false">'HC by Program-Term'!E25</f>
        <v>97</v>
      </c>
      <c r="D23" s="209" t="n">
        <f aca="false">'HC by Program-Term'!H25</f>
        <v>144</v>
      </c>
      <c r="E23" s="209" t="n">
        <f aca="false">'HC by Program-Term'!K25</f>
        <v>156</v>
      </c>
      <c r="F23" s="209" t="n">
        <f aca="false">'HC by Program-Term'!N25</f>
        <v>115</v>
      </c>
      <c r="G23" s="209" t="n">
        <f aca="false">'HC by Program-Term'!Q25</f>
        <v>96</v>
      </c>
      <c r="H23" s="209" t="n">
        <f aca="false">'HC by Program-Term'!T25</f>
        <v>70</v>
      </c>
      <c r="I23" s="146" t="n">
        <f aca="false">IF(COUNT(C23:H23)=0,"—",MAX(C23:H23))</f>
        <v>156</v>
      </c>
      <c r="J23" s="146" t="n">
        <f aca="false">H23</f>
        <v>70</v>
      </c>
      <c r="K23" s="210" t="n">
        <f aca="false">IF(AND(ISNUMBER(C23),ISNUMBER(H23)),H23-C23,"—")</f>
        <v>-27</v>
      </c>
    </row>
    <row r="24" customFormat="false" ht="15" hidden="false" customHeight="false" outlineLevel="0" collapsed="false">
      <c r="A24" s="211" t="str">
        <f aca="false">'Program List'!A21</f>
        <v>M522</v>
      </c>
      <c r="B24" s="212" t="str">
        <f aca="false">'Program List'!B21</f>
        <v>Master of Legal Studies - Indigenous Peoples Law</v>
      </c>
      <c r="C24" s="213" t="n">
        <f aca="false">'HC by Program-Term'!E26</f>
        <v>137</v>
      </c>
      <c r="D24" s="213" t="n">
        <f aca="false">'HC by Program-Term'!H26</f>
        <v>211</v>
      </c>
      <c r="E24" s="213" t="n">
        <f aca="false">'HC by Program-Term'!K26</f>
        <v>160</v>
      </c>
      <c r="F24" s="213" t="n">
        <f aca="false">'HC by Program-Term'!N26</f>
        <v>166</v>
      </c>
      <c r="G24" s="213" t="n">
        <f aca="false">'HC by Program-Term'!Q26</f>
        <v>122</v>
      </c>
      <c r="H24" s="213" t="n">
        <f aca="false">'HC by Program-Term'!T26</f>
        <v>107</v>
      </c>
      <c r="I24" s="150" t="n">
        <f aca="false">IF(COUNT(C24:H24)=0,"—",MAX(C24:H24))</f>
        <v>211</v>
      </c>
      <c r="J24" s="150" t="n">
        <f aca="false">H24</f>
        <v>107</v>
      </c>
      <c r="K24" s="214" t="n">
        <f aca="false">IF(AND(ISNUMBER(C24),ISNUMBER(H24)),H24-C24,"—")</f>
        <v>-30</v>
      </c>
    </row>
    <row r="25" customFormat="false" ht="15" hidden="false" customHeight="false" outlineLevel="0" collapsed="false">
      <c r="A25" s="207" t="str">
        <f aca="false">'Program List'!A22</f>
        <v>M589</v>
      </c>
      <c r="B25" s="208" t="str">
        <f aca="false">'Program List'!B22</f>
        <v>Master of Legal Studies - International Business</v>
      </c>
      <c r="C25" s="209" t="n">
        <f aca="false">'HC by Program-Term'!E27</f>
        <v>26</v>
      </c>
      <c r="D25" s="209" t="n">
        <f aca="false">'HC by Program-Term'!H27</f>
        <v>25</v>
      </c>
      <c r="E25" s="209" t="n">
        <f aca="false">'HC by Program-Term'!K27</f>
        <v>13</v>
      </c>
      <c r="F25" s="209" t="n">
        <f aca="false">'HC by Program-Term'!N27</f>
        <v>15</v>
      </c>
      <c r="G25" s="209" t="n">
        <f aca="false">'HC by Program-Term'!Q27</f>
        <v>6</v>
      </c>
      <c r="H25" s="209" t="n">
        <f aca="false">'HC by Program-Term'!T27</f>
        <v>7</v>
      </c>
      <c r="I25" s="146" t="n">
        <f aca="false">IF(COUNT(C25:H25)=0,"—",MAX(C25:H25))</f>
        <v>26</v>
      </c>
      <c r="J25" s="146" t="n">
        <f aca="false">H25</f>
        <v>7</v>
      </c>
      <c r="K25" s="210" t="n">
        <f aca="false">IF(AND(ISNUMBER(C25),ISNUMBER(H25)),H25-C25,"—")</f>
        <v>-19</v>
      </c>
    </row>
    <row r="26" customFormat="false" ht="15" hidden="false" customHeight="false" outlineLevel="0" collapsed="false">
      <c r="A26" s="211" t="str">
        <f aca="false">'Program List'!A23</f>
        <v>M029</v>
      </c>
      <c r="B26" s="212" t="str">
        <f aca="false">'Program List'!B23</f>
        <v>Master of Science in Applied Computing</v>
      </c>
      <c r="C26" s="213" t="str">
        <f aca="false">'HC by Program-Term'!E28</f>
        <v>—</v>
      </c>
      <c r="D26" s="213" t="str">
        <f aca="false">'HC by Program-Term'!H28</f>
        <v>—</v>
      </c>
      <c r="E26" s="213" t="str">
        <f aca="false">'HC by Program-Term'!K28</f>
        <v>—</v>
      </c>
      <c r="F26" s="213" t="str">
        <f aca="false">'HC by Program-Term'!N28</f>
        <v>—</v>
      </c>
      <c r="G26" s="213" t="str">
        <f aca="false">'HC by Program-Term'!Q28</f>
        <v>—</v>
      </c>
      <c r="H26" s="213" t="str">
        <f aca="false">'HC by Program-Term'!T28</f>
        <v>—</v>
      </c>
      <c r="I26" s="150" t="str">
        <f aca="false">IF(COUNT(C26:H26)=0,"—",MAX(C26:H26))</f>
        <v>—</v>
      </c>
      <c r="J26" s="150" t="str">
        <f aca="false">H26</f>
        <v>—</v>
      </c>
      <c r="K26" s="214" t="str">
        <f aca="false">IF(AND(ISNUMBER(C26),ISNUMBER(H26)),H26-C26,"—")</f>
        <v>—</v>
      </c>
    </row>
    <row r="27" customFormat="false" ht="15" hidden="false" customHeight="false" outlineLevel="0" collapsed="false">
      <c r="A27" s="207" t="str">
        <f aca="false">'Program List'!A24</f>
        <v>M035</v>
      </c>
      <c r="B27" s="208" t="str">
        <f aca="false">'Program List'!B24</f>
        <v>Master of Science in Applied Statistics</v>
      </c>
      <c r="C27" s="209" t="n">
        <f aca="false">'HC by Program-Term'!E29</f>
        <v>0</v>
      </c>
      <c r="D27" s="209" t="n">
        <f aca="false">'HC by Program-Term'!H29</f>
        <v>0</v>
      </c>
      <c r="E27" s="209" t="n">
        <f aca="false">'HC by Program-Term'!K29</f>
        <v>0</v>
      </c>
      <c r="F27" s="209" t="n">
        <f aca="false">'HC by Program-Term'!N29</f>
        <v>38</v>
      </c>
      <c r="G27" s="209" t="n">
        <f aca="false">'HC by Program-Term'!Q29</f>
        <v>74</v>
      </c>
      <c r="H27" s="209" t="n">
        <f aca="false">'HC by Program-Term'!T29</f>
        <v>63</v>
      </c>
      <c r="I27" s="146" t="n">
        <f aca="false">IF(COUNT(C27:H27)=0,"—",MAX(C27:H27))</f>
        <v>74</v>
      </c>
      <c r="J27" s="146" t="n">
        <f aca="false">H27</f>
        <v>63</v>
      </c>
      <c r="K27" s="210" t="str">
        <f aca="false">IF(AND(ISNUMBER(C27),ISNUMBER(H27)),H27-C27,"—")</f>
        <v>—</v>
      </c>
    </row>
    <row r="28" customFormat="false" ht="15" hidden="false" customHeight="false" outlineLevel="0" collapsed="false">
      <c r="A28" s="211" t="str">
        <f aca="false">'Program List'!A25</f>
        <v>M145</v>
      </c>
      <c r="B28" s="212" t="str">
        <f aca="false">'Program List'!B25</f>
        <v>Master of Science in Business Analytics</v>
      </c>
      <c r="C28" s="213" t="n">
        <f aca="false">'HC by Program-Term'!E30</f>
        <v>0</v>
      </c>
      <c r="D28" s="213" t="n">
        <f aca="false">'HC by Program-Term'!H30</f>
        <v>0</v>
      </c>
      <c r="E28" s="213" t="n">
        <f aca="false">'HC by Program-Term'!K30</f>
        <v>31</v>
      </c>
      <c r="F28" s="213" t="n">
        <f aca="false">'HC by Program-Term'!N30</f>
        <v>54</v>
      </c>
      <c r="G28" s="213" t="n">
        <f aca="false">'HC by Program-Term'!Q30</f>
        <v>36</v>
      </c>
      <c r="H28" s="213" t="n">
        <f aca="false">'HC by Program-Term'!T30</f>
        <v>58</v>
      </c>
      <c r="I28" s="150" t="n">
        <f aca="false">IF(COUNT(C28:H28)=0,"—",MAX(C28:H28))</f>
        <v>58</v>
      </c>
      <c r="J28" s="150" t="n">
        <f aca="false">H28</f>
        <v>58</v>
      </c>
      <c r="K28" s="214" t="str">
        <f aca="false">IF(AND(ISNUMBER(C28),ISNUMBER(H28)),H28-C28,"—")</f>
        <v>—</v>
      </c>
    </row>
    <row r="29" customFormat="false" ht="15" hidden="false" customHeight="false" outlineLevel="0" collapsed="false">
      <c r="A29" s="207" t="str">
        <f aca="false">'Program List'!A26</f>
        <v>M191</v>
      </c>
      <c r="B29" s="208" t="str">
        <f aca="false">'Program List'!B26</f>
        <v>Master of Science in Civil Engineering</v>
      </c>
      <c r="C29" s="209" t="n">
        <f aca="false">'HC by Program-Term'!E31</f>
        <v>42</v>
      </c>
      <c r="D29" s="209" t="n">
        <f aca="false">'HC by Program-Term'!H31</f>
        <v>67</v>
      </c>
      <c r="E29" s="209" t="n">
        <f aca="false">'HC by Program-Term'!K31</f>
        <v>64</v>
      </c>
      <c r="F29" s="209" t="n">
        <f aca="false">'HC by Program-Term'!N31</f>
        <v>61</v>
      </c>
      <c r="G29" s="209" t="n">
        <f aca="false">'HC by Program-Term'!Q31</f>
        <v>59</v>
      </c>
      <c r="H29" s="209" t="n">
        <f aca="false">'HC by Program-Term'!T31</f>
        <v>75</v>
      </c>
      <c r="I29" s="146" t="n">
        <f aca="false">IF(COUNT(C29:H29)=0,"—",MAX(C29:H29))</f>
        <v>75</v>
      </c>
      <c r="J29" s="146" t="n">
        <f aca="false">H29</f>
        <v>75</v>
      </c>
      <c r="K29" s="210" t="n">
        <f aca="false">IF(AND(ISNUMBER(C29),ISNUMBER(H29)),H29-C29,"—")</f>
        <v>33</v>
      </c>
    </row>
    <row r="30" customFormat="false" ht="15" hidden="false" customHeight="false" outlineLevel="0" collapsed="false">
      <c r="A30" s="211" t="str">
        <f aca="false">'Program List'!A27</f>
        <v>M260</v>
      </c>
      <c r="B30" s="212" t="str">
        <f aca="false">'Program List'!B27</f>
        <v>Master of Science in Criminal Justice</v>
      </c>
      <c r="C30" s="213" t="n">
        <f aca="false">'HC by Program-Term'!E32</f>
        <v>17</v>
      </c>
      <c r="D30" s="213" t="n">
        <f aca="false">'HC by Program-Term'!H32</f>
        <v>57</v>
      </c>
      <c r="E30" s="213" t="n">
        <f aca="false">'HC by Program-Term'!K32</f>
        <v>93</v>
      </c>
      <c r="F30" s="213" t="n">
        <f aca="false">'HC by Program-Term'!N32</f>
        <v>110</v>
      </c>
      <c r="G30" s="213" t="n">
        <f aca="false">'HC by Program-Term'!Q32</f>
        <v>105</v>
      </c>
      <c r="H30" s="213" t="n">
        <f aca="false">'HC by Program-Term'!T32</f>
        <v>70</v>
      </c>
      <c r="I30" s="150" t="n">
        <f aca="false">IF(COUNT(C30:H30)=0,"—",MAX(C30:H30))</f>
        <v>110</v>
      </c>
      <c r="J30" s="150" t="n">
        <f aca="false">H30</f>
        <v>70</v>
      </c>
      <c r="K30" s="214" t="n">
        <f aca="false">IF(AND(ISNUMBER(C30),ISNUMBER(H30)),H30-C30,"—")</f>
        <v>53</v>
      </c>
    </row>
    <row r="31" customFormat="false" ht="15" hidden="false" customHeight="false" outlineLevel="0" collapsed="false">
      <c r="A31" s="207" t="str">
        <f aca="false">'Program List'!A28</f>
        <v>M264</v>
      </c>
      <c r="B31" s="208" t="str">
        <f aca="false">'Program List'!B28</f>
        <v>Master of Science in Cybersecurity Leadership</v>
      </c>
      <c r="C31" s="209" t="str">
        <f aca="false">'HC by Program-Term'!E33</f>
        <v>—</v>
      </c>
      <c r="D31" s="209" t="str">
        <f aca="false">'HC by Program-Term'!H33</f>
        <v>—</v>
      </c>
      <c r="E31" s="209" t="str">
        <f aca="false">'HC by Program-Term'!K33</f>
        <v>—</v>
      </c>
      <c r="F31" s="209" t="str">
        <f aca="false">'HC by Program-Term'!N33</f>
        <v>—</v>
      </c>
      <c r="G31" s="209" t="str">
        <f aca="false">'HC by Program-Term'!Q33</f>
        <v>—</v>
      </c>
      <c r="H31" s="209" t="str">
        <f aca="false">'HC by Program-Term'!T33</f>
        <v>—</v>
      </c>
      <c r="I31" s="146" t="str">
        <f aca="false">IF(COUNT(C31:H31)=0,"—",MAX(C31:H31))</f>
        <v>—</v>
      </c>
      <c r="J31" s="146" t="str">
        <f aca="false">H31</f>
        <v>—</v>
      </c>
      <c r="K31" s="210" t="str">
        <f aca="false">IF(AND(ISNUMBER(C31),ISNUMBER(H31)),H31-C31,"—")</f>
        <v>—</v>
      </c>
    </row>
    <row r="32" customFormat="false" ht="15" hidden="false" customHeight="false" outlineLevel="0" collapsed="false">
      <c r="A32" s="211" t="str">
        <f aca="false">'Program List'!A29</f>
        <v>M374</v>
      </c>
      <c r="B32" s="212" t="str">
        <f aca="false">'Program List'!B29</f>
        <v>Master of Science in Engineering Leadership and Management</v>
      </c>
      <c r="C32" s="213" t="n">
        <f aca="false">'HC by Program-Term'!E34</f>
        <v>0</v>
      </c>
      <c r="D32" s="213" t="n">
        <f aca="false">'HC by Program-Term'!H34</f>
        <v>0</v>
      </c>
      <c r="E32" s="213" t="n">
        <f aca="false">'HC by Program-Term'!K34</f>
        <v>0</v>
      </c>
      <c r="F32" s="213" t="n">
        <f aca="false">'HC by Program-Term'!N34</f>
        <v>24</v>
      </c>
      <c r="G32" s="213" t="n">
        <f aca="false">'HC by Program-Term'!Q34</f>
        <v>72</v>
      </c>
      <c r="H32" s="213" t="n">
        <f aca="false">'HC by Program-Term'!T34</f>
        <v>75</v>
      </c>
      <c r="I32" s="150" t="n">
        <f aca="false">IF(COUNT(C32:H32)=0,"—",MAX(C32:H32))</f>
        <v>75</v>
      </c>
      <c r="J32" s="150" t="n">
        <f aca="false">H32</f>
        <v>75</v>
      </c>
      <c r="K32" s="214" t="str">
        <f aca="false">IF(AND(ISNUMBER(C32),ISNUMBER(H32)),H32-C32,"—")</f>
        <v>—</v>
      </c>
    </row>
    <row r="33" customFormat="false" ht="15" hidden="false" customHeight="false" outlineLevel="0" collapsed="false">
      <c r="A33" s="207" t="str">
        <f aca="false">'Program List'!A30</f>
        <v>M435</v>
      </c>
      <c r="B33" s="208" t="str">
        <f aca="false">'Program List'!B30</f>
        <v>Master of Science in Finance</v>
      </c>
      <c r="C33" s="209" t="n">
        <f aca="false">'HC by Program-Term'!E35</f>
        <v>80</v>
      </c>
      <c r="D33" s="209" t="n">
        <f aca="false">'HC by Program-Term'!H35</f>
        <v>100</v>
      </c>
      <c r="E33" s="209" t="n">
        <f aca="false">'HC by Program-Term'!K35</f>
        <v>83</v>
      </c>
      <c r="F33" s="209" t="n">
        <f aca="false">'HC by Program-Term'!N35</f>
        <v>63</v>
      </c>
      <c r="G33" s="209" t="n">
        <f aca="false">'HC by Program-Term'!Q35</f>
        <v>60</v>
      </c>
      <c r="H33" s="209" t="n">
        <f aca="false">'HC by Program-Term'!T35</f>
        <v>73</v>
      </c>
      <c r="I33" s="146" t="n">
        <f aca="false">IF(COUNT(C33:H33)=0,"—",MAX(C33:H33))</f>
        <v>100</v>
      </c>
      <c r="J33" s="146" t="n">
        <f aca="false">H33</f>
        <v>73</v>
      </c>
      <c r="K33" s="210" t="n">
        <f aca="false">IF(AND(ISNUMBER(C33),ISNUMBER(H33)),H33-C33,"—")</f>
        <v>-7</v>
      </c>
    </row>
    <row r="34" customFormat="false" ht="15" hidden="false" customHeight="false" outlineLevel="0" collapsed="false">
      <c r="A34" s="211" t="str">
        <f aca="false">'Program List'!A31</f>
        <v>M464</v>
      </c>
      <c r="B34" s="212" t="str">
        <f aca="false">'Program List'!B31</f>
        <v>Master of Science in Geospatial Technology</v>
      </c>
      <c r="C34" s="213" t="n">
        <f aca="false">'HC by Program-Term'!E36</f>
        <v>36</v>
      </c>
      <c r="D34" s="213" t="n">
        <f aca="false">'HC by Program-Term'!H36</f>
        <v>51</v>
      </c>
      <c r="E34" s="213" t="n">
        <f aca="false">'HC by Program-Term'!K36</f>
        <v>40</v>
      </c>
      <c r="F34" s="213" t="n">
        <f aca="false">'HC by Program-Term'!N36</f>
        <v>34</v>
      </c>
      <c r="G34" s="213" t="n">
        <f aca="false">'HC by Program-Term'!Q36</f>
        <v>22</v>
      </c>
      <c r="H34" s="213" t="n">
        <f aca="false">'HC by Program-Term'!T36</f>
        <v>19</v>
      </c>
      <c r="I34" s="150" t="n">
        <f aca="false">IF(COUNT(C34:H34)=0,"—",MAX(C34:H34))</f>
        <v>51</v>
      </c>
      <c r="J34" s="150" t="n">
        <f aca="false">H34</f>
        <v>19</v>
      </c>
      <c r="K34" s="214" t="n">
        <f aca="false">IF(AND(ISNUMBER(C34),ISNUMBER(H34)),H34-C34,"—")</f>
        <v>-17</v>
      </c>
    </row>
    <row r="35" customFormat="false" ht="15" hidden="false" customHeight="false" outlineLevel="0" collapsed="false">
      <c r="A35" s="207" t="str">
        <f aca="false">'Program List'!A32</f>
        <v>M527</v>
      </c>
      <c r="B35" s="208" t="str">
        <f aca="false">'Program List'!B32</f>
        <v>Master of Science in Industrial and Systems Engineering</v>
      </c>
      <c r="C35" s="209" t="n">
        <f aca="false">'HC by Program-Term'!E37</f>
        <v>0</v>
      </c>
      <c r="D35" s="209" t="n">
        <f aca="false">'HC by Program-Term'!H37</f>
        <v>21</v>
      </c>
      <c r="E35" s="209" t="n">
        <f aca="false">'HC by Program-Term'!K37</f>
        <v>26</v>
      </c>
      <c r="F35" s="209" t="n">
        <f aca="false">'HC by Program-Term'!N37</f>
        <v>53</v>
      </c>
      <c r="G35" s="209" t="n">
        <f aca="false">'HC by Program-Term'!Q37</f>
        <v>89</v>
      </c>
      <c r="H35" s="209" t="n">
        <f aca="false">'HC by Program-Term'!T37</f>
        <v>98</v>
      </c>
      <c r="I35" s="146" t="n">
        <f aca="false">IF(COUNT(C35:H35)=0,"—",MAX(C35:H35))</f>
        <v>98</v>
      </c>
      <c r="J35" s="146" t="n">
        <f aca="false">H35</f>
        <v>98</v>
      </c>
      <c r="K35" s="210" t="str">
        <f aca="false">IF(AND(ISNUMBER(C35),ISNUMBER(H35)),H35-C35,"—")</f>
        <v>—</v>
      </c>
    </row>
    <row r="36" customFormat="false" ht="15" hidden="false" customHeight="false" outlineLevel="0" collapsed="false">
      <c r="A36" s="211" t="str">
        <f aca="false">'Program List'!A33</f>
        <v>M746</v>
      </c>
      <c r="B36" s="212" t="str">
        <f aca="false">'Program List'!B33</f>
        <v>Master of Science in Natural Gas Engineering and Management</v>
      </c>
      <c r="C36" s="213" t="n">
        <f aca="false">'HC by Program-Term'!E38</f>
        <v>11</v>
      </c>
      <c r="D36" s="213" t="n">
        <f aca="false">'HC by Program-Term'!H38</f>
        <v>25</v>
      </c>
      <c r="E36" s="213" t="n">
        <f aca="false">'HC by Program-Term'!K38</f>
        <v>30</v>
      </c>
      <c r="F36" s="213" t="n">
        <f aca="false">'HC by Program-Term'!N38</f>
        <v>51</v>
      </c>
      <c r="G36" s="213" t="n">
        <f aca="false">'HC by Program-Term'!Q38</f>
        <v>54</v>
      </c>
      <c r="H36" s="213" t="n">
        <f aca="false">'HC by Program-Term'!T38</f>
        <v>60</v>
      </c>
      <c r="I36" s="150" t="n">
        <f aca="false">IF(COUNT(C36:H36)=0,"—",MAX(C36:H36))</f>
        <v>60</v>
      </c>
      <c r="J36" s="150" t="n">
        <f aca="false">H36</f>
        <v>60</v>
      </c>
      <c r="K36" s="214" t="n">
        <f aca="false">IF(AND(ISNUMBER(C36),ISNUMBER(H36)),H36-C36,"—")</f>
        <v>49</v>
      </c>
    </row>
    <row r="37" customFormat="false" ht="15" hidden="false" customHeight="false" outlineLevel="0" collapsed="false">
      <c r="A37" s="207" t="str">
        <f aca="false">'Program List'!A34</f>
        <v>M861</v>
      </c>
      <c r="B37" s="208" t="str">
        <f aca="false">'Program List'!B34</f>
        <v>Master of Science in Supply Chain Management</v>
      </c>
      <c r="C37" s="209" t="n">
        <f aca="false">'HC by Program-Term'!E39</f>
        <v>0</v>
      </c>
      <c r="D37" s="209" t="n">
        <f aca="false">'HC by Program-Term'!H39</f>
        <v>0</v>
      </c>
      <c r="E37" s="209" t="n">
        <f aca="false">'HC by Program-Term'!K39</f>
        <v>29</v>
      </c>
      <c r="F37" s="209" t="n">
        <f aca="false">'HC by Program-Term'!N39</f>
        <v>72</v>
      </c>
      <c r="G37" s="209" t="n">
        <f aca="false">'HC by Program-Term'!Q39</f>
        <v>58</v>
      </c>
      <c r="H37" s="209" t="n">
        <f aca="false">'HC by Program-Term'!T39</f>
        <v>72</v>
      </c>
      <c r="I37" s="146" t="n">
        <f aca="false">IF(COUNT(C37:H37)=0,"—",MAX(C37:H37))</f>
        <v>72</v>
      </c>
      <c r="J37" s="146" t="n">
        <f aca="false">H37</f>
        <v>72</v>
      </c>
      <c r="K37" s="210" t="str">
        <f aca="false">IF(AND(ISNUMBER(C37),ISNUMBER(H37)),H37-C37,"—")</f>
        <v>—</v>
      </c>
    </row>
    <row r="38" customFormat="false" ht="15" hidden="false" customHeight="false" outlineLevel="0" collapsed="false">
      <c r="A38" s="211" t="str">
        <f aca="false">'Program List'!A35</f>
        <v>M869</v>
      </c>
      <c r="B38" s="212" t="str">
        <f aca="false">'Program List'!B35</f>
        <v>Master of Science in Sustainability - Energy and Materials Mgmt</v>
      </c>
      <c r="C38" s="213" t="n">
        <f aca="false">'HC by Program-Term'!E40</f>
        <v>0</v>
      </c>
      <c r="D38" s="213" t="n">
        <f aca="false">'HC by Program-Term'!H40</f>
        <v>0</v>
      </c>
      <c r="E38" s="213" t="n">
        <f aca="false">'HC by Program-Term'!K40</f>
        <v>0</v>
      </c>
      <c r="F38" s="213" t="n">
        <f aca="false">'HC by Program-Term'!N40</f>
        <v>24</v>
      </c>
      <c r="G38" s="213" t="n">
        <f aca="false">'HC by Program-Term'!Q40</f>
        <v>63</v>
      </c>
      <c r="H38" s="213" t="n">
        <f aca="false">'HC by Program-Term'!T40</f>
        <v>64</v>
      </c>
      <c r="I38" s="150" t="n">
        <f aca="false">IF(COUNT(C38:H38)=0,"—",MAX(C38:H38))</f>
        <v>64</v>
      </c>
      <c r="J38" s="150" t="n">
        <f aca="false">H38</f>
        <v>64</v>
      </c>
      <c r="K38" s="214" t="str">
        <f aca="false">IF(AND(ISNUMBER(C38),ISNUMBER(H38)),H38-C38,"—")</f>
        <v>—</v>
      </c>
    </row>
    <row r="39" customFormat="false" ht="15" hidden="false" customHeight="false" outlineLevel="0" collapsed="false">
      <c r="A39" s="207" t="str">
        <f aca="false">'Program List'!A36</f>
        <v>M867</v>
      </c>
      <c r="B39" s="208" t="str">
        <f aca="false">'Program List'!B36</f>
        <v>Master of Science in Sustainable Architecture</v>
      </c>
      <c r="C39" s="209" t="n">
        <f aca="false">'HC by Program-Term'!E41</f>
        <v>0</v>
      </c>
      <c r="D39" s="209" t="n">
        <f aca="false">'HC by Program-Term'!H41</f>
        <v>0</v>
      </c>
      <c r="E39" s="209" t="n">
        <f aca="false">'HC by Program-Term'!K41</f>
        <v>0</v>
      </c>
      <c r="F39" s="209" t="n">
        <f aca="false">'HC by Program-Term'!N41</f>
        <v>20</v>
      </c>
      <c r="G39" s="209" t="n">
        <f aca="false">'HC by Program-Term'!Q41</f>
        <v>38</v>
      </c>
      <c r="H39" s="209" t="n">
        <f aca="false">'HC by Program-Term'!T41</f>
        <v>24</v>
      </c>
      <c r="I39" s="146" t="n">
        <f aca="false">IF(COUNT(C39:H39)=0,"—",MAX(C39:H39))</f>
        <v>38</v>
      </c>
      <c r="J39" s="146" t="n">
        <f aca="false">H39</f>
        <v>24</v>
      </c>
      <c r="K39" s="210" t="str">
        <f aca="false">IF(AND(ISNUMBER(C39),ISNUMBER(H39)),H39-C39,"—")</f>
        <v>—</v>
      </c>
    </row>
    <row r="40" customFormat="false" ht="15" hidden="false" customHeight="false" outlineLevel="0" collapsed="false">
      <c r="A40" s="211" t="str">
        <f aca="false">'Program List'!A37</f>
        <v>M844</v>
      </c>
      <c r="B40" s="212" t="str">
        <f aca="false">'Program List'!B37</f>
        <v>Master of Social Work</v>
      </c>
      <c r="C40" s="213" t="n">
        <f aca="false">'HC by Program-Term'!E42</f>
        <v>155</v>
      </c>
      <c r="D40" s="213" t="n">
        <f aca="false">'HC by Program-Term'!H42</f>
        <v>348</v>
      </c>
      <c r="E40" s="213" t="n">
        <f aca="false">'HC by Program-Term'!K42</f>
        <v>412</v>
      </c>
      <c r="F40" s="213" t="n">
        <f aca="false">'HC by Program-Term'!N42</f>
        <v>441</v>
      </c>
      <c r="G40" s="213" t="n">
        <f aca="false">'HC by Program-Term'!Q42</f>
        <v>408</v>
      </c>
      <c r="H40" s="213" t="n">
        <f aca="false">'HC by Program-Term'!T42</f>
        <v>465</v>
      </c>
      <c r="I40" s="150" t="n">
        <f aca="false">IF(COUNT(C40:H40)=0,"—",MAX(C40:H40))</f>
        <v>465</v>
      </c>
      <c r="J40" s="150" t="n">
        <f aca="false">H40</f>
        <v>465</v>
      </c>
      <c r="K40" s="214" t="n">
        <f aca="false">IF(AND(ISNUMBER(C40),ISNUMBER(H40)),H40-C40,"—")</f>
        <v>310</v>
      </c>
    </row>
    <row r="41" customFormat="false" ht="15" hidden="false" customHeight="false" outlineLevel="0" collapsed="false">
      <c r="A41" s="207" t="str">
        <f aca="false">'Program List'!A38</f>
        <v>1237Q</v>
      </c>
      <c r="B41" s="208" t="str">
        <f aca="false">'Program List'!B38</f>
        <v>Masters in Public Health</v>
      </c>
      <c r="C41" s="209" t="str">
        <f aca="false">'HC by Program-Term'!E43</f>
        <v>—</v>
      </c>
      <c r="D41" s="209" t="str">
        <f aca="false">'HC by Program-Term'!H43</f>
        <v>—</v>
      </c>
      <c r="E41" s="209" t="str">
        <f aca="false">'HC by Program-Term'!K43</f>
        <v>—</v>
      </c>
      <c r="F41" s="209" t="str">
        <f aca="false">'HC by Program-Term'!N43</f>
        <v>—</v>
      </c>
      <c r="G41" s="209" t="str">
        <f aca="false">'HC by Program-Term'!Q43</f>
        <v>—</v>
      </c>
      <c r="H41" s="209" t="str">
        <f aca="false">'HC by Program-Term'!T43</f>
        <v>—</v>
      </c>
      <c r="I41" s="146" t="str">
        <f aca="false">IF(COUNT(C41:H41)=0,"—",MAX(C41:H41))</f>
        <v>—</v>
      </c>
      <c r="J41" s="146" t="str">
        <f aca="false">H41</f>
        <v>—</v>
      </c>
      <c r="K41" s="210" t="str">
        <f aca="false">IF(AND(ISNUMBER(C41),ISNUMBER(H41)),H41-C41,"—")</f>
        <v>—</v>
      </c>
    </row>
    <row r="42" customFormat="false" ht="15" hidden="false" customHeight="false" outlineLevel="0" collapsed="false">
      <c r="A42" s="211" t="str">
        <f aca="false">'Program List'!A39</f>
        <v>M355</v>
      </c>
      <c r="B42" s="212" t="str">
        <f aca="false">'Program List'!B39</f>
        <v>Online LL.M. Energy and Natural Resources</v>
      </c>
      <c r="C42" s="213" t="n">
        <f aca="false">'HC by Program-Term'!E44</f>
        <v>0</v>
      </c>
      <c r="D42" s="213" t="n">
        <f aca="false">'HC by Program-Term'!H44</f>
        <v>3</v>
      </c>
      <c r="E42" s="213" t="n">
        <f aca="false">'HC by Program-Term'!K44</f>
        <v>0</v>
      </c>
      <c r="F42" s="213" t="n">
        <f aca="false">'HC by Program-Term'!N44</f>
        <v>4</v>
      </c>
      <c r="G42" s="213" t="n">
        <f aca="false">'HC by Program-Term'!Q44</f>
        <v>4</v>
      </c>
      <c r="H42" s="213" t="n">
        <f aca="false">'HC by Program-Term'!T44</f>
        <v>3</v>
      </c>
      <c r="I42" s="150" t="n">
        <f aca="false">IF(COUNT(C42:H42)=0,"—",MAX(C42:H42))</f>
        <v>4</v>
      </c>
      <c r="J42" s="150" t="n">
        <f aca="false">H42</f>
        <v>3</v>
      </c>
      <c r="K42" s="214" t="str">
        <f aca="false">IF(AND(ISNUMBER(C42),ISNUMBER(H42)),H42-C42,"—")</f>
        <v>—</v>
      </c>
    </row>
    <row r="43" customFormat="false" ht="15" hidden="false" customHeight="false" outlineLevel="0" collapsed="false">
      <c r="A43" s="207" t="str">
        <f aca="false">'Program List'!A40</f>
        <v>M504</v>
      </c>
      <c r="B43" s="208" t="str">
        <f aca="false">'Program List'!B40</f>
        <v>Online LL.M. Healthcare Law</v>
      </c>
      <c r="C43" s="209" t="n">
        <f aca="false">'HC by Program-Term'!E45</f>
        <v>0</v>
      </c>
      <c r="D43" s="209" t="n">
        <f aca="false">'HC by Program-Term'!H45</f>
        <v>1</v>
      </c>
      <c r="E43" s="209" t="n">
        <f aca="false">'HC by Program-Term'!K45</f>
        <v>2</v>
      </c>
      <c r="F43" s="209" t="n">
        <f aca="false">'HC by Program-Term'!N45</f>
        <v>2</v>
      </c>
      <c r="G43" s="209" t="n">
        <f aca="false">'HC by Program-Term'!Q45</f>
        <v>2</v>
      </c>
      <c r="H43" s="209" t="n">
        <f aca="false">'HC by Program-Term'!T45</f>
        <v>4</v>
      </c>
      <c r="I43" s="146" t="n">
        <f aca="false">IF(COUNT(C43:H43)=0,"—",MAX(C43:H43))</f>
        <v>4</v>
      </c>
      <c r="J43" s="146" t="n">
        <f aca="false">H43</f>
        <v>4</v>
      </c>
      <c r="K43" s="210" t="str">
        <f aca="false">IF(AND(ISNUMBER(C43),ISNUMBER(H43)),H43-C43,"—")</f>
        <v>—</v>
      </c>
    </row>
    <row r="44" customFormat="false" ht="15" hidden="false" customHeight="false" outlineLevel="0" collapsed="false">
      <c r="A44" s="211" t="str">
        <f aca="false">'Program List'!A41</f>
        <v>M526</v>
      </c>
      <c r="B44" s="212" t="str">
        <f aca="false">'Program List'!B41</f>
        <v>Online LL.M. Indigenous Peoples Law</v>
      </c>
      <c r="C44" s="213" t="n">
        <f aca="false">'HC by Program-Term'!E46</f>
        <v>2</v>
      </c>
      <c r="D44" s="213" t="n">
        <f aca="false">'HC by Program-Term'!H46</f>
        <v>3</v>
      </c>
      <c r="E44" s="213" t="n">
        <f aca="false">'HC by Program-Term'!K46</f>
        <v>7</v>
      </c>
      <c r="F44" s="213" t="n">
        <f aca="false">'HC by Program-Term'!N46</f>
        <v>6</v>
      </c>
      <c r="G44" s="213" t="n">
        <f aca="false">'HC by Program-Term'!Q46</f>
        <v>11</v>
      </c>
      <c r="H44" s="213" t="n">
        <f aca="false">'HC by Program-Term'!T46</f>
        <v>3</v>
      </c>
      <c r="I44" s="150" t="n">
        <f aca="false">IF(COUNT(C44:H44)=0,"—",MAX(C44:H44))</f>
        <v>11</v>
      </c>
      <c r="J44" s="150" t="n">
        <f aca="false">H44</f>
        <v>3</v>
      </c>
      <c r="K44" s="214" t="n">
        <f aca="false">IF(AND(ISNUMBER(C44),ISNUMBER(H44)),H44-C44,"—")</f>
        <v>1</v>
      </c>
    </row>
    <row r="45" customFormat="false" ht="15" hidden="false" customHeight="false" outlineLevel="0" collapsed="false">
      <c r="A45" s="207" t="str">
        <f aca="false">'Program List'!A42</f>
        <v>M592</v>
      </c>
      <c r="B45" s="208" t="str">
        <f aca="false">'Program List'!B42</f>
        <v>Online LL.M. International Business</v>
      </c>
      <c r="C45" s="209" t="n">
        <f aca="false">'HC by Program-Term'!E47</f>
        <v>0</v>
      </c>
      <c r="D45" s="209" t="n">
        <f aca="false">'HC by Program-Term'!H47</f>
        <v>0</v>
      </c>
      <c r="E45" s="209" t="n">
        <f aca="false">'HC by Program-Term'!K47</f>
        <v>1</v>
      </c>
      <c r="F45" s="209" t="n">
        <f aca="false">'HC by Program-Term'!N47</f>
        <v>1</v>
      </c>
      <c r="G45" s="209" t="n">
        <f aca="false">'HC by Program-Term'!Q47</f>
        <v>0</v>
      </c>
      <c r="H45" s="209" t="n">
        <f aca="false">'HC by Program-Term'!T47</f>
        <v>4</v>
      </c>
      <c r="I45" s="146" t="n">
        <f aca="false">IF(COUNT(C45:H45)=0,"—",MAX(C45:H45))</f>
        <v>4</v>
      </c>
      <c r="J45" s="146" t="n">
        <f aca="false">H45</f>
        <v>4</v>
      </c>
      <c r="K45" s="210" t="str">
        <f aca="false">IF(AND(ISNUMBER(C45),ISNUMBER(H45)),H45-C45,"—")</f>
        <v>—</v>
      </c>
    </row>
    <row r="46" customFormat="false" ht="15" hidden="false" customHeight="false" outlineLevel="0" collapsed="false">
      <c r="A46" s="87"/>
      <c r="B46" s="215" t="s">
        <v>700</v>
      </c>
      <c r="C46" s="216" t="n">
        <f aca="false">SUM(C5:C45)</f>
        <v>1006</v>
      </c>
      <c r="D46" s="216" t="n">
        <f aca="false">SUM(D5:D45)</f>
        <v>1954</v>
      </c>
      <c r="E46" s="216" t="n">
        <f aca="false">SUM(E5:E45)</f>
        <v>2271</v>
      </c>
      <c r="F46" s="216" t="n">
        <f aca="false">SUM(F5:F45)</f>
        <v>2760</v>
      </c>
      <c r="G46" s="216" t="n">
        <f aca="false">SUM(G5:G45)</f>
        <v>2756</v>
      </c>
      <c r="H46" s="216" t="n">
        <f aca="false">SUM(H5:H45)</f>
        <v>2663</v>
      </c>
      <c r="I46" s="87"/>
      <c r="J46" s="216" t="n">
        <f aca="false">SUM(J5:J45)</f>
        <v>2663</v>
      </c>
      <c r="K46" s="87"/>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6"/>
    <col collapsed="false" customWidth="true" hidden="false" outlineLevel="0" max="12" min="3" style="0" width="11"/>
  </cols>
  <sheetData>
    <row r="1" customFormat="false" ht="17.35" hidden="false" customHeight="false" outlineLevel="0" collapsed="false">
      <c r="A1" s="203" t="s">
        <v>784</v>
      </c>
    </row>
    <row r="2" customFormat="false" ht="25.5" hidden="false" customHeight="true" outlineLevel="0" collapsed="false">
      <c r="A2" s="204" t="s">
        <v>785</v>
      </c>
      <c r="B2" s="204"/>
      <c r="C2" s="204"/>
      <c r="D2" s="204"/>
      <c r="E2" s="204"/>
      <c r="F2" s="204"/>
      <c r="G2" s="204"/>
      <c r="H2" s="204"/>
      <c r="I2" s="204"/>
      <c r="J2" s="204"/>
      <c r="K2" s="204"/>
      <c r="L2" s="204"/>
    </row>
    <row r="4" customFormat="false" ht="25.5" hidden="false" customHeight="true" outlineLevel="0" collapsed="false">
      <c r="A4" s="219" t="s">
        <v>699</v>
      </c>
      <c r="B4" s="220" t="s">
        <v>134</v>
      </c>
      <c r="C4" s="219" t="s">
        <v>703</v>
      </c>
      <c r="D4" s="219" t="s">
        <v>706</v>
      </c>
      <c r="E4" s="219" t="s">
        <v>709</v>
      </c>
      <c r="F4" s="219" t="s">
        <v>712</v>
      </c>
      <c r="G4" s="219" t="s">
        <v>715</v>
      </c>
      <c r="H4" s="219" t="s">
        <v>718</v>
      </c>
      <c r="I4" s="219" t="s">
        <v>721</v>
      </c>
      <c r="J4" s="219" t="s">
        <v>778</v>
      </c>
      <c r="K4" s="219" t="s">
        <v>786</v>
      </c>
      <c r="L4" s="219" t="s">
        <v>780</v>
      </c>
    </row>
    <row r="5" customFormat="false" ht="15" hidden="false" customHeight="false" outlineLevel="0" collapsed="false">
      <c r="A5" s="207" t="str">
        <f aca="false">'Program List'!A2</f>
        <v>1550C</v>
      </c>
      <c r="B5" s="208" t="str">
        <f aca="false">'Program List'!B2</f>
        <v>Certificate in Population Health</v>
      </c>
      <c r="C5" s="209" t="str">
        <f aca="false">'HC by Program-Term'!C7</f>
        <v>—</v>
      </c>
      <c r="D5" s="209" t="str">
        <f aca="false">'HC by Program-Term'!F7</f>
        <v>—</v>
      </c>
      <c r="E5" s="209" t="str">
        <f aca="false">'HC by Program-Term'!I7</f>
        <v>—</v>
      </c>
      <c r="F5" s="209" t="str">
        <f aca="false">'HC by Program-Term'!L7</f>
        <v>—</v>
      </c>
      <c r="G5" s="209" t="str">
        <f aca="false">'HC by Program-Term'!O7</f>
        <v>—</v>
      </c>
      <c r="H5" s="209" t="str">
        <f aca="false">'HC by Program-Term'!R7</f>
        <v>—</v>
      </c>
      <c r="I5" s="209" t="str">
        <f aca="false">'HC by Program-Term'!U7</f>
        <v>—</v>
      </c>
      <c r="J5" s="146" t="str">
        <f aca="false">IF(COUNT(C5:I5)=0,"—",MAX(C5:I5))</f>
        <v>—</v>
      </c>
      <c r="K5" s="146" t="str">
        <f aca="false">I5</f>
        <v>—</v>
      </c>
      <c r="L5" s="210" t="str">
        <f aca="false">IF(AND(ISNUMBER(C5),ISNUMBER(I5)),I5-C5,"—")</f>
        <v>—</v>
      </c>
    </row>
    <row r="6" customFormat="false" ht="15" hidden="false" customHeight="false" outlineLevel="0" collapsed="false">
      <c r="A6" s="211" t="str">
        <f aca="false">'Program List'!A3</f>
        <v>D318</v>
      </c>
      <c r="B6" s="212" t="str">
        <f aca="false">'Program List'!B3</f>
        <v>Ed.D. in Education Administration</v>
      </c>
      <c r="C6" s="213" t="str">
        <f aca="false">'HC by Program-Term'!C8</f>
        <v>—</v>
      </c>
      <c r="D6" s="213" t="str">
        <f aca="false">'HC by Program-Term'!F8</f>
        <v>—</v>
      </c>
      <c r="E6" s="213" t="str">
        <f aca="false">'HC by Program-Term'!I8</f>
        <v>—</v>
      </c>
      <c r="F6" s="213" t="str">
        <f aca="false">'HC by Program-Term'!L8</f>
        <v>—</v>
      </c>
      <c r="G6" s="213" t="str">
        <f aca="false">'HC by Program-Term'!O8</f>
        <v>—</v>
      </c>
      <c r="H6" s="213" t="str">
        <f aca="false">'HC by Program-Term'!R8</f>
        <v>—</v>
      </c>
      <c r="I6" s="213" t="str">
        <f aca="false">'HC by Program-Term'!U8</f>
        <v>—</v>
      </c>
      <c r="J6" s="150" t="str">
        <f aca="false">IF(COUNT(C6:I6)=0,"—",MAX(C6:I6))</f>
        <v>—</v>
      </c>
      <c r="K6" s="150" t="str">
        <f aca="false">I6</f>
        <v>—</v>
      </c>
      <c r="L6" s="214" t="str">
        <f aca="false">IF(AND(ISNUMBER(C6),ISNUMBER(I6)),I6-C6,"—")</f>
        <v>—</v>
      </c>
    </row>
    <row r="7" customFormat="false" ht="15" hidden="false" customHeight="false" outlineLevel="0" collapsed="false">
      <c r="A7" s="207" t="str">
        <f aca="false">'Program List'!A4</f>
        <v>M366</v>
      </c>
      <c r="B7" s="208" t="str">
        <f aca="false">'Program List'!B4</f>
        <v>Executive MBA in Energy</v>
      </c>
      <c r="C7" s="209" t="n">
        <f aca="false">'HC by Program-Term'!C9</f>
        <v>0</v>
      </c>
      <c r="D7" s="209" t="n">
        <f aca="false">'HC by Program-Term'!F9</f>
        <v>38</v>
      </c>
      <c r="E7" s="209" t="n">
        <f aca="false">'HC by Program-Term'!I9</f>
        <v>39</v>
      </c>
      <c r="F7" s="209" t="n">
        <f aca="false">'HC by Program-Term'!L9</f>
        <v>49</v>
      </c>
      <c r="G7" s="209" t="n">
        <f aca="false">'HC by Program-Term'!O9</f>
        <v>40</v>
      </c>
      <c r="H7" s="209" t="n">
        <f aca="false">'HC by Program-Term'!R9</f>
        <v>32</v>
      </c>
      <c r="I7" s="209" t="n">
        <f aca="false">'HC by Program-Term'!U9</f>
        <v>20</v>
      </c>
      <c r="J7" s="146" t="n">
        <f aca="false">IF(COUNT(C7:I7)=0,"—",MAX(C7:I7))</f>
        <v>49</v>
      </c>
      <c r="K7" s="146" t="n">
        <f aca="false">I7</f>
        <v>20</v>
      </c>
      <c r="L7" s="210" t="str">
        <f aca="false">IF(AND(ISNUMBER(C7),ISNUMBER(I7)),I7-C7,"—")</f>
        <v>—</v>
      </c>
    </row>
    <row r="8" customFormat="false" ht="15" hidden="false" customHeight="false" outlineLevel="0" collapsed="false">
      <c r="A8" s="211" t="str">
        <f aca="false">'Program List'!A5</f>
        <v>1231EX</v>
      </c>
      <c r="B8" s="212" t="str">
        <f aca="false">'Program List'!B5</f>
        <v>Executive Masters in Health Administration</v>
      </c>
      <c r="C8" s="213" t="str">
        <f aca="false">'HC by Program-Term'!C10</f>
        <v>—</v>
      </c>
      <c r="D8" s="213" t="str">
        <f aca="false">'HC by Program-Term'!F10</f>
        <v>—</v>
      </c>
      <c r="E8" s="213" t="str">
        <f aca="false">'HC by Program-Term'!I10</f>
        <v>—</v>
      </c>
      <c r="F8" s="213" t="str">
        <f aca="false">'HC by Program-Term'!L10</f>
        <v>—</v>
      </c>
      <c r="G8" s="213" t="str">
        <f aca="false">'HC by Program-Term'!O10</f>
        <v>—</v>
      </c>
      <c r="H8" s="213" t="str">
        <f aca="false">'HC by Program-Term'!R10</f>
        <v>—</v>
      </c>
      <c r="I8" s="213" t="str">
        <f aca="false">'HC by Program-Term'!U10</f>
        <v>—</v>
      </c>
      <c r="J8" s="150" t="str">
        <f aca="false">IF(COUNT(C8:I8)=0,"—",MAX(C8:I8))</f>
        <v>—</v>
      </c>
      <c r="K8" s="150" t="str">
        <f aca="false">I8</f>
        <v>—</v>
      </c>
      <c r="L8" s="214" t="str">
        <f aca="false">IF(AND(ISNUMBER(C8),ISNUMBER(I8)),I8-C8,"—")</f>
        <v>—</v>
      </c>
    </row>
    <row r="9" customFormat="false" ht="15" hidden="false" customHeight="false" outlineLevel="0" collapsed="false">
      <c r="A9" s="207" t="str">
        <f aca="false">'Program List'!A6</f>
        <v>M013</v>
      </c>
      <c r="B9" s="208" t="str">
        <f aca="false">'Program List'!B6</f>
        <v>Master of Accountancy</v>
      </c>
      <c r="C9" s="209" t="n">
        <f aca="false">'HC by Program-Term'!C11</f>
        <v>8</v>
      </c>
      <c r="D9" s="209" t="n">
        <f aca="false">'HC by Program-Term'!F11</f>
        <v>66</v>
      </c>
      <c r="E9" s="209" t="n">
        <f aca="false">'HC by Program-Term'!I11</f>
        <v>76</v>
      </c>
      <c r="F9" s="209" t="n">
        <f aca="false">'HC by Program-Term'!L11</f>
        <v>79</v>
      </c>
      <c r="G9" s="209" t="n">
        <f aca="false">'HC by Program-Term'!O11</f>
        <v>76</v>
      </c>
      <c r="H9" s="209" t="n">
        <f aca="false">'HC by Program-Term'!R11</f>
        <v>70</v>
      </c>
      <c r="I9" s="209" t="n">
        <f aca="false">'HC by Program-Term'!U11</f>
        <v>80</v>
      </c>
      <c r="J9" s="146" t="n">
        <f aca="false">IF(COUNT(C9:I9)=0,"—",MAX(C9:I9))</f>
        <v>80</v>
      </c>
      <c r="K9" s="146" t="n">
        <f aca="false">I9</f>
        <v>80</v>
      </c>
      <c r="L9" s="210" t="n">
        <f aca="false">IF(AND(ISNUMBER(C9),ISNUMBER(I9)),I9-C9,"—")</f>
        <v>72</v>
      </c>
    </row>
    <row r="10" customFormat="false" ht="15" hidden="false" customHeight="false" outlineLevel="0" collapsed="false">
      <c r="A10" s="211" t="str">
        <f aca="false">'Program List'!A7</f>
        <v>M075</v>
      </c>
      <c r="B10" s="212" t="str">
        <f aca="false">'Program List'!B7</f>
        <v>Master of Arts in Art and Technology</v>
      </c>
      <c r="C10" s="213" t="n">
        <f aca="false">'HC by Program-Term'!C12</f>
        <v>0</v>
      </c>
      <c r="D10" s="213" t="n">
        <f aca="false">'HC by Program-Term'!F12</f>
        <v>0</v>
      </c>
      <c r="E10" s="213" t="n">
        <f aca="false">'HC by Program-Term'!I12</f>
        <v>32</v>
      </c>
      <c r="F10" s="213" t="n">
        <f aca="false">'HC by Program-Term'!L12</f>
        <v>51</v>
      </c>
      <c r="G10" s="213" t="n">
        <f aca="false">'HC by Program-Term'!O12</f>
        <v>47</v>
      </c>
      <c r="H10" s="213" t="n">
        <f aca="false">'HC by Program-Term'!R12</f>
        <v>45</v>
      </c>
      <c r="I10" s="213" t="n">
        <f aca="false">'HC by Program-Term'!U12</f>
        <v>44</v>
      </c>
      <c r="J10" s="150" t="n">
        <f aca="false">IF(COUNT(C10:I10)=0,"—",MAX(C10:I10))</f>
        <v>51</v>
      </c>
      <c r="K10" s="150" t="n">
        <f aca="false">I10</f>
        <v>44</v>
      </c>
      <c r="L10" s="214" t="str">
        <f aca="false">IF(AND(ISNUMBER(C10),ISNUMBER(I10)),I10-C10,"—")</f>
        <v>—</v>
      </c>
    </row>
    <row r="11" customFormat="false" ht="15" hidden="false" customHeight="false" outlineLevel="0" collapsed="false">
      <c r="A11" s="207" t="str">
        <f aca="false">'Program List'!A8</f>
        <v>M073</v>
      </c>
      <c r="B11" s="208" t="str">
        <f aca="false">'Program List'!B8</f>
        <v>Master of Arts in Arts Management</v>
      </c>
      <c r="C11" s="209" t="n">
        <f aca="false">'HC by Program-Term'!C13</f>
        <v>0</v>
      </c>
      <c r="D11" s="209" t="n">
        <f aca="false">'HC by Program-Term'!F13</f>
        <v>0</v>
      </c>
      <c r="E11" s="209" t="n">
        <f aca="false">'HC by Program-Term'!I13</f>
        <v>0</v>
      </c>
      <c r="F11" s="209" t="n">
        <f aca="false">'HC by Program-Term'!L13</f>
        <v>7</v>
      </c>
      <c r="G11" s="209" t="n">
        <f aca="false">'HC by Program-Term'!O13</f>
        <v>60</v>
      </c>
      <c r="H11" s="209" t="n">
        <f aca="false">'HC by Program-Term'!R13</f>
        <v>53</v>
      </c>
      <c r="I11" s="209" t="n">
        <f aca="false">'HC by Program-Term'!U13</f>
        <v>53</v>
      </c>
      <c r="J11" s="146" t="n">
        <f aca="false">IF(COUNT(C11:I11)=0,"—",MAX(C11:I11))</f>
        <v>60</v>
      </c>
      <c r="K11" s="146" t="n">
        <f aca="false">I11</f>
        <v>53</v>
      </c>
      <c r="L11" s="210" t="str">
        <f aca="false">IF(AND(ISNUMBER(C11),ISNUMBER(I11)),I11-C11,"—")</f>
        <v>—</v>
      </c>
    </row>
    <row r="12" customFormat="false" ht="15" hidden="false" customHeight="false" outlineLevel="0" collapsed="false">
      <c r="A12" s="211" t="str">
        <f aca="false">'Program List'!A9</f>
        <v>M494</v>
      </c>
      <c r="B12" s="212" t="str">
        <f aca="false">'Program List'!B9</f>
        <v>Master of Arts in Global Affairs</v>
      </c>
      <c r="C12" s="213" t="n">
        <f aca="false">'HC by Program-Term'!C14</f>
        <v>4</v>
      </c>
      <c r="D12" s="213" t="n">
        <f aca="false">'HC by Program-Term'!F14</f>
        <v>26</v>
      </c>
      <c r="E12" s="213" t="n">
        <f aca="false">'HC by Program-Term'!I14</f>
        <v>44</v>
      </c>
      <c r="F12" s="213" t="n">
        <f aca="false">'HC by Program-Term'!L14</f>
        <v>68</v>
      </c>
      <c r="G12" s="213" t="n">
        <f aca="false">'HC by Program-Term'!O14</f>
        <v>76</v>
      </c>
      <c r="H12" s="213" t="n">
        <f aca="false">'HC by Program-Term'!R14</f>
        <v>82</v>
      </c>
      <c r="I12" s="213" t="n">
        <f aca="false">'HC by Program-Term'!U14</f>
        <v>78</v>
      </c>
      <c r="J12" s="150" t="n">
        <f aca="false">IF(COUNT(C12:I12)=0,"—",MAX(C12:I12))</f>
        <v>82</v>
      </c>
      <c r="K12" s="150" t="n">
        <f aca="false">I12</f>
        <v>78</v>
      </c>
      <c r="L12" s="214" t="n">
        <f aca="false">IF(AND(ISNUMBER(C12),ISNUMBER(I12)),I12-C12,"—")</f>
        <v>74</v>
      </c>
    </row>
    <row r="13" customFormat="false" ht="15" hidden="false" customHeight="false" outlineLevel="0" collapsed="false">
      <c r="A13" s="207" t="str">
        <f aca="false">'Program List'!A10</f>
        <v>M700</v>
      </c>
      <c r="B13" s="208" t="str">
        <f aca="false">'Program List'!B10</f>
        <v>Master of Arts in Museum Studies</v>
      </c>
      <c r="C13" s="209" t="n">
        <f aca="false">'HC by Program-Term'!C15</f>
        <v>7</v>
      </c>
      <c r="D13" s="209" t="n">
        <f aca="false">'HC by Program-Term'!F15</f>
        <v>31</v>
      </c>
      <c r="E13" s="209" t="n">
        <f aca="false">'HC by Program-Term'!I15</f>
        <v>90</v>
      </c>
      <c r="F13" s="209" t="n">
        <f aca="false">'HC by Program-Term'!L15</f>
        <v>179</v>
      </c>
      <c r="G13" s="209" t="n">
        <f aca="false">'HC by Program-Term'!O15</f>
        <v>234</v>
      </c>
      <c r="H13" s="209" t="n">
        <f aca="false">'HC by Program-Term'!R15</f>
        <v>252</v>
      </c>
      <c r="I13" s="209" t="n">
        <f aca="false">'HC by Program-Term'!U15</f>
        <v>194</v>
      </c>
      <c r="J13" s="146" t="n">
        <f aca="false">IF(COUNT(C13:I13)=0,"—",MAX(C13:I13))</f>
        <v>252</v>
      </c>
      <c r="K13" s="146" t="n">
        <f aca="false">I13</f>
        <v>194</v>
      </c>
      <c r="L13" s="210" t="n">
        <f aca="false">IF(AND(ISNUMBER(C13),ISNUMBER(I13)),I13-C13,"—")</f>
        <v>187</v>
      </c>
    </row>
    <row r="14" customFormat="false" ht="15" hidden="false" customHeight="false" outlineLevel="0" collapsed="false">
      <c r="A14" s="211" t="str">
        <f aca="false">'Program List'!A11</f>
        <v>M762</v>
      </c>
      <c r="B14" s="212" t="str">
        <f aca="false">'Program List'!B11</f>
        <v>Master of Arts in Organizational Leadership</v>
      </c>
      <c r="C14" s="213" t="n">
        <f aca="false">'HC by Program-Term'!C16</f>
        <v>29</v>
      </c>
      <c r="D14" s="213" t="n">
        <f aca="false">'HC by Program-Term'!F16</f>
        <v>73</v>
      </c>
      <c r="E14" s="213" t="n">
        <f aca="false">'HC by Program-Term'!I16</f>
        <v>122</v>
      </c>
      <c r="F14" s="213" t="n">
        <f aca="false">'HC by Program-Term'!L16</f>
        <v>128</v>
      </c>
      <c r="G14" s="213" t="n">
        <f aca="false">'HC by Program-Term'!O16</f>
        <v>152</v>
      </c>
      <c r="H14" s="213" t="n">
        <f aca="false">'HC by Program-Term'!R16</f>
        <v>132</v>
      </c>
      <c r="I14" s="213" t="n">
        <f aca="false">'HC by Program-Term'!U16</f>
        <v>116</v>
      </c>
      <c r="J14" s="150" t="n">
        <f aca="false">IF(COUNT(C14:I14)=0,"—",MAX(C14:I14))</f>
        <v>152</v>
      </c>
      <c r="K14" s="150" t="n">
        <f aca="false">I14</f>
        <v>116</v>
      </c>
      <c r="L14" s="214" t="n">
        <f aca="false">IF(AND(ISNUMBER(C14),ISNUMBER(I14)),I14-C14,"—")</f>
        <v>87</v>
      </c>
    </row>
    <row r="15" customFormat="false" ht="15" hidden="false" customHeight="false" outlineLevel="0" collapsed="false">
      <c r="A15" s="207" t="str">
        <f aca="false">'Program List'!A12</f>
        <v>M859</v>
      </c>
      <c r="B15" s="208" t="str">
        <f aca="false">'Program List'!B12</f>
        <v>Master of Arts in Strategic Communication and Digital Strategy</v>
      </c>
      <c r="C15" s="209" t="n">
        <f aca="false">'HC by Program-Term'!C17</f>
        <v>0</v>
      </c>
      <c r="D15" s="209" t="n">
        <f aca="false">'HC by Program-Term'!F17</f>
        <v>60</v>
      </c>
      <c r="E15" s="209" t="n">
        <f aca="false">'HC by Program-Term'!I17</f>
        <v>109</v>
      </c>
      <c r="F15" s="209" t="n">
        <f aca="false">'HC by Program-Term'!L17</f>
        <v>91</v>
      </c>
      <c r="G15" s="209" t="n">
        <f aca="false">'HC by Program-Term'!O17</f>
        <v>89</v>
      </c>
      <c r="H15" s="209" t="n">
        <f aca="false">'HC by Program-Term'!R17</f>
        <v>101</v>
      </c>
      <c r="I15" s="209" t="n">
        <f aca="false">'HC by Program-Term'!U17</f>
        <v>80</v>
      </c>
      <c r="J15" s="146" t="n">
        <f aca="false">IF(COUNT(C15:I15)=0,"—",MAX(C15:I15))</f>
        <v>109</v>
      </c>
      <c r="K15" s="146" t="n">
        <f aca="false">I15</f>
        <v>80</v>
      </c>
      <c r="L15" s="210" t="str">
        <f aca="false">IF(AND(ISNUMBER(C15),ISNUMBER(I15)),I15-C15,"—")</f>
        <v>—</v>
      </c>
    </row>
    <row r="16" customFormat="false" ht="15" hidden="false" customHeight="false" outlineLevel="0" collapsed="false">
      <c r="A16" s="211" t="str">
        <f aca="false">'Program List'!A13</f>
        <v>M202</v>
      </c>
      <c r="B16" s="212" t="str">
        <f aca="false">'Program List'!B13</f>
        <v>Master of Clinical Mental Health Counseling</v>
      </c>
      <c r="C16" s="213" t="n">
        <f aca="false">'HC by Program-Term'!C18</f>
        <v>0</v>
      </c>
      <c r="D16" s="213" t="n">
        <f aca="false">'HC by Program-Term'!F18</f>
        <v>0</v>
      </c>
      <c r="E16" s="213" t="n">
        <f aca="false">'HC by Program-Term'!I18</f>
        <v>82</v>
      </c>
      <c r="F16" s="213" t="n">
        <f aca="false">'HC by Program-Term'!L18</f>
        <v>136</v>
      </c>
      <c r="G16" s="213" t="n">
        <f aca="false">'HC by Program-Term'!O18</f>
        <v>176</v>
      </c>
      <c r="H16" s="213" t="n">
        <f aca="false">'HC by Program-Term'!R18</f>
        <v>131</v>
      </c>
      <c r="I16" s="213" t="n">
        <f aca="false">'HC by Program-Term'!U18</f>
        <v>136</v>
      </c>
      <c r="J16" s="150" t="n">
        <f aca="false">IF(COUNT(C16:I16)=0,"—",MAX(C16:I16))</f>
        <v>176</v>
      </c>
      <c r="K16" s="150" t="n">
        <f aca="false">I16</f>
        <v>136</v>
      </c>
      <c r="L16" s="214" t="str">
        <f aca="false">IF(AND(ISNUMBER(C16),ISNUMBER(I16)),I16-C16,"—")</f>
        <v>—</v>
      </c>
    </row>
    <row r="17" customFormat="false" ht="15" hidden="false" customHeight="false" outlineLevel="0" collapsed="false">
      <c r="A17" s="207" t="str">
        <f aca="false">'Program List'!A14</f>
        <v>M246</v>
      </c>
      <c r="B17" s="208" t="str">
        <f aca="false">'Program List'!B14</f>
        <v>Master of Construction Business</v>
      </c>
      <c r="C17" s="209" t="n">
        <f aca="false">'HC by Program-Term'!C19</f>
        <v>0</v>
      </c>
      <c r="D17" s="209" t="n">
        <f aca="false">'HC by Program-Term'!F19</f>
        <v>0</v>
      </c>
      <c r="E17" s="209" t="n">
        <f aca="false">'HC by Program-Term'!I19</f>
        <v>35</v>
      </c>
      <c r="F17" s="209" t="n">
        <f aca="false">'HC by Program-Term'!L19</f>
        <v>45</v>
      </c>
      <c r="G17" s="209" t="n">
        <f aca="false">'HC by Program-Term'!O19</f>
        <v>36</v>
      </c>
      <c r="H17" s="209" t="n">
        <f aca="false">'HC by Program-Term'!R19</f>
        <v>40</v>
      </c>
      <c r="I17" s="209" t="n">
        <f aca="false">'HC by Program-Term'!U19</f>
        <v>27</v>
      </c>
      <c r="J17" s="146" t="n">
        <f aca="false">IF(COUNT(C17:I17)=0,"—",MAX(C17:I17))</f>
        <v>45</v>
      </c>
      <c r="K17" s="146" t="n">
        <f aca="false">I17</f>
        <v>27</v>
      </c>
      <c r="L17" s="210" t="str">
        <f aca="false">IF(AND(ISNUMBER(C17),ISNUMBER(I17)),I17-C17,"—")</f>
        <v>—</v>
      </c>
    </row>
    <row r="18" customFormat="false" ht="15" hidden="false" customHeight="false" outlineLevel="0" collapsed="false">
      <c r="A18" s="211" t="str">
        <f aca="false">'Program List'!A15</f>
        <v>M297</v>
      </c>
      <c r="B18" s="212" t="str">
        <f aca="false">'Program List'!B15</f>
        <v>Master of Econometrics</v>
      </c>
      <c r="C18" s="213" t="str">
        <f aca="false">'HC by Program-Term'!C20</f>
        <v>—</v>
      </c>
      <c r="D18" s="213" t="str">
        <f aca="false">'HC by Program-Term'!F20</f>
        <v>—</v>
      </c>
      <c r="E18" s="213" t="str">
        <f aca="false">'HC by Program-Term'!I20</f>
        <v>—</v>
      </c>
      <c r="F18" s="213" t="str">
        <f aca="false">'HC by Program-Term'!L20</f>
        <v>—</v>
      </c>
      <c r="G18" s="213" t="str">
        <f aca="false">'HC by Program-Term'!O20</f>
        <v>—</v>
      </c>
      <c r="H18" s="213" t="str">
        <f aca="false">'HC by Program-Term'!R20</f>
        <v>—</v>
      </c>
      <c r="I18" s="213" t="str">
        <f aca="false">'HC by Program-Term'!U20</f>
        <v>—</v>
      </c>
      <c r="J18" s="150" t="str">
        <f aca="false">IF(COUNT(C18:I18)=0,"—",MAX(C18:I18))</f>
        <v>—</v>
      </c>
      <c r="K18" s="150" t="str">
        <f aca="false">I18</f>
        <v>—</v>
      </c>
      <c r="L18" s="214" t="str">
        <f aca="false">IF(AND(ISNUMBER(C18),ISNUMBER(I18)),I18-C18,"—")</f>
        <v>—</v>
      </c>
    </row>
    <row r="19" customFormat="false" ht="15" hidden="false" customHeight="false" outlineLevel="0" collapsed="false">
      <c r="A19" s="207" t="str">
        <f aca="false">'Program List'!A16</f>
        <v>M383</v>
      </c>
      <c r="B19" s="208" t="str">
        <f aca="false">'Program List'!B16</f>
        <v>Master of Entrepreneurship &amp; Innovation</v>
      </c>
      <c r="C19" s="209" t="str">
        <f aca="false">'HC by Program-Term'!C21</f>
        <v>—</v>
      </c>
      <c r="D19" s="209" t="str">
        <f aca="false">'HC by Program-Term'!F21</f>
        <v>—</v>
      </c>
      <c r="E19" s="209" t="str">
        <f aca="false">'HC by Program-Term'!I21</f>
        <v>—</v>
      </c>
      <c r="F19" s="209" t="str">
        <f aca="false">'HC by Program-Term'!L21</f>
        <v>—</v>
      </c>
      <c r="G19" s="209" t="str">
        <f aca="false">'HC by Program-Term'!O21</f>
        <v>—</v>
      </c>
      <c r="H19" s="209" t="str">
        <f aca="false">'HC by Program-Term'!R21</f>
        <v>—</v>
      </c>
      <c r="I19" s="209" t="str">
        <f aca="false">'HC by Program-Term'!U21</f>
        <v>—</v>
      </c>
      <c r="J19" s="146" t="str">
        <f aca="false">IF(COUNT(C19:I19)=0,"—",MAX(C19:I19))</f>
        <v>—</v>
      </c>
      <c r="K19" s="146" t="str">
        <f aca="false">I19</f>
        <v>—</v>
      </c>
      <c r="L19" s="210" t="str">
        <f aca="false">IF(AND(ISNUMBER(C19),ISNUMBER(I19)),I19-C19,"—")</f>
        <v>—</v>
      </c>
    </row>
    <row r="20" customFormat="false" ht="15" hidden="false" customHeight="false" outlineLevel="0" collapsed="false">
      <c r="A20" s="211" t="str">
        <f aca="false">'Program List'!A17</f>
        <v>M518</v>
      </c>
      <c r="B20" s="212" t="str">
        <f aca="false">'Program List'!B17</f>
        <v>Master of Environmental Science: Hydrology and Water Security</v>
      </c>
      <c r="C20" s="213" t="n">
        <f aca="false">'HC by Program-Term'!C22</f>
        <v>0</v>
      </c>
      <c r="D20" s="213" t="n">
        <f aca="false">'HC by Program-Term'!F22</f>
        <v>77</v>
      </c>
      <c r="E20" s="213" t="n">
        <f aca="false">'HC by Program-Term'!I22</f>
        <v>84</v>
      </c>
      <c r="F20" s="213" t="n">
        <f aca="false">'HC by Program-Term'!L22</f>
        <v>51</v>
      </c>
      <c r="G20" s="213" t="n">
        <f aca="false">'HC by Program-Term'!O22</f>
        <v>58</v>
      </c>
      <c r="H20" s="213" t="n">
        <f aca="false">'HC by Program-Term'!R22</f>
        <v>67</v>
      </c>
      <c r="I20" s="213" t="n">
        <f aca="false">'HC by Program-Term'!U22</f>
        <v>71</v>
      </c>
      <c r="J20" s="150" t="n">
        <f aca="false">IF(COUNT(C20:I20)=0,"—",MAX(C20:I20))</f>
        <v>84</v>
      </c>
      <c r="K20" s="150" t="n">
        <f aca="false">I20</f>
        <v>71</v>
      </c>
      <c r="L20" s="214" t="str">
        <f aca="false">IF(AND(ISNUMBER(C20),ISNUMBER(I20)),I20-C20,"—")</f>
        <v>—</v>
      </c>
    </row>
    <row r="21" customFormat="false" ht="15" hidden="false" customHeight="false" outlineLevel="0" collapsed="false">
      <c r="A21" s="207" t="str">
        <f aca="false">'Program List'!A18</f>
        <v>M368</v>
      </c>
      <c r="B21" s="208" t="str">
        <f aca="false">'Program List'!B18</f>
        <v>Master of Legal Studies - Energy</v>
      </c>
      <c r="C21" s="209" t="n">
        <f aca="false">'HC by Program-Term'!C23</f>
        <v>0</v>
      </c>
      <c r="D21" s="209" t="n">
        <f aca="false">'HC by Program-Term'!F23</f>
        <v>10</v>
      </c>
      <c r="E21" s="209" t="n">
        <f aca="false">'HC by Program-Term'!I23</f>
        <v>23</v>
      </c>
      <c r="F21" s="209" t="n">
        <f aca="false">'HC by Program-Term'!L23</f>
        <v>20</v>
      </c>
      <c r="G21" s="209" t="n">
        <f aca="false">'HC by Program-Term'!O23</f>
        <v>17</v>
      </c>
      <c r="H21" s="209" t="n">
        <f aca="false">'HC by Program-Term'!R23</f>
        <v>17</v>
      </c>
      <c r="I21" s="209" t="n">
        <f aca="false">'HC by Program-Term'!U23</f>
        <v>16</v>
      </c>
      <c r="J21" s="146" t="n">
        <f aca="false">IF(COUNT(C21:I21)=0,"—",MAX(C21:I21))</f>
        <v>23</v>
      </c>
      <c r="K21" s="146" t="n">
        <f aca="false">I21</f>
        <v>16</v>
      </c>
      <c r="L21" s="210" t="str">
        <f aca="false">IF(AND(ISNUMBER(C21),ISNUMBER(I21)),I21-C21,"—")</f>
        <v>—</v>
      </c>
    </row>
    <row r="22" customFormat="false" ht="15" hidden="false" customHeight="false" outlineLevel="0" collapsed="false">
      <c r="A22" s="211" t="str">
        <f aca="false">'Program List'!A19</f>
        <v>M636</v>
      </c>
      <c r="B22" s="212" t="str">
        <f aca="false">'Program List'!B19</f>
        <v>Master of Legal Studies - General</v>
      </c>
      <c r="C22" s="213" t="str">
        <f aca="false">'HC by Program-Term'!C24</f>
        <v>—</v>
      </c>
      <c r="D22" s="213" t="str">
        <f aca="false">'HC by Program-Term'!F24</f>
        <v>—</v>
      </c>
      <c r="E22" s="213" t="str">
        <f aca="false">'HC by Program-Term'!I24</f>
        <v>—</v>
      </c>
      <c r="F22" s="213" t="str">
        <f aca="false">'HC by Program-Term'!L24</f>
        <v>—</v>
      </c>
      <c r="G22" s="213" t="str">
        <f aca="false">'HC by Program-Term'!O24</f>
        <v>—</v>
      </c>
      <c r="H22" s="213" t="str">
        <f aca="false">'HC by Program-Term'!R24</f>
        <v>—</v>
      </c>
      <c r="I22" s="213" t="str">
        <f aca="false">'HC by Program-Term'!U24</f>
        <v>—</v>
      </c>
      <c r="J22" s="150" t="str">
        <f aca="false">IF(COUNT(C22:I22)=0,"—",MAX(C22:I22))</f>
        <v>—</v>
      </c>
      <c r="K22" s="150" t="str">
        <f aca="false">I22</f>
        <v>—</v>
      </c>
      <c r="L22" s="214" t="str">
        <f aca="false">IF(AND(ISNUMBER(C22),ISNUMBER(I22)),I22-C22,"—")</f>
        <v>—</v>
      </c>
    </row>
    <row r="23" customFormat="false" ht="15" hidden="false" customHeight="false" outlineLevel="0" collapsed="false">
      <c r="A23" s="207" t="str">
        <f aca="false">'Program List'!A20</f>
        <v>M503</v>
      </c>
      <c r="B23" s="208" t="str">
        <f aca="false">'Program List'!B20</f>
        <v>Master of Legal Studies - Healthcare Law</v>
      </c>
      <c r="C23" s="209" t="n">
        <f aca="false">'HC by Program-Term'!C25</f>
        <v>31</v>
      </c>
      <c r="D23" s="209" t="n">
        <f aca="false">'HC by Program-Term'!F25</f>
        <v>102</v>
      </c>
      <c r="E23" s="209" t="n">
        <f aca="false">'HC by Program-Term'!I25</f>
        <v>127</v>
      </c>
      <c r="F23" s="209" t="n">
        <f aca="false">'HC by Program-Term'!L25</f>
        <v>120</v>
      </c>
      <c r="G23" s="209" t="n">
        <f aca="false">'HC by Program-Term'!O25</f>
        <v>84</v>
      </c>
      <c r="H23" s="209" t="n">
        <f aca="false">'HC by Program-Term'!R25</f>
        <v>63</v>
      </c>
      <c r="I23" s="209" t="n">
        <f aca="false">'HC by Program-Term'!U25</f>
        <v>67</v>
      </c>
      <c r="J23" s="146" t="n">
        <f aca="false">IF(COUNT(C23:I23)=0,"—",MAX(C23:I23))</f>
        <v>127</v>
      </c>
      <c r="K23" s="146" t="n">
        <f aca="false">I23</f>
        <v>67</v>
      </c>
      <c r="L23" s="210" t="n">
        <f aca="false">IF(AND(ISNUMBER(C23),ISNUMBER(I23)),I23-C23,"—")</f>
        <v>36</v>
      </c>
    </row>
    <row r="24" customFormat="false" ht="15" hidden="false" customHeight="false" outlineLevel="0" collapsed="false">
      <c r="A24" s="211" t="str">
        <f aca="false">'Program List'!A21</f>
        <v>M522</v>
      </c>
      <c r="B24" s="212" t="str">
        <f aca="false">'Program List'!B21</f>
        <v>Master of Legal Studies - Indigenous Peoples Law</v>
      </c>
      <c r="C24" s="213" t="n">
        <f aca="false">'HC by Program-Term'!C26</f>
        <v>22</v>
      </c>
      <c r="D24" s="213" t="n">
        <f aca="false">'HC by Program-Term'!F26</f>
        <v>145</v>
      </c>
      <c r="E24" s="213" t="n">
        <f aca="false">'HC by Program-Term'!I26</f>
        <v>146</v>
      </c>
      <c r="F24" s="213" t="n">
        <f aca="false">'HC by Program-Term'!L26</f>
        <v>113</v>
      </c>
      <c r="G24" s="213" t="n">
        <f aca="false">'HC by Program-Term'!O26</f>
        <v>116</v>
      </c>
      <c r="H24" s="213" t="n">
        <f aca="false">'HC by Program-Term'!R26</f>
        <v>92</v>
      </c>
      <c r="I24" s="213" t="n">
        <f aca="false">'HC by Program-Term'!U26</f>
        <v>72</v>
      </c>
      <c r="J24" s="150" t="n">
        <f aca="false">IF(COUNT(C24:I24)=0,"—",MAX(C24:I24))</f>
        <v>146</v>
      </c>
      <c r="K24" s="150" t="n">
        <f aca="false">I24</f>
        <v>72</v>
      </c>
      <c r="L24" s="214" t="n">
        <f aca="false">IF(AND(ISNUMBER(C24),ISNUMBER(I24)),I24-C24,"—")</f>
        <v>50</v>
      </c>
    </row>
    <row r="25" customFormat="false" ht="15" hidden="false" customHeight="false" outlineLevel="0" collapsed="false">
      <c r="A25" s="207" t="str">
        <f aca="false">'Program List'!A22</f>
        <v>M589</v>
      </c>
      <c r="B25" s="208" t="str">
        <f aca="false">'Program List'!B22</f>
        <v>Master of Legal Studies - International Business</v>
      </c>
      <c r="C25" s="209" t="n">
        <f aca="false">'HC by Program-Term'!C27</f>
        <v>0</v>
      </c>
      <c r="D25" s="209" t="n">
        <f aca="false">'HC by Program-Term'!F27</f>
        <v>23</v>
      </c>
      <c r="E25" s="209" t="n">
        <f aca="false">'HC by Program-Term'!I27</f>
        <v>16</v>
      </c>
      <c r="F25" s="209" t="n">
        <f aca="false">'HC by Program-Term'!L27</f>
        <v>8</v>
      </c>
      <c r="G25" s="209" t="n">
        <f aca="false">'HC by Program-Term'!O27</f>
        <v>9</v>
      </c>
      <c r="H25" s="209" t="n">
        <f aca="false">'HC by Program-Term'!R27</f>
        <v>2</v>
      </c>
      <c r="I25" s="209" t="n">
        <f aca="false">'HC by Program-Term'!U27</f>
        <v>6</v>
      </c>
      <c r="J25" s="146" t="n">
        <f aca="false">IF(COUNT(C25:I25)=0,"—",MAX(C25:I25))</f>
        <v>23</v>
      </c>
      <c r="K25" s="146" t="n">
        <f aca="false">I25</f>
        <v>6</v>
      </c>
      <c r="L25" s="210" t="str">
        <f aca="false">IF(AND(ISNUMBER(C25),ISNUMBER(I25)),I25-C25,"—")</f>
        <v>—</v>
      </c>
    </row>
    <row r="26" customFormat="false" ht="15" hidden="false" customHeight="false" outlineLevel="0" collapsed="false">
      <c r="A26" s="211" t="str">
        <f aca="false">'Program List'!A23</f>
        <v>M029</v>
      </c>
      <c r="B26" s="212" t="str">
        <f aca="false">'Program List'!B23</f>
        <v>Master of Science in Applied Computing</v>
      </c>
      <c r="C26" s="213" t="str">
        <f aca="false">'HC by Program-Term'!C28</f>
        <v>—</v>
      </c>
      <c r="D26" s="213" t="str">
        <f aca="false">'HC by Program-Term'!F28</f>
        <v>—</v>
      </c>
      <c r="E26" s="213" t="str">
        <f aca="false">'HC by Program-Term'!I28</f>
        <v>—</v>
      </c>
      <c r="F26" s="213" t="str">
        <f aca="false">'HC by Program-Term'!L28</f>
        <v>—</v>
      </c>
      <c r="G26" s="213" t="str">
        <f aca="false">'HC by Program-Term'!O28</f>
        <v>—</v>
      </c>
      <c r="H26" s="213" t="str">
        <f aca="false">'HC by Program-Term'!R28</f>
        <v>—</v>
      </c>
      <c r="I26" s="213" t="str">
        <f aca="false">'HC by Program-Term'!U28</f>
        <v>—</v>
      </c>
      <c r="J26" s="150" t="str">
        <f aca="false">IF(COUNT(C26:I26)=0,"—",MAX(C26:I26))</f>
        <v>—</v>
      </c>
      <c r="K26" s="150" t="str">
        <f aca="false">I26</f>
        <v>—</v>
      </c>
      <c r="L26" s="214" t="str">
        <f aca="false">IF(AND(ISNUMBER(C26),ISNUMBER(I26)),I26-C26,"—")</f>
        <v>—</v>
      </c>
    </row>
    <row r="27" customFormat="false" ht="15" hidden="false" customHeight="false" outlineLevel="0" collapsed="false">
      <c r="A27" s="207" t="str">
        <f aca="false">'Program List'!A24</f>
        <v>M035</v>
      </c>
      <c r="B27" s="208" t="str">
        <f aca="false">'Program List'!B24</f>
        <v>Master of Science in Applied Statistics</v>
      </c>
      <c r="C27" s="209" t="n">
        <f aca="false">'HC by Program-Term'!C29</f>
        <v>0</v>
      </c>
      <c r="D27" s="209" t="n">
        <f aca="false">'HC by Program-Term'!F29</f>
        <v>0</v>
      </c>
      <c r="E27" s="209" t="n">
        <f aca="false">'HC by Program-Term'!I29</f>
        <v>0</v>
      </c>
      <c r="F27" s="209" t="n">
        <f aca="false">'HC by Program-Term'!L29</f>
        <v>0</v>
      </c>
      <c r="G27" s="209" t="n">
        <f aca="false">'HC by Program-Term'!O29</f>
        <v>51</v>
      </c>
      <c r="H27" s="209" t="n">
        <f aca="false">'HC by Program-Term'!R29</f>
        <v>58</v>
      </c>
      <c r="I27" s="209" t="n">
        <f aca="false">'HC by Program-Term'!U29</f>
        <v>39</v>
      </c>
      <c r="J27" s="146" t="n">
        <f aca="false">IF(COUNT(C27:I27)=0,"—",MAX(C27:I27))</f>
        <v>58</v>
      </c>
      <c r="K27" s="146" t="n">
        <f aca="false">I27</f>
        <v>39</v>
      </c>
      <c r="L27" s="210" t="str">
        <f aca="false">IF(AND(ISNUMBER(C27),ISNUMBER(I27)),I27-C27,"—")</f>
        <v>—</v>
      </c>
    </row>
    <row r="28" customFormat="false" ht="15" hidden="false" customHeight="false" outlineLevel="0" collapsed="false">
      <c r="A28" s="211" t="str">
        <f aca="false">'Program List'!A25</f>
        <v>M145</v>
      </c>
      <c r="B28" s="212" t="str">
        <f aca="false">'Program List'!B25</f>
        <v>Master of Science in Business Analytics</v>
      </c>
      <c r="C28" s="213" t="n">
        <f aca="false">'HC by Program-Term'!C30</f>
        <v>0</v>
      </c>
      <c r="D28" s="213" t="n">
        <f aca="false">'HC by Program-Term'!F30</f>
        <v>0</v>
      </c>
      <c r="E28" s="213" t="n">
        <f aca="false">'HC by Program-Term'!I30</f>
        <v>0</v>
      </c>
      <c r="F28" s="213" t="n">
        <f aca="false">'HC by Program-Term'!L30</f>
        <v>27</v>
      </c>
      <c r="G28" s="213" t="n">
        <f aca="false">'HC by Program-Term'!O30</f>
        <v>28</v>
      </c>
      <c r="H28" s="213" t="n">
        <f aca="false">'HC by Program-Term'!R30</f>
        <v>22</v>
      </c>
      <c r="I28" s="213" t="n">
        <f aca="false">'HC by Program-Term'!U30</f>
        <v>41</v>
      </c>
      <c r="J28" s="150" t="n">
        <f aca="false">IF(COUNT(C28:I28)=0,"—",MAX(C28:I28))</f>
        <v>41</v>
      </c>
      <c r="K28" s="150" t="n">
        <f aca="false">I28</f>
        <v>41</v>
      </c>
      <c r="L28" s="214" t="str">
        <f aca="false">IF(AND(ISNUMBER(C28),ISNUMBER(I28)),I28-C28,"—")</f>
        <v>—</v>
      </c>
    </row>
    <row r="29" customFormat="false" ht="15" hidden="false" customHeight="false" outlineLevel="0" collapsed="false">
      <c r="A29" s="207" t="str">
        <f aca="false">'Program List'!A26</f>
        <v>M191</v>
      </c>
      <c r="B29" s="208" t="str">
        <f aca="false">'Program List'!B26</f>
        <v>Master of Science in Civil Engineering</v>
      </c>
      <c r="C29" s="209" t="n">
        <f aca="false">'HC by Program-Term'!C31</f>
        <v>0</v>
      </c>
      <c r="D29" s="209" t="n">
        <f aca="false">'HC by Program-Term'!F31</f>
        <v>37</v>
      </c>
      <c r="E29" s="209" t="n">
        <f aca="false">'HC by Program-Term'!I31</f>
        <v>34</v>
      </c>
      <c r="F29" s="209" t="n">
        <f aca="false">'HC by Program-Term'!L31</f>
        <v>29</v>
      </c>
      <c r="G29" s="209" t="n">
        <f aca="false">'HC by Program-Term'!O31</f>
        <v>33</v>
      </c>
      <c r="H29" s="209" t="n">
        <f aca="false">'HC by Program-Term'!R31</f>
        <v>32</v>
      </c>
      <c r="I29" s="209" t="n">
        <f aca="false">'HC by Program-Term'!U31</f>
        <v>40</v>
      </c>
      <c r="J29" s="146" t="n">
        <f aca="false">IF(COUNT(C29:I29)=0,"—",MAX(C29:I29))</f>
        <v>40</v>
      </c>
      <c r="K29" s="146" t="n">
        <f aca="false">I29</f>
        <v>40</v>
      </c>
      <c r="L29" s="210" t="str">
        <f aca="false">IF(AND(ISNUMBER(C29),ISNUMBER(I29)),I29-C29,"—")</f>
        <v>—</v>
      </c>
    </row>
    <row r="30" customFormat="false" ht="15" hidden="false" customHeight="false" outlineLevel="0" collapsed="false">
      <c r="A30" s="211" t="str">
        <f aca="false">'Program List'!A27</f>
        <v>M260</v>
      </c>
      <c r="B30" s="212" t="str">
        <f aca="false">'Program List'!B27</f>
        <v>Master of Science in Criminal Justice</v>
      </c>
      <c r="C30" s="213" t="n">
        <f aca="false">'HC by Program-Term'!C32</f>
        <v>4</v>
      </c>
      <c r="D30" s="213" t="n">
        <f aca="false">'HC by Program-Term'!F32</f>
        <v>17</v>
      </c>
      <c r="E30" s="213" t="n">
        <f aca="false">'HC by Program-Term'!I32</f>
        <v>54</v>
      </c>
      <c r="F30" s="213" t="n">
        <f aca="false">'HC by Program-Term'!L32</f>
        <v>67</v>
      </c>
      <c r="G30" s="213" t="n">
        <f aca="false">'HC by Program-Term'!O32</f>
        <v>78</v>
      </c>
      <c r="H30" s="213" t="n">
        <f aca="false">'HC by Program-Term'!R32</f>
        <v>54</v>
      </c>
      <c r="I30" s="213" t="n">
        <f aca="false">'HC by Program-Term'!U32</f>
        <v>37</v>
      </c>
      <c r="J30" s="150" t="n">
        <f aca="false">IF(COUNT(C30:I30)=0,"—",MAX(C30:I30))</f>
        <v>78</v>
      </c>
      <c r="K30" s="150" t="n">
        <f aca="false">I30</f>
        <v>37</v>
      </c>
      <c r="L30" s="214" t="n">
        <f aca="false">IF(AND(ISNUMBER(C30),ISNUMBER(I30)),I30-C30,"—")</f>
        <v>33</v>
      </c>
    </row>
    <row r="31" customFormat="false" ht="15" hidden="false" customHeight="false" outlineLevel="0" collapsed="false">
      <c r="A31" s="207" t="str">
        <f aca="false">'Program List'!A28</f>
        <v>M264</v>
      </c>
      <c r="B31" s="208" t="str">
        <f aca="false">'Program List'!B28</f>
        <v>Master of Science in Cybersecurity Leadership</v>
      </c>
      <c r="C31" s="209" t="str">
        <f aca="false">'HC by Program-Term'!C33</f>
        <v>—</v>
      </c>
      <c r="D31" s="209" t="str">
        <f aca="false">'HC by Program-Term'!F33</f>
        <v>—</v>
      </c>
      <c r="E31" s="209" t="str">
        <f aca="false">'HC by Program-Term'!I33</f>
        <v>—</v>
      </c>
      <c r="F31" s="209" t="str">
        <f aca="false">'HC by Program-Term'!L33</f>
        <v>—</v>
      </c>
      <c r="G31" s="209" t="str">
        <f aca="false">'HC by Program-Term'!O33</f>
        <v>—</v>
      </c>
      <c r="H31" s="209" t="str">
        <f aca="false">'HC by Program-Term'!R33</f>
        <v>—</v>
      </c>
      <c r="I31" s="209" t="str">
        <f aca="false">'HC by Program-Term'!U33</f>
        <v>—</v>
      </c>
      <c r="J31" s="146" t="str">
        <f aca="false">IF(COUNT(C31:I31)=0,"—",MAX(C31:I31))</f>
        <v>—</v>
      </c>
      <c r="K31" s="146" t="str">
        <f aca="false">I31</f>
        <v>—</v>
      </c>
      <c r="L31" s="210" t="str">
        <f aca="false">IF(AND(ISNUMBER(C31),ISNUMBER(I31)),I31-C31,"—")</f>
        <v>—</v>
      </c>
    </row>
    <row r="32" customFormat="false" ht="15" hidden="false" customHeight="false" outlineLevel="0" collapsed="false">
      <c r="A32" s="211" t="str">
        <f aca="false">'Program List'!A29</f>
        <v>M374</v>
      </c>
      <c r="B32" s="212" t="str">
        <f aca="false">'Program List'!B29</f>
        <v>Master of Science in Engineering Leadership and Management</v>
      </c>
      <c r="C32" s="213" t="n">
        <f aca="false">'HC by Program-Term'!C34</f>
        <v>0</v>
      </c>
      <c r="D32" s="213" t="n">
        <f aca="false">'HC by Program-Term'!F34</f>
        <v>0</v>
      </c>
      <c r="E32" s="213" t="n">
        <f aca="false">'HC by Program-Term'!I34</f>
        <v>0</v>
      </c>
      <c r="F32" s="213" t="n">
        <f aca="false">'HC by Program-Term'!L34</f>
        <v>0</v>
      </c>
      <c r="G32" s="213" t="n">
        <f aca="false">'HC by Program-Term'!O34</f>
        <v>20</v>
      </c>
      <c r="H32" s="213" t="n">
        <f aca="false">'HC by Program-Term'!R34</f>
        <v>61</v>
      </c>
      <c r="I32" s="213" t="n">
        <f aca="false">'HC by Program-Term'!U34</f>
        <v>66</v>
      </c>
      <c r="J32" s="150" t="n">
        <f aca="false">IF(COUNT(C32:I32)=0,"—",MAX(C32:I32))</f>
        <v>66</v>
      </c>
      <c r="K32" s="150" t="n">
        <f aca="false">I32</f>
        <v>66</v>
      </c>
      <c r="L32" s="214" t="str">
        <f aca="false">IF(AND(ISNUMBER(C32),ISNUMBER(I32)),I32-C32,"—")</f>
        <v>—</v>
      </c>
    </row>
    <row r="33" customFormat="false" ht="15" hidden="false" customHeight="false" outlineLevel="0" collapsed="false">
      <c r="A33" s="207" t="str">
        <f aca="false">'Program List'!A30</f>
        <v>M435</v>
      </c>
      <c r="B33" s="208" t="str">
        <f aca="false">'Program List'!B30</f>
        <v>Master of Science in Finance</v>
      </c>
      <c r="C33" s="209" t="n">
        <f aca="false">'HC by Program-Term'!C35</f>
        <v>3</v>
      </c>
      <c r="D33" s="209" t="n">
        <f aca="false">'HC by Program-Term'!F35</f>
        <v>68</v>
      </c>
      <c r="E33" s="209" t="n">
        <f aca="false">'HC by Program-Term'!I35</f>
        <v>73</v>
      </c>
      <c r="F33" s="209" t="n">
        <f aca="false">'HC by Program-Term'!L35</f>
        <v>50</v>
      </c>
      <c r="G33" s="209" t="n">
        <f aca="false">'HC by Program-Term'!O35</f>
        <v>42</v>
      </c>
      <c r="H33" s="209" t="n">
        <f aca="false">'HC by Program-Term'!R35</f>
        <v>46</v>
      </c>
      <c r="I33" s="209" t="n">
        <f aca="false">'HC by Program-Term'!U35</f>
        <v>55</v>
      </c>
      <c r="J33" s="146" t="n">
        <f aca="false">IF(COUNT(C33:I33)=0,"—",MAX(C33:I33))</f>
        <v>73</v>
      </c>
      <c r="K33" s="146" t="n">
        <f aca="false">I33</f>
        <v>55</v>
      </c>
      <c r="L33" s="210" t="n">
        <f aca="false">IF(AND(ISNUMBER(C33),ISNUMBER(I33)),I33-C33,"—")</f>
        <v>52</v>
      </c>
    </row>
    <row r="34" customFormat="false" ht="15" hidden="false" customHeight="false" outlineLevel="0" collapsed="false">
      <c r="A34" s="211" t="str">
        <f aca="false">'Program List'!A31</f>
        <v>M464</v>
      </c>
      <c r="B34" s="212" t="str">
        <f aca="false">'Program List'!B31</f>
        <v>Master of Science in Geospatial Technology</v>
      </c>
      <c r="C34" s="213" t="n">
        <f aca="false">'HC by Program-Term'!C36</f>
        <v>0</v>
      </c>
      <c r="D34" s="213" t="n">
        <f aca="false">'HC by Program-Term'!F36</f>
        <v>30</v>
      </c>
      <c r="E34" s="213" t="n">
        <f aca="false">'HC by Program-Term'!I36</f>
        <v>39</v>
      </c>
      <c r="F34" s="213" t="n">
        <f aca="false">'HC by Program-Term'!L36</f>
        <v>24</v>
      </c>
      <c r="G34" s="213" t="n">
        <f aca="false">'HC by Program-Term'!O36</f>
        <v>16</v>
      </c>
      <c r="H34" s="213" t="n">
        <f aca="false">'HC by Program-Term'!R36</f>
        <v>20</v>
      </c>
      <c r="I34" s="213" t="n">
        <f aca="false">'HC by Program-Term'!U36</f>
        <v>12</v>
      </c>
      <c r="J34" s="150" t="n">
        <f aca="false">IF(COUNT(C34:I34)=0,"—",MAX(C34:I34))</f>
        <v>39</v>
      </c>
      <c r="K34" s="150" t="n">
        <f aca="false">I34</f>
        <v>12</v>
      </c>
      <c r="L34" s="214" t="str">
        <f aca="false">IF(AND(ISNUMBER(C34),ISNUMBER(I34)),I34-C34,"—")</f>
        <v>—</v>
      </c>
    </row>
    <row r="35" customFormat="false" ht="15" hidden="false" customHeight="false" outlineLevel="0" collapsed="false">
      <c r="A35" s="207" t="str">
        <f aca="false">'Program List'!A32</f>
        <v>M527</v>
      </c>
      <c r="B35" s="208" t="str">
        <f aca="false">'Program List'!B32</f>
        <v>Master of Science in Industrial and Systems Engineering</v>
      </c>
      <c r="C35" s="209" t="n">
        <f aca="false">'HC by Program-Term'!C37</f>
        <v>0</v>
      </c>
      <c r="D35" s="209" t="n">
        <f aca="false">'HC by Program-Term'!F37</f>
        <v>0</v>
      </c>
      <c r="E35" s="209" t="n">
        <f aca="false">'HC by Program-Term'!I37</f>
        <v>10</v>
      </c>
      <c r="F35" s="209" t="n">
        <f aca="false">'HC by Program-Term'!L37</f>
        <v>20</v>
      </c>
      <c r="G35" s="209" t="n">
        <f aca="false">'HC by Program-Term'!O37</f>
        <v>42</v>
      </c>
      <c r="H35" s="209" t="n">
        <f aca="false">'HC by Program-Term'!R37</f>
        <v>57</v>
      </c>
      <c r="I35" s="209" t="n">
        <f aca="false">'HC by Program-Term'!U37</f>
        <v>65</v>
      </c>
      <c r="J35" s="146" t="n">
        <f aca="false">IF(COUNT(C35:I35)=0,"—",MAX(C35:I35))</f>
        <v>65</v>
      </c>
      <c r="K35" s="146" t="n">
        <f aca="false">I35</f>
        <v>65</v>
      </c>
      <c r="L35" s="210" t="str">
        <f aca="false">IF(AND(ISNUMBER(C35),ISNUMBER(I35)),I35-C35,"—")</f>
        <v>—</v>
      </c>
    </row>
    <row r="36" customFormat="false" ht="15" hidden="false" customHeight="false" outlineLevel="0" collapsed="false">
      <c r="A36" s="211" t="str">
        <f aca="false">'Program List'!A33</f>
        <v>M746</v>
      </c>
      <c r="B36" s="212" t="str">
        <f aca="false">'Program List'!B33</f>
        <v>Master of Science in Natural Gas Engineering and Management</v>
      </c>
      <c r="C36" s="213" t="n">
        <f aca="false">'HC by Program-Term'!C38</f>
        <v>3</v>
      </c>
      <c r="D36" s="213" t="n">
        <f aca="false">'HC by Program-Term'!F38</f>
        <v>9</v>
      </c>
      <c r="E36" s="213" t="n">
        <f aca="false">'HC by Program-Term'!I38</f>
        <v>16</v>
      </c>
      <c r="F36" s="213" t="n">
        <f aca="false">'HC by Program-Term'!L38</f>
        <v>19</v>
      </c>
      <c r="G36" s="213" t="n">
        <f aca="false">'HC by Program-Term'!O38</f>
        <v>34</v>
      </c>
      <c r="H36" s="213" t="n">
        <f aca="false">'HC by Program-Term'!R38</f>
        <v>36</v>
      </c>
      <c r="I36" s="213" t="n">
        <f aca="false">'HC by Program-Term'!U38</f>
        <v>41</v>
      </c>
      <c r="J36" s="150" t="n">
        <f aca="false">IF(COUNT(C36:I36)=0,"—",MAX(C36:I36))</f>
        <v>41</v>
      </c>
      <c r="K36" s="150" t="n">
        <f aca="false">I36</f>
        <v>41</v>
      </c>
      <c r="L36" s="214" t="n">
        <f aca="false">IF(AND(ISNUMBER(C36),ISNUMBER(I36)),I36-C36,"—")</f>
        <v>38</v>
      </c>
    </row>
    <row r="37" customFormat="false" ht="15" hidden="false" customHeight="false" outlineLevel="0" collapsed="false">
      <c r="A37" s="207" t="str">
        <f aca="false">'Program List'!A34</f>
        <v>M861</v>
      </c>
      <c r="B37" s="208" t="str">
        <f aca="false">'Program List'!B34</f>
        <v>Master of Science in Supply Chain Management</v>
      </c>
      <c r="C37" s="209" t="n">
        <f aca="false">'HC by Program-Term'!C39</f>
        <v>0</v>
      </c>
      <c r="D37" s="209" t="n">
        <f aca="false">'HC by Program-Term'!F39</f>
        <v>0</v>
      </c>
      <c r="E37" s="209" t="n">
        <f aca="false">'HC by Program-Term'!I39</f>
        <v>0</v>
      </c>
      <c r="F37" s="209" t="n">
        <f aca="false">'HC by Program-Term'!L39</f>
        <v>25</v>
      </c>
      <c r="G37" s="209" t="n">
        <f aca="false">'HC by Program-Term'!O39</f>
        <v>55</v>
      </c>
      <c r="H37" s="209" t="n">
        <f aca="false">'HC by Program-Term'!R39</f>
        <v>40</v>
      </c>
      <c r="I37" s="209" t="n">
        <f aca="false">'HC by Program-Term'!U39</f>
        <v>54</v>
      </c>
      <c r="J37" s="146" t="n">
        <f aca="false">IF(COUNT(C37:I37)=0,"—",MAX(C37:I37))</f>
        <v>55</v>
      </c>
      <c r="K37" s="146" t="n">
        <f aca="false">I37</f>
        <v>54</v>
      </c>
      <c r="L37" s="210" t="str">
        <f aca="false">IF(AND(ISNUMBER(C37),ISNUMBER(I37)),I37-C37,"—")</f>
        <v>—</v>
      </c>
    </row>
    <row r="38" customFormat="false" ht="15" hidden="false" customHeight="false" outlineLevel="0" collapsed="false">
      <c r="A38" s="211" t="str">
        <f aca="false">'Program List'!A35</f>
        <v>M869</v>
      </c>
      <c r="B38" s="212" t="str">
        <f aca="false">'Program List'!B35</f>
        <v>Master of Science in Sustainability - Energy and Materials Mgmt</v>
      </c>
      <c r="C38" s="213" t="n">
        <f aca="false">'HC by Program-Term'!C40</f>
        <v>0</v>
      </c>
      <c r="D38" s="213" t="n">
        <f aca="false">'HC by Program-Term'!F40</f>
        <v>0</v>
      </c>
      <c r="E38" s="213" t="n">
        <f aca="false">'HC by Program-Term'!I40</f>
        <v>0</v>
      </c>
      <c r="F38" s="213" t="n">
        <f aca="false">'HC by Program-Term'!L40</f>
        <v>0</v>
      </c>
      <c r="G38" s="213" t="n">
        <f aca="false">'HC by Program-Term'!O40</f>
        <v>16</v>
      </c>
      <c r="H38" s="213" t="n">
        <f aca="false">'HC by Program-Term'!R40</f>
        <v>47</v>
      </c>
      <c r="I38" s="213" t="n">
        <f aca="false">'HC by Program-Term'!U40</f>
        <v>35</v>
      </c>
      <c r="J38" s="150" t="n">
        <f aca="false">IF(COUNT(C38:I38)=0,"—",MAX(C38:I38))</f>
        <v>47</v>
      </c>
      <c r="K38" s="150" t="n">
        <f aca="false">I38</f>
        <v>35</v>
      </c>
      <c r="L38" s="214" t="str">
        <f aca="false">IF(AND(ISNUMBER(C38),ISNUMBER(I38)),I38-C38,"—")</f>
        <v>—</v>
      </c>
    </row>
    <row r="39" customFormat="false" ht="15" hidden="false" customHeight="false" outlineLevel="0" collapsed="false">
      <c r="A39" s="207" t="str">
        <f aca="false">'Program List'!A36</f>
        <v>M867</v>
      </c>
      <c r="B39" s="208" t="str">
        <f aca="false">'Program List'!B36</f>
        <v>Master of Science in Sustainable Architecture</v>
      </c>
      <c r="C39" s="209" t="n">
        <f aca="false">'HC by Program-Term'!C41</f>
        <v>0</v>
      </c>
      <c r="D39" s="209" t="n">
        <f aca="false">'HC by Program-Term'!F41</f>
        <v>0</v>
      </c>
      <c r="E39" s="209" t="n">
        <f aca="false">'HC by Program-Term'!I41</f>
        <v>0</v>
      </c>
      <c r="F39" s="209" t="n">
        <f aca="false">'HC by Program-Term'!L41</f>
        <v>0</v>
      </c>
      <c r="G39" s="209" t="n">
        <f aca="false">'HC by Program-Term'!O41</f>
        <v>13</v>
      </c>
      <c r="H39" s="209" t="n">
        <f aca="false">'HC by Program-Term'!R41</f>
        <v>21</v>
      </c>
      <c r="I39" s="209" t="n">
        <f aca="false">'HC by Program-Term'!U41</f>
        <v>11</v>
      </c>
      <c r="J39" s="146" t="n">
        <f aca="false">IF(COUNT(C39:I39)=0,"—",MAX(C39:I39))</f>
        <v>21</v>
      </c>
      <c r="K39" s="146" t="n">
        <f aca="false">I39</f>
        <v>11</v>
      </c>
      <c r="L39" s="210" t="str">
        <f aca="false">IF(AND(ISNUMBER(C39),ISNUMBER(I39)),I39-C39,"—")</f>
        <v>—</v>
      </c>
    </row>
    <row r="40" customFormat="false" ht="15" hidden="false" customHeight="false" outlineLevel="0" collapsed="false">
      <c r="A40" s="211" t="str">
        <f aca="false">'Program List'!A37</f>
        <v>M844</v>
      </c>
      <c r="B40" s="212" t="str">
        <f aca="false">'Program List'!B37</f>
        <v>Master of Social Work</v>
      </c>
      <c r="C40" s="213" t="n">
        <f aca="false">'HC by Program-Term'!C42</f>
        <v>0</v>
      </c>
      <c r="D40" s="213" t="n">
        <f aca="false">'HC by Program-Term'!F42</f>
        <v>138</v>
      </c>
      <c r="E40" s="213" t="n">
        <f aca="false">'HC by Program-Term'!I42</f>
        <v>296</v>
      </c>
      <c r="F40" s="213" t="n">
        <f aca="false">'HC by Program-Term'!L42</f>
        <v>310</v>
      </c>
      <c r="G40" s="213" t="n">
        <f aca="false">'HC by Program-Term'!O42</f>
        <v>333</v>
      </c>
      <c r="H40" s="213" t="n">
        <f aca="false">'HC by Program-Term'!R42</f>
        <v>342</v>
      </c>
      <c r="I40" s="213" t="n">
        <f aca="false">'HC by Program-Term'!U42</f>
        <v>417</v>
      </c>
      <c r="J40" s="150" t="n">
        <f aca="false">IF(COUNT(C40:I40)=0,"—",MAX(C40:I40))</f>
        <v>417</v>
      </c>
      <c r="K40" s="150" t="n">
        <f aca="false">I40</f>
        <v>417</v>
      </c>
      <c r="L40" s="214" t="str">
        <f aca="false">IF(AND(ISNUMBER(C40),ISNUMBER(I40)),I40-C40,"—")</f>
        <v>—</v>
      </c>
    </row>
    <row r="41" customFormat="false" ht="15" hidden="false" customHeight="false" outlineLevel="0" collapsed="false">
      <c r="A41" s="207" t="str">
        <f aca="false">'Program List'!A38</f>
        <v>1237Q</v>
      </c>
      <c r="B41" s="208" t="str">
        <f aca="false">'Program List'!B38</f>
        <v>Masters in Public Health</v>
      </c>
      <c r="C41" s="209" t="str">
        <f aca="false">'HC by Program-Term'!C43</f>
        <v>—</v>
      </c>
      <c r="D41" s="209" t="str">
        <f aca="false">'HC by Program-Term'!F43</f>
        <v>—</v>
      </c>
      <c r="E41" s="209" t="str">
        <f aca="false">'HC by Program-Term'!I43</f>
        <v>—</v>
      </c>
      <c r="F41" s="209" t="str">
        <f aca="false">'HC by Program-Term'!L43</f>
        <v>—</v>
      </c>
      <c r="G41" s="209" t="str">
        <f aca="false">'HC by Program-Term'!O43</f>
        <v>—</v>
      </c>
      <c r="H41" s="209" t="str">
        <f aca="false">'HC by Program-Term'!R43</f>
        <v>—</v>
      </c>
      <c r="I41" s="209" t="str">
        <f aca="false">'HC by Program-Term'!U43</f>
        <v>—</v>
      </c>
      <c r="J41" s="146" t="str">
        <f aca="false">IF(COUNT(C41:I41)=0,"—",MAX(C41:I41))</f>
        <v>—</v>
      </c>
      <c r="K41" s="146" t="str">
        <f aca="false">I41</f>
        <v>—</v>
      </c>
      <c r="L41" s="210" t="str">
        <f aca="false">IF(AND(ISNUMBER(C41),ISNUMBER(I41)),I41-C41,"—")</f>
        <v>—</v>
      </c>
    </row>
    <row r="42" customFormat="false" ht="15" hidden="false" customHeight="false" outlineLevel="0" collapsed="false">
      <c r="A42" s="211" t="str">
        <f aca="false">'Program List'!A39</f>
        <v>M355</v>
      </c>
      <c r="B42" s="212" t="str">
        <f aca="false">'Program List'!B39</f>
        <v>Online LL.M. Energy and Natural Resources</v>
      </c>
      <c r="C42" s="213" t="n">
        <f aca="false">'HC by Program-Term'!C44</f>
        <v>0</v>
      </c>
      <c r="D42" s="213" t="n">
        <f aca="false">'HC by Program-Term'!F44</f>
        <v>0</v>
      </c>
      <c r="E42" s="213" t="n">
        <f aca="false">'HC by Program-Term'!I44</f>
        <v>1</v>
      </c>
      <c r="F42" s="213" t="n">
        <f aca="false">'HC by Program-Term'!L44</f>
        <v>0</v>
      </c>
      <c r="G42" s="213" t="n">
        <f aca="false">'HC by Program-Term'!O44</f>
        <v>3</v>
      </c>
      <c r="H42" s="213" t="n">
        <f aca="false">'HC by Program-Term'!R44</f>
        <v>3</v>
      </c>
      <c r="I42" s="213" t="n">
        <f aca="false">'HC by Program-Term'!U44</f>
        <v>2</v>
      </c>
      <c r="J42" s="150" t="n">
        <f aca="false">IF(COUNT(C42:I42)=0,"—",MAX(C42:I42))</f>
        <v>3</v>
      </c>
      <c r="K42" s="150" t="n">
        <f aca="false">I42</f>
        <v>2</v>
      </c>
      <c r="L42" s="214" t="str">
        <f aca="false">IF(AND(ISNUMBER(C42),ISNUMBER(I42)),I42-C42,"—")</f>
        <v>—</v>
      </c>
    </row>
    <row r="43" customFormat="false" ht="15" hidden="false" customHeight="false" outlineLevel="0" collapsed="false">
      <c r="A43" s="207" t="str">
        <f aca="false">'Program List'!A40</f>
        <v>M504</v>
      </c>
      <c r="B43" s="208" t="str">
        <f aca="false">'Program List'!B40</f>
        <v>Online LL.M. Healthcare Law</v>
      </c>
      <c r="C43" s="209" t="n">
        <f aca="false">'HC by Program-Term'!C45</f>
        <v>0</v>
      </c>
      <c r="D43" s="209" t="n">
        <f aca="false">'HC by Program-Term'!F45</f>
        <v>1</v>
      </c>
      <c r="E43" s="209" t="n">
        <f aca="false">'HC by Program-Term'!I45</f>
        <v>2</v>
      </c>
      <c r="F43" s="209" t="n">
        <f aca="false">'HC by Program-Term'!L45</f>
        <v>2</v>
      </c>
      <c r="G43" s="209" t="n">
        <f aca="false">'HC by Program-Term'!O45</f>
        <v>3</v>
      </c>
      <c r="H43" s="209" t="n">
        <f aca="false">'HC by Program-Term'!R45</f>
        <v>2</v>
      </c>
      <c r="I43" s="209" t="n">
        <f aca="false">'HC by Program-Term'!U45</f>
        <v>2</v>
      </c>
      <c r="J43" s="146" t="n">
        <f aca="false">IF(COUNT(C43:I43)=0,"—",MAX(C43:I43))</f>
        <v>3</v>
      </c>
      <c r="K43" s="146" t="n">
        <f aca="false">I43</f>
        <v>2</v>
      </c>
      <c r="L43" s="210" t="str">
        <f aca="false">IF(AND(ISNUMBER(C43),ISNUMBER(I43)),I43-C43,"—")</f>
        <v>—</v>
      </c>
    </row>
    <row r="44" customFormat="false" ht="15" hidden="false" customHeight="false" outlineLevel="0" collapsed="false">
      <c r="A44" s="211" t="str">
        <f aca="false">'Program List'!A41</f>
        <v>M526</v>
      </c>
      <c r="B44" s="212" t="str">
        <f aca="false">'Program List'!B41</f>
        <v>Online LL.M. Indigenous Peoples Law</v>
      </c>
      <c r="C44" s="213" t="n">
        <f aca="false">'HC by Program-Term'!C46</f>
        <v>0</v>
      </c>
      <c r="D44" s="213" t="n">
        <f aca="false">'HC by Program-Term'!F46</f>
        <v>6</v>
      </c>
      <c r="E44" s="213" t="n">
        <f aca="false">'HC by Program-Term'!I46</f>
        <v>2</v>
      </c>
      <c r="F44" s="213" t="n">
        <f aca="false">'HC by Program-Term'!L46</f>
        <v>1</v>
      </c>
      <c r="G44" s="213" t="n">
        <f aca="false">'HC by Program-Term'!O46</f>
        <v>4</v>
      </c>
      <c r="H44" s="213" t="n">
        <f aca="false">'HC by Program-Term'!R46</f>
        <v>5</v>
      </c>
      <c r="I44" s="213" t="n">
        <f aca="false">'HC by Program-Term'!U46</f>
        <v>2</v>
      </c>
      <c r="J44" s="150" t="n">
        <f aca="false">IF(COUNT(C44:I44)=0,"—",MAX(C44:I44))</f>
        <v>6</v>
      </c>
      <c r="K44" s="150" t="n">
        <f aca="false">I44</f>
        <v>2</v>
      </c>
      <c r="L44" s="214" t="str">
        <f aca="false">IF(AND(ISNUMBER(C44),ISNUMBER(I44)),I44-C44,"—")</f>
        <v>—</v>
      </c>
    </row>
    <row r="45" customFormat="false" ht="15" hidden="false" customHeight="false" outlineLevel="0" collapsed="false">
      <c r="A45" s="207" t="str">
        <f aca="false">'Program List'!A42</f>
        <v>M592</v>
      </c>
      <c r="B45" s="208" t="str">
        <f aca="false">'Program List'!B42</f>
        <v>Online LL.M. International Business</v>
      </c>
      <c r="C45" s="209" t="n">
        <f aca="false">'HC by Program-Term'!C47</f>
        <v>0</v>
      </c>
      <c r="D45" s="209" t="n">
        <f aca="false">'HC by Program-Term'!F47</f>
        <v>0</v>
      </c>
      <c r="E45" s="209" t="n">
        <f aca="false">'HC by Program-Term'!I47</f>
        <v>0</v>
      </c>
      <c r="F45" s="209" t="n">
        <f aca="false">'HC by Program-Term'!L47</f>
        <v>0</v>
      </c>
      <c r="G45" s="209" t="n">
        <f aca="false">'HC by Program-Term'!O47</f>
        <v>1</v>
      </c>
      <c r="H45" s="209" t="n">
        <f aca="false">'HC by Program-Term'!R47</f>
        <v>0</v>
      </c>
      <c r="I45" s="209" t="n">
        <f aca="false">'HC by Program-Term'!U47</f>
        <v>2</v>
      </c>
      <c r="J45" s="146" t="n">
        <f aca="false">IF(COUNT(C45:I45)=0,"—",MAX(C45:I45))</f>
        <v>2</v>
      </c>
      <c r="K45" s="146" t="n">
        <f aca="false">I45</f>
        <v>2</v>
      </c>
      <c r="L45" s="210" t="str">
        <f aca="false">IF(AND(ISNUMBER(C45),ISNUMBER(I45)),I45-C45,"—")</f>
        <v>—</v>
      </c>
    </row>
    <row r="46" customFormat="false" ht="15" hidden="false" customHeight="false" outlineLevel="0" collapsed="false">
      <c r="A46" s="87"/>
      <c r="B46" s="215" t="s">
        <v>700</v>
      </c>
      <c r="C46" s="216" t="n">
        <f aca="false">SUM(C5:C45)</f>
        <v>111</v>
      </c>
      <c r="D46" s="216" t="n">
        <f aca="false">SUM(D5:D45)</f>
        <v>957</v>
      </c>
      <c r="E46" s="216" t="n">
        <f aca="false">SUM(E5:E45)</f>
        <v>1552</v>
      </c>
      <c r="F46" s="216" t="n">
        <f aca="false">SUM(F5:F45)</f>
        <v>1719</v>
      </c>
      <c r="G46" s="216" t="n">
        <f aca="false">SUM(G5:G45)</f>
        <v>2042</v>
      </c>
      <c r="H46" s="216" t="n">
        <f aca="false">SUM(H5:H45)</f>
        <v>2025</v>
      </c>
      <c r="I46" s="216" t="n">
        <f aca="false">SUM(I5:I45)</f>
        <v>1981</v>
      </c>
      <c r="J46" s="87"/>
      <c r="K46" s="216" t="n">
        <f aca="false">SUM(K5:K45)</f>
        <v>1981</v>
      </c>
      <c r="L46" s="87"/>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9"/>
    <col collapsed="false" customWidth="true" hidden="false" outlineLevel="0" max="4" min="4" style="0" width="10"/>
    <col collapsed="false" customWidth="true" hidden="false" outlineLevel="0" max="5" min="5" style="0" width="12"/>
    <col collapsed="false" customWidth="true" hidden="false" outlineLevel="0" max="6" min="6" style="0" width="13"/>
    <col collapsed="false" customWidth="true" hidden="false" outlineLevel="0" max="7" min="7" style="0" width="8"/>
    <col collapsed="false" customWidth="true" hidden="false" outlineLevel="0" max="8" min="8" style="0" width="46"/>
    <col collapsed="false" customWidth="true" hidden="false" outlineLevel="0" max="9" min="9" style="0" width="15"/>
    <col collapsed="false" customWidth="true" hidden="false" outlineLevel="0" max="10" min="10" style="0" width="40"/>
    <col collapsed="false" customWidth="true" hidden="false" outlineLevel="0" max="11" min="11" style="0" width="10"/>
  </cols>
  <sheetData>
    <row r="1" customFormat="false" ht="18.55" hidden="false" customHeight="false" outlineLevel="0" collapsed="false">
      <c r="A1" s="221" t="s">
        <v>787</v>
      </c>
    </row>
    <row r="2" customFormat="false" ht="42" hidden="false" customHeight="true" outlineLevel="0" collapsed="false">
      <c r="A2" s="204" t="s">
        <v>788</v>
      </c>
      <c r="B2" s="204"/>
      <c r="C2" s="204"/>
      <c r="D2" s="204"/>
      <c r="E2" s="204"/>
      <c r="F2" s="204"/>
      <c r="G2" s="204"/>
      <c r="H2" s="204"/>
      <c r="I2" s="204"/>
      <c r="J2" s="204"/>
      <c r="K2" s="204"/>
    </row>
    <row r="4" customFormat="false" ht="15" hidden="false" customHeight="false" outlineLevel="0" collapsed="false">
      <c r="A4" s="207" t="s">
        <v>789</v>
      </c>
      <c r="B4" s="222" t="n">
        <v>6</v>
      </c>
      <c r="C4" s="223" t="s">
        <v>790</v>
      </c>
    </row>
    <row r="6" customFormat="false" ht="15" hidden="false" customHeight="false" outlineLevel="0" collapsed="false">
      <c r="A6" s="224" t="s">
        <v>791</v>
      </c>
    </row>
    <row r="7" customFormat="false" ht="15" hidden="false" customHeight="false" outlineLevel="0" collapsed="false">
      <c r="A7" s="225" t="s">
        <v>586</v>
      </c>
      <c r="B7" s="225" t="s">
        <v>792</v>
      </c>
      <c r="C7" s="225" t="s">
        <v>793</v>
      </c>
      <c r="D7" s="225" t="s">
        <v>794</v>
      </c>
      <c r="E7" s="225" t="s">
        <v>795</v>
      </c>
    </row>
    <row r="8" customFormat="false" ht="15" hidden="false" customHeight="false" outlineLevel="0" collapsed="false">
      <c r="A8" s="226" t="s">
        <v>796</v>
      </c>
      <c r="B8" s="227" t="n">
        <f aca="false">'HC by Program-Term'!V48</f>
        <v>2482</v>
      </c>
      <c r="C8" s="227" t="n">
        <f aca="false">'HC by Program-Term'!S48</f>
        <v>2704</v>
      </c>
      <c r="D8" s="227" t="n">
        <f aca="false">IF(AND(ISNUMBER(B8),ISNUMBER(C8)),B8-C8,"—")</f>
        <v>-222</v>
      </c>
      <c r="E8" s="228" t="n">
        <f aca="false">IF(AND(ISNUMBER(B8),ISNUMBER(C8),C8&lt;&gt;0),(B8-C8)/C8,"—")</f>
        <v>-0.0821005917159763</v>
      </c>
    </row>
    <row r="9" customFormat="false" ht="15" hidden="false" customHeight="false" outlineLevel="0" collapsed="false">
      <c r="A9" s="226" t="s">
        <v>797</v>
      </c>
      <c r="B9" s="227" t="n">
        <f aca="false">'HC by Program-Year'!I48</f>
        <v>7348</v>
      </c>
      <c r="C9" s="227" t="n">
        <f aca="false">'HC by Program-Year'!H48</f>
        <v>7597</v>
      </c>
      <c r="D9" s="227" t="n">
        <f aca="false">IF(AND(ISNUMBER(B9),ISNUMBER(C9)),B9-C9,"—")</f>
        <v>-249</v>
      </c>
      <c r="E9" s="228" t="n">
        <f aca="false">IF(AND(ISNUMBER(B9),ISNUMBER(C9),C9&lt;&gt;0),(B9-C9)/C9,"—")</f>
        <v>-0.0327760958273003</v>
      </c>
    </row>
    <row r="10" customFormat="false" ht="15" hidden="false" customHeight="false" outlineLevel="0" collapsed="false">
      <c r="A10" s="226" t="s">
        <v>798</v>
      </c>
      <c r="B10" s="227" t="n">
        <f aca="false">'New vs Continuing — Year'!I48</f>
        <v>1518</v>
      </c>
      <c r="C10" s="227" t="n">
        <f aca="false">'New vs Continuing — Year'!H48</f>
        <v>1591</v>
      </c>
      <c r="D10" s="227" t="n">
        <f aca="false">IF(AND(ISNUMBER(B10),ISNUMBER(C10)),B10-C10,"—")</f>
        <v>-73</v>
      </c>
      <c r="E10" s="228" t="n">
        <f aca="false">IF(AND(ISNUMBER(B10),ISNUMBER(C10),C10&lt;&gt;0),(B10-C10)/C10,"—")</f>
        <v>-0.0458830923947203</v>
      </c>
    </row>
    <row r="11" customFormat="false" ht="15" hidden="false" customHeight="false" outlineLevel="0" collapsed="false">
      <c r="A11" s="226" t="s">
        <v>799</v>
      </c>
      <c r="B11" s="227" t="n">
        <f aca="false">'New vs Continuing — Year'!R48</f>
        <v>5830</v>
      </c>
      <c r="C11" s="227" t="n">
        <f aca="false">'New vs Continuing — Year'!Q48</f>
        <v>6006</v>
      </c>
      <c r="D11" s="227" t="n">
        <f aca="false">IF(AND(ISNUMBER(B11),ISNUMBER(C11)),B11-C11,"—")</f>
        <v>-176</v>
      </c>
      <c r="E11" s="228" t="n">
        <f aca="false">IF(AND(ISNUMBER(B11),ISNUMBER(C11),C11&lt;&gt;0),(B11-C11)/C11,"—")</f>
        <v>-0.0293040293040293</v>
      </c>
    </row>
    <row r="12" customFormat="false" ht="15" hidden="false" customHeight="false" outlineLevel="0" collapsed="false">
      <c r="A12" s="226" t="s">
        <v>800</v>
      </c>
      <c r="B12" s="227" t="n">
        <f aca="false">'New vs Continuing — Year'!U48</f>
        <v>9851</v>
      </c>
      <c r="C12" s="227" t="n">
        <f aca="false">'HC by Program-Term'!V48</f>
        <v>2482</v>
      </c>
      <c r="D12" s="227" t="n">
        <f aca="false">B12-C12</f>
        <v>7369</v>
      </c>
      <c r="E12" s="228" t="n">
        <f aca="false">D12/B12</f>
        <v>0.748045883666633</v>
      </c>
      <c r="F12" s="223" t="s">
        <v>801</v>
      </c>
    </row>
    <row r="13" customFormat="false" ht="15" hidden="false" customHeight="false" outlineLevel="0" collapsed="false">
      <c r="A13" s="226" t="s">
        <v>802</v>
      </c>
      <c r="B13" s="227" t="n">
        <f aca="false">SUMPRODUCT(ISNUMBER('HC by Program-Year'!G7:G47)*ISNUMBER('HC by Program-Year'!I7:I47)*('HC by Program-Year'!I7:I47&gt;'HC by Program-Year'!G7:G47))</f>
        <v>16</v>
      </c>
      <c r="C13" s="227" t="n">
        <f aca="false">SUMPRODUCT(ISNUMBER('HC by Program-Year'!G7:G47)*ISNUMBER('HC by Program-Year'!I7:I47)*('HC by Program-Year'!I7:I47&lt;'HC by Program-Year'!G7:G47))</f>
        <v>15</v>
      </c>
      <c r="D13" s="223" t="s">
        <v>803</v>
      </c>
    </row>
    <row r="15" customFormat="false" ht="15" hidden="false" customHeight="false" outlineLevel="0" collapsed="false">
      <c r="A15" s="224" t="s">
        <v>804</v>
      </c>
    </row>
    <row r="17" customFormat="false" ht="41.75" hidden="false" customHeight="false" outlineLevel="0" collapsed="false">
      <c r="A17" s="225" t="s">
        <v>699</v>
      </c>
      <c r="B17" s="229" t="s">
        <v>134</v>
      </c>
      <c r="C17" s="225" t="s">
        <v>805</v>
      </c>
      <c r="D17" s="225" t="s">
        <v>806</v>
      </c>
      <c r="E17" s="217" t="s">
        <v>807</v>
      </c>
      <c r="F17" s="225" t="s">
        <v>749</v>
      </c>
      <c r="G17" s="225" t="s">
        <v>808</v>
      </c>
      <c r="H17" s="217" t="s">
        <v>809</v>
      </c>
      <c r="I17" s="217" t="s">
        <v>810</v>
      </c>
      <c r="J17" s="217" t="s">
        <v>811</v>
      </c>
      <c r="K17" s="225" t="s">
        <v>812</v>
      </c>
    </row>
    <row r="18" customFormat="false" ht="15" hidden="false" customHeight="false" outlineLevel="0" collapsed="false">
      <c r="A18" s="207" t="str">
        <f aca="false">'Program List'!A2</f>
        <v>1550C</v>
      </c>
      <c r="B18" s="208" t="str">
        <f aca="false">'Program List'!B2</f>
        <v>Certificate in Population Health</v>
      </c>
      <c r="C18" s="209" t="str">
        <f aca="false">IFERROR(IF(OR(NOT(ISNUMBER(INDEX('Method A - Summary'!$C:$C,MATCH($A18,'Method A - Summary'!$A:$A,0)))),INDEX('Method A - Summary'!$C:$C,MATCH($A18,'Method A - Summary'!$A:$A,0))=0),"—",INDEX('Method A - Summary'!$C:$C,MATCH($A18,'Method A - Summary'!$A:$A,0))),"—")</f>
        <v>—</v>
      </c>
      <c r="D18" s="230" t="str">
        <f aca="false">IF(ISNUMBER($C18),INDEX('Method A - Summary'!$E:$E,MATCH($A18,'Method A - Summary'!$A:$A,0)),"—")</f>
        <v>—</v>
      </c>
      <c r="E18" s="209" t="str">
        <f aca="false">IF(ISNUMBER($C18),INDEX('Method A - Summary'!$K:$K,MATCH($A18,'Method A - Summary'!$A:$A,0)),"—")</f>
        <v>—</v>
      </c>
      <c r="F18" s="209" t="n">
        <f aca="false">INDEX('Program List'!$E:$E,MATCH($A18,'Program List'!$A:$A,0))</f>
        <v>12</v>
      </c>
      <c r="G18" s="209" t="n">
        <f aca="false">ROUNDUP($F18/$B$4,0)</f>
        <v>2</v>
      </c>
      <c r="H18" s="231" t="str">
        <f aca="false">IF(AND(ISNUMBER($C18),ISNUMBER($E18)),$E18/$G18,"—")</f>
        <v>—</v>
      </c>
      <c r="I18" s="232" t="str">
        <f aca="false">IF(NOT(ISNUMBER($C18)),"No data",IF(NOT(ISNUMBER($E18)),"Unresolved (never &lt;20%)",IF($H18&lt;0.75,"Short",IF($H18&lt;=1.25,"Aligned","Long (prolonged)"))))</f>
        <v>No data</v>
      </c>
      <c r="J18" s="233" t="str">
        <f aca="false">IF($I18="No data","",IF($I18="Unresolved (never &lt;20%)","Never thins below 20% in window — check maturity / very high persistence",IF($I18="Long (prolonged)",IF($F18&gt;=MEDIAN('Program List'!$E$2:$E$42),"Long program — tail plausibly structural (part-time pacing)","Tail exceeds program length — check churn / stop-outs / slow progression"),IF($I18="Short",IF($D18&gt;=0.7,"Fast movers — likely quick completion","Short tail + weak early retention — check early dropout"),"Tail matches program length"))))</f>
        <v/>
      </c>
      <c r="K18" s="234" t="str">
        <f aca="false">IF(OR($I18="Unresolved (never &lt;20%)",AND($I18="Long (prolonged)",$F18&lt;MEDIAN('Program List'!$E$2:$E$42)),AND($I18="Short",ISNUMBER($D18),$D18&lt;0.7)),"⚠ check","")</f>
        <v/>
      </c>
    </row>
    <row r="19" customFormat="false" ht="15" hidden="false" customHeight="false" outlineLevel="0" collapsed="false">
      <c r="A19" s="211" t="str">
        <f aca="false">'Program List'!A3</f>
        <v>D318</v>
      </c>
      <c r="B19" s="212" t="str">
        <f aca="false">'Program List'!B3</f>
        <v>Ed.D. in Education Administration</v>
      </c>
      <c r="C19" s="213" t="str">
        <f aca="false">IFERROR(IF(OR(NOT(ISNUMBER(INDEX('Method A - Summary'!$C:$C,MATCH($A19,'Method A - Summary'!$A:$A,0)))),INDEX('Method A - Summary'!$C:$C,MATCH($A19,'Method A - Summary'!$A:$A,0))=0),"—",INDEX('Method A - Summary'!$C:$C,MATCH($A19,'Method A - Summary'!$A:$A,0))),"—")</f>
        <v>—</v>
      </c>
      <c r="D19" s="235" t="str">
        <f aca="false">IF(ISNUMBER($C19),INDEX('Method A - Summary'!$E:$E,MATCH($A19,'Method A - Summary'!$A:$A,0)),"—")</f>
        <v>—</v>
      </c>
      <c r="E19" s="213" t="str">
        <f aca="false">IF(ISNUMBER($C19),INDEX('Method A - Summary'!$K:$K,MATCH($A19,'Method A - Summary'!$A:$A,0)),"—")</f>
        <v>—</v>
      </c>
      <c r="F19" s="213" t="n">
        <f aca="false">INDEX('Program List'!$E:$E,MATCH($A19,'Program List'!$A:$A,0))</f>
        <v>54</v>
      </c>
      <c r="G19" s="213" t="n">
        <f aca="false">ROUNDUP($F19/$B$4,0)</f>
        <v>9</v>
      </c>
      <c r="H19" s="236" t="str">
        <f aca="false">IF(AND(ISNUMBER($C19),ISNUMBER($E19)),$E19/$G19,"—")</f>
        <v>—</v>
      </c>
      <c r="I19" s="237" t="str">
        <f aca="false">IF(NOT(ISNUMBER($C19)),"No data",IF(NOT(ISNUMBER($E19)),"Unresolved (never &lt;20%)",IF($H19&lt;0.75,"Short",IF($H19&lt;=1.25,"Aligned","Long (prolonged)"))))</f>
        <v>No data</v>
      </c>
      <c r="J19" s="238" t="str">
        <f aca="false">IF($I19="No data","",IF($I19="Unresolved (never &lt;20%)","Never thins below 20% in window — check maturity / very high persistence",IF($I19="Long (prolonged)",IF($F19&gt;=MEDIAN('Program List'!$E$2:$E$42),"Long program — tail plausibly structural (part-time pacing)","Tail exceeds program length — check churn / stop-outs / slow progression"),IF($I19="Short",IF($D19&gt;=0.7,"Fast movers — likely quick completion","Short tail + weak early retention — check early dropout"),"Tail matches program length"))))</f>
        <v/>
      </c>
      <c r="K19" s="239" t="str">
        <f aca="false">IF(OR($I19="Unresolved (never &lt;20%)",AND($I19="Long (prolonged)",$F19&lt;MEDIAN('Program List'!$E$2:$E$42)),AND($I19="Short",ISNUMBER($D19),$D19&lt;0.7)),"⚠ check","")</f>
        <v/>
      </c>
    </row>
    <row r="20" customFormat="false" ht="15" hidden="false" customHeight="false" outlineLevel="0" collapsed="false">
      <c r="A20" s="207" t="str">
        <f aca="false">'Program List'!A4</f>
        <v>M366</v>
      </c>
      <c r="B20" s="208" t="str">
        <f aca="false">'Program List'!B4</f>
        <v>Executive MBA in Energy</v>
      </c>
      <c r="C20" s="209" t="n">
        <f aca="false">IFERROR(IF(OR(NOT(ISNUMBER(INDEX('Method A - Summary'!$C:$C,MATCH($A20,'Method A - Summary'!$A:$A,0)))),INDEX('Method A - Summary'!$C:$C,MATCH($A20,'Method A - Summary'!$A:$A,0))=0),"—",INDEX('Method A - Summary'!$C:$C,MATCH($A20,'Method A - Summary'!$A:$A,0))),"—")</f>
        <v>112</v>
      </c>
      <c r="D20" s="230" t="n">
        <f aca="false">IF(ISNUMBER($C20),INDEX('Method A - Summary'!$E:$E,MATCH($A20,'Method A - Summary'!$A:$A,0)),"—")</f>
        <v>0.973214285714286</v>
      </c>
      <c r="E20" s="209" t="n">
        <f aca="false">IF(ISNUMBER($C20),INDEX('Method A - Summary'!$K:$K,MATCH($A20,'Method A - Summary'!$A:$A,0)),"—")</f>
        <v>6</v>
      </c>
      <c r="F20" s="209" t="n">
        <f aca="false">INDEX('Program List'!$E:$E,MATCH($A20,'Program List'!$A:$A,0))</f>
        <v>36</v>
      </c>
      <c r="G20" s="209" t="n">
        <f aca="false">ROUNDUP($F20/$B$4,0)</f>
        <v>6</v>
      </c>
      <c r="H20" s="231" t="n">
        <f aca="false">IF(AND(ISNUMBER($C20),ISNUMBER($E20)),$E20/$G20,"—")</f>
        <v>1</v>
      </c>
      <c r="I20" s="232" t="str">
        <f aca="false">IF(NOT(ISNUMBER($C20)),"No data",IF(NOT(ISNUMBER($E20)),"Unresolved (never &lt;20%)",IF($H20&lt;0.75,"Short",IF($H20&lt;=1.25,"Aligned","Long (prolonged)"))))</f>
        <v>Aligned</v>
      </c>
      <c r="J20" s="233" t="str">
        <f aca="false">IF($I20="No data","",IF($I20="Unresolved (never &lt;20%)","Never thins below 20% in window — check maturity / very high persistence",IF($I20="Long (prolonged)",IF($F20&gt;=MEDIAN('Program List'!$E$2:$E$42),"Long program — tail plausibly structural (part-time pacing)","Tail exceeds program length — check churn / stop-outs / slow progression"),IF($I20="Short",IF($D20&gt;=0.7,"Fast movers — likely quick completion","Short tail + weak early retention — check early dropout"),"Tail matches program length"))))</f>
        <v>Tail matches program length</v>
      </c>
      <c r="K20" s="234" t="str">
        <f aca="false">IF(OR($I20="Unresolved (never &lt;20%)",AND($I20="Long (prolonged)",$F20&lt;MEDIAN('Program List'!$E$2:$E$42)),AND($I20="Short",ISNUMBER($D20),$D20&lt;0.7)),"⚠ check","")</f>
        <v/>
      </c>
    </row>
    <row r="21" customFormat="false" ht="15" hidden="false" customHeight="false" outlineLevel="0" collapsed="false">
      <c r="A21" s="211" t="str">
        <f aca="false">'Program List'!A5</f>
        <v>1231EX</v>
      </c>
      <c r="B21" s="212" t="str">
        <f aca="false">'Program List'!B5</f>
        <v>Executive Masters in Health Administration</v>
      </c>
      <c r="C21" s="213" t="str">
        <f aca="false">IFERROR(IF(OR(NOT(ISNUMBER(INDEX('Method A - Summary'!$C:$C,MATCH($A21,'Method A - Summary'!$A:$A,0)))),INDEX('Method A - Summary'!$C:$C,MATCH($A21,'Method A - Summary'!$A:$A,0))=0),"—",INDEX('Method A - Summary'!$C:$C,MATCH($A21,'Method A - Summary'!$A:$A,0))),"—")</f>
        <v>—</v>
      </c>
      <c r="D21" s="235" t="str">
        <f aca="false">IF(ISNUMBER($C21),INDEX('Method A - Summary'!$E:$E,MATCH($A21,'Method A - Summary'!$A:$A,0)),"—")</f>
        <v>—</v>
      </c>
      <c r="E21" s="213" t="str">
        <f aca="false">IF(ISNUMBER($C21),INDEX('Method A - Summary'!$K:$K,MATCH($A21,'Method A - Summary'!$A:$A,0)),"—")</f>
        <v>—</v>
      </c>
      <c r="F21" s="213" t="n">
        <f aca="false">INDEX('Program List'!$E:$E,MATCH($A21,'Program List'!$A:$A,0))</f>
        <v>42</v>
      </c>
      <c r="G21" s="213" t="n">
        <f aca="false">ROUNDUP($F21/$B$4,0)</f>
        <v>7</v>
      </c>
      <c r="H21" s="236" t="str">
        <f aca="false">IF(AND(ISNUMBER($C21),ISNUMBER($E21)),$E21/$G21,"—")</f>
        <v>—</v>
      </c>
      <c r="I21" s="237" t="str">
        <f aca="false">IF(NOT(ISNUMBER($C21)),"No data",IF(NOT(ISNUMBER($E21)),"Unresolved (never &lt;20%)",IF($H21&lt;0.75,"Short",IF($H21&lt;=1.25,"Aligned","Long (prolonged)"))))</f>
        <v>No data</v>
      </c>
      <c r="J21" s="238" t="str">
        <f aca="false">IF($I21="No data","",IF($I21="Unresolved (never &lt;20%)","Never thins below 20% in window — check maturity / very high persistence",IF($I21="Long (prolonged)",IF($F21&gt;=MEDIAN('Program List'!$E$2:$E$42),"Long program — tail plausibly structural (part-time pacing)","Tail exceeds program length — check churn / stop-outs / slow progression"),IF($I21="Short",IF($D21&gt;=0.7,"Fast movers — likely quick completion","Short tail + weak early retention — check early dropout"),"Tail matches program length"))))</f>
        <v/>
      </c>
      <c r="K21" s="239" t="str">
        <f aca="false">IF(OR($I21="Unresolved (never &lt;20%)",AND($I21="Long (prolonged)",$F21&lt;MEDIAN('Program List'!$E$2:$E$42)),AND($I21="Short",ISNUMBER($D21),$D21&lt;0.7)),"⚠ check","")</f>
        <v/>
      </c>
    </row>
    <row r="22" customFormat="false" ht="28.35" hidden="false" customHeight="false" outlineLevel="0" collapsed="false">
      <c r="A22" s="207" t="str">
        <f aca="false">'Program List'!A6</f>
        <v>M013</v>
      </c>
      <c r="B22" s="208" t="str">
        <f aca="false">'Program List'!B6</f>
        <v>Master of Accountancy</v>
      </c>
      <c r="C22" s="209" t="n">
        <f aca="false">IFERROR(IF(OR(NOT(ISNUMBER(INDEX('Method A - Summary'!$C:$C,MATCH($A22,'Method A - Summary'!$A:$A,0)))),INDEX('Method A - Summary'!$C:$C,MATCH($A22,'Method A - Summary'!$A:$A,0))=0),"—",INDEX('Method A - Summary'!$C:$C,MATCH($A22,'Method A - Summary'!$A:$A,0))),"—")</f>
        <v>272</v>
      </c>
      <c r="D22" s="230" t="n">
        <f aca="false">IF(ISNUMBER($C22),INDEX('Method A - Summary'!$E:$E,MATCH($A22,'Method A - Summary'!$A:$A,0)),"—")</f>
        <v>0.691176470588235</v>
      </c>
      <c r="E22" s="209" t="n">
        <f aca="false">IF(ISNUMBER($C22),INDEX('Method A - Summary'!$K:$K,MATCH($A22,'Method A - Summary'!$A:$A,0)),"—")</f>
        <v>9</v>
      </c>
      <c r="F22" s="209" t="n">
        <f aca="false">INDEX('Program List'!$E:$E,MATCH($A22,'Program List'!$A:$A,0))</f>
        <v>40</v>
      </c>
      <c r="G22" s="209" t="n">
        <f aca="false">ROUNDUP($F22/$B$4,0)</f>
        <v>7</v>
      </c>
      <c r="H22" s="231" t="n">
        <f aca="false">IF(AND(ISNUMBER($C22),ISNUMBER($E22)),$E22/$G22,"—")</f>
        <v>1.28571428571429</v>
      </c>
      <c r="I22" s="232" t="str">
        <f aca="false">IF(NOT(ISNUMBER($C22)),"No data",IF(NOT(ISNUMBER($E22)),"Unresolved (never &lt;20%)",IF($H22&lt;0.75,"Short",IF($H22&lt;=1.25,"Aligned","Long (prolonged)"))))</f>
        <v>Long (prolonged)</v>
      </c>
      <c r="J22" s="233" t="str">
        <f aca="false">IF($I22="No data","",IF($I22="Unresolved (never &lt;20%)","Never thins below 20% in window — check maturity / very high persistence",IF($I22="Long (prolonged)",IF($F22&gt;=MEDIAN('Program List'!$E$2:$E$42),"Long program — tail plausibly structural (part-time pacing)","Tail exceeds program length — check churn / stop-outs / slow progression"),IF($I22="Short",IF($D22&gt;=0.7,"Fast movers — likely quick completion","Short tail + weak early retention — check early dropout"),"Tail matches program length"))))</f>
        <v>Long program — tail plausibly structural (part-time pacing)</v>
      </c>
      <c r="K22" s="234" t="str">
        <f aca="false">IF(OR($I22="Unresolved (never &lt;20%)",AND($I22="Long (prolonged)",$F22&lt;MEDIAN('Program List'!$E$2:$E$42)),AND($I22="Short",ISNUMBER($D22),$D22&lt;0.7)),"⚠ check","")</f>
        <v/>
      </c>
    </row>
    <row r="23" customFormat="false" ht="15" hidden="false" customHeight="false" outlineLevel="0" collapsed="false">
      <c r="A23" s="211" t="str">
        <f aca="false">'Program List'!A7</f>
        <v>M075</v>
      </c>
      <c r="B23" s="212" t="str">
        <f aca="false">'Program List'!B7</f>
        <v>Master of Arts in Art and Technology</v>
      </c>
      <c r="C23" s="213" t="n">
        <f aca="false">IFERROR(IF(OR(NOT(ISNUMBER(INDEX('Method A - Summary'!$C:$C,MATCH($A23,'Method A - Summary'!$A:$A,0)))),INDEX('Method A - Summary'!$C:$C,MATCH($A23,'Method A - Summary'!$A:$A,0))=0),"—",INDEX('Method A - Summary'!$C:$C,MATCH($A23,'Method A - Summary'!$A:$A,0))),"—")</f>
        <v>146</v>
      </c>
      <c r="D23" s="235" t="n">
        <f aca="false">IF(ISNUMBER($C23),INDEX('Method A - Summary'!$E:$E,MATCH($A23,'Method A - Summary'!$A:$A,0)),"—")</f>
        <v>0.691780821917808</v>
      </c>
      <c r="E23" s="213" t="n">
        <f aca="false">IF(ISNUMBER($C23),INDEX('Method A - Summary'!$K:$K,MATCH($A23,'Method A - Summary'!$A:$A,0)),"—")</f>
        <v>6</v>
      </c>
      <c r="F23" s="213" t="n">
        <f aca="false">INDEX('Program List'!$E:$E,MATCH($A23,'Program List'!$A:$A,0))</f>
        <v>33</v>
      </c>
      <c r="G23" s="213" t="n">
        <f aca="false">ROUNDUP($F23/$B$4,0)</f>
        <v>6</v>
      </c>
      <c r="H23" s="236" t="n">
        <f aca="false">IF(AND(ISNUMBER($C23),ISNUMBER($E23)),$E23/$G23,"—")</f>
        <v>1</v>
      </c>
      <c r="I23" s="237" t="str">
        <f aca="false">IF(NOT(ISNUMBER($C23)),"No data",IF(NOT(ISNUMBER($E23)),"Unresolved (never &lt;20%)",IF($H23&lt;0.75,"Short",IF($H23&lt;=1.25,"Aligned","Long (prolonged)"))))</f>
        <v>Aligned</v>
      </c>
      <c r="J23" s="238" t="str">
        <f aca="false">IF($I23="No data","",IF($I23="Unresolved (never &lt;20%)","Never thins below 20% in window — check maturity / very high persistence",IF($I23="Long (prolonged)",IF($F23&gt;=MEDIAN('Program List'!$E$2:$E$42),"Long program — tail plausibly structural (part-time pacing)","Tail exceeds program length — check churn / stop-outs / slow progression"),IF($I23="Short",IF($D23&gt;=0.7,"Fast movers — likely quick completion","Short tail + weak early retention — check early dropout"),"Tail matches program length"))))</f>
        <v>Tail matches program length</v>
      </c>
      <c r="K23" s="239" t="str">
        <f aca="false">IF(OR($I23="Unresolved (never &lt;20%)",AND($I23="Long (prolonged)",$F23&lt;MEDIAN('Program List'!$E$2:$E$42)),AND($I23="Short",ISNUMBER($D23),$D23&lt;0.7)),"⚠ check","")</f>
        <v/>
      </c>
    </row>
    <row r="24" customFormat="false" ht="15" hidden="false" customHeight="false" outlineLevel="0" collapsed="false">
      <c r="A24" s="207" t="str">
        <f aca="false">'Program List'!A8</f>
        <v>M073</v>
      </c>
      <c r="B24" s="208" t="str">
        <f aca="false">'Program List'!B8</f>
        <v>Master of Arts in Arts Management</v>
      </c>
      <c r="C24" s="209" t="n">
        <f aca="false">IFERROR(IF(OR(NOT(ISNUMBER(INDEX('Method A - Summary'!$C:$C,MATCH($A24,'Method A - Summary'!$A:$A,0)))),INDEX('Method A - Summary'!$C:$C,MATCH($A24,'Method A - Summary'!$A:$A,0))=0),"—",INDEX('Method A - Summary'!$C:$C,MATCH($A24,'Method A - Summary'!$A:$A,0))),"—")</f>
        <v>80</v>
      </c>
      <c r="D24" s="230" t="n">
        <f aca="false">IF(ISNUMBER($C24),INDEX('Method A - Summary'!$E:$E,MATCH($A24,'Method A - Summary'!$A:$A,0)),"—")</f>
        <v>0.775</v>
      </c>
      <c r="E24" s="209" t="n">
        <f aca="false">IF(ISNUMBER($C24),INDEX('Method A - Summary'!$K:$K,MATCH($A24,'Method A - Summary'!$A:$A,0)),"—")</f>
        <v>5</v>
      </c>
      <c r="F24" s="209" t="n">
        <f aca="false">INDEX('Program List'!$E:$E,MATCH($A24,'Program List'!$A:$A,0))</f>
        <v>30</v>
      </c>
      <c r="G24" s="209" t="n">
        <f aca="false">ROUNDUP($F24/$B$4,0)</f>
        <v>5</v>
      </c>
      <c r="H24" s="231" t="n">
        <f aca="false">IF(AND(ISNUMBER($C24),ISNUMBER($E24)),$E24/$G24,"—")</f>
        <v>1</v>
      </c>
      <c r="I24" s="232" t="str">
        <f aca="false">IF(NOT(ISNUMBER($C24)),"No data",IF(NOT(ISNUMBER($E24)),"Unresolved (never &lt;20%)",IF($H24&lt;0.75,"Short",IF($H24&lt;=1.25,"Aligned","Long (prolonged)"))))</f>
        <v>Aligned</v>
      </c>
      <c r="J24" s="233" t="str">
        <f aca="false">IF($I24="No data","",IF($I24="Unresolved (never &lt;20%)","Never thins below 20% in window — check maturity / very high persistence",IF($I24="Long (prolonged)",IF($F24&gt;=MEDIAN('Program List'!$E$2:$E$42),"Long program — tail plausibly structural (part-time pacing)","Tail exceeds program length — check churn / stop-outs / slow progression"),IF($I24="Short",IF($D24&gt;=0.7,"Fast movers — likely quick completion","Short tail + weak early retention — check early dropout"),"Tail matches program length"))))</f>
        <v>Tail matches program length</v>
      </c>
      <c r="K24" s="234" t="str">
        <f aca="false">IF(OR($I24="Unresolved (never &lt;20%)",AND($I24="Long (prolonged)",$F24&lt;MEDIAN('Program List'!$E$2:$E$42)),AND($I24="Short",ISNUMBER($D24),$D24&lt;0.7)),"⚠ check","")</f>
        <v/>
      </c>
    </row>
    <row r="25" customFormat="false" ht="28.35" hidden="false" customHeight="false" outlineLevel="0" collapsed="false">
      <c r="A25" s="211" t="str">
        <f aca="false">'Program List'!A9</f>
        <v>M494</v>
      </c>
      <c r="B25" s="212" t="str">
        <f aca="false">'Program List'!B9</f>
        <v>Master of Arts in Global Affairs</v>
      </c>
      <c r="C25" s="213" t="n">
        <f aca="false">IFERROR(IF(OR(NOT(ISNUMBER(INDEX('Method A - Summary'!$C:$C,MATCH($A25,'Method A - Summary'!$A:$A,0)))),INDEX('Method A - Summary'!$C:$C,MATCH($A25,'Method A - Summary'!$A:$A,0))=0),"—",INDEX('Method A - Summary'!$C:$C,MATCH($A25,'Method A - Summary'!$A:$A,0))),"—")</f>
        <v>248</v>
      </c>
      <c r="D25" s="235" t="n">
        <f aca="false">IF(ISNUMBER($C25),INDEX('Method A - Summary'!$E:$E,MATCH($A25,'Method A - Summary'!$A:$A,0)),"—")</f>
        <v>0.532258064516129</v>
      </c>
      <c r="E25" s="213" t="n">
        <f aca="false">IF(ISNUMBER($C25),INDEX('Method A - Summary'!$K:$K,MATCH($A25,'Method A - Summary'!$A:$A,0)),"—")</f>
        <v>9</v>
      </c>
      <c r="F25" s="213" t="n">
        <f aca="false">INDEX('Program List'!$E:$E,MATCH($A25,'Program List'!$A:$A,0))</f>
        <v>33</v>
      </c>
      <c r="G25" s="213" t="n">
        <f aca="false">ROUNDUP($F25/$B$4,0)</f>
        <v>6</v>
      </c>
      <c r="H25" s="236" t="n">
        <f aca="false">IF(AND(ISNUMBER($C25),ISNUMBER($E25)),$E25/$G25,"—")</f>
        <v>1.5</v>
      </c>
      <c r="I25" s="237" t="str">
        <f aca="false">IF(NOT(ISNUMBER($C25)),"No data",IF(NOT(ISNUMBER($E25)),"Unresolved (never &lt;20%)",IF($H25&lt;0.75,"Short",IF($H25&lt;=1.25,"Aligned","Long (prolonged)"))))</f>
        <v>Long (prolonged)</v>
      </c>
      <c r="J25" s="238" t="str">
        <f aca="false">IF($I25="No data","",IF($I25="Unresolved (never &lt;20%)","Never thins below 20% in window — check maturity / very high persistence",IF($I25="Long (prolonged)",IF($F25&gt;=MEDIAN('Program List'!$E$2:$E$42),"Long program — tail plausibly structural (part-time pacing)","Tail exceeds program length — check churn / stop-outs / slow progression"),IF($I25="Short",IF($D25&gt;=0.7,"Fast movers — likely quick completion","Short tail + weak early retention — check early dropout"),"Tail matches program length"))))</f>
        <v>Long program — tail plausibly structural (part-time pacing)</v>
      </c>
      <c r="K25" s="239" t="str">
        <f aca="false">IF(OR($I25="Unresolved (never &lt;20%)",AND($I25="Long (prolonged)",$F25&lt;MEDIAN('Program List'!$E$2:$E$42)),AND($I25="Short",ISNUMBER($D25),$D25&lt;0.7)),"⚠ check","")</f>
        <v/>
      </c>
    </row>
    <row r="26" customFormat="false" ht="28.35" hidden="false" customHeight="false" outlineLevel="0" collapsed="false">
      <c r="A26" s="207" t="str">
        <f aca="false">'Program List'!A10</f>
        <v>M700</v>
      </c>
      <c r="B26" s="208" t="str">
        <f aca="false">'Program List'!B10</f>
        <v>Master of Arts in Museum Studies</v>
      </c>
      <c r="C26" s="209" t="n">
        <f aca="false">IFERROR(IF(OR(NOT(ISNUMBER(INDEX('Method A - Summary'!$C:$C,MATCH($A26,'Method A - Summary'!$A:$A,0)))),INDEX('Method A - Summary'!$C:$C,MATCH($A26,'Method A - Summary'!$A:$A,0))=0),"—",INDEX('Method A - Summary'!$C:$C,MATCH($A26,'Method A - Summary'!$A:$A,0))),"—")</f>
        <v>474</v>
      </c>
      <c r="D26" s="230" t="n">
        <f aca="false">IF(ISNUMBER($C26),INDEX('Method A - Summary'!$E:$E,MATCH($A26,'Method A - Summary'!$A:$A,0)),"—")</f>
        <v>0.654008438818565</v>
      </c>
      <c r="E26" s="209" t="n">
        <f aca="false">IF(ISNUMBER($C26),INDEX('Method A - Summary'!$K:$K,MATCH($A26,'Method A - Summary'!$A:$A,0)),"—")</f>
        <v>9</v>
      </c>
      <c r="F26" s="209" t="n">
        <f aca="false">INDEX('Program List'!$E:$E,MATCH($A26,'Program List'!$A:$A,0))</f>
        <v>33</v>
      </c>
      <c r="G26" s="209" t="n">
        <f aca="false">ROUNDUP($F26/$B$4,0)</f>
        <v>6</v>
      </c>
      <c r="H26" s="231" t="n">
        <f aca="false">IF(AND(ISNUMBER($C26),ISNUMBER($E26)),$E26/$G26,"—")</f>
        <v>1.5</v>
      </c>
      <c r="I26" s="232" t="str">
        <f aca="false">IF(NOT(ISNUMBER($C26)),"No data",IF(NOT(ISNUMBER($E26)),"Unresolved (never &lt;20%)",IF($H26&lt;0.75,"Short",IF($H26&lt;=1.25,"Aligned","Long (prolonged)"))))</f>
        <v>Long (prolonged)</v>
      </c>
      <c r="J26" s="233" t="str">
        <f aca="false">IF($I26="No data","",IF($I26="Unresolved (never &lt;20%)","Never thins below 20% in window — check maturity / very high persistence",IF($I26="Long (prolonged)",IF($F26&gt;=MEDIAN('Program List'!$E$2:$E$42),"Long program — tail plausibly structural (part-time pacing)","Tail exceeds program length — check churn / stop-outs / slow progression"),IF($I26="Short",IF($D26&gt;=0.7,"Fast movers — likely quick completion","Short tail + weak early retention — check early dropout"),"Tail matches program length"))))</f>
        <v>Long program — tail plausibly structural (part-time pacing)</v>
      </c>
      <c r="K26" s="234" t="str">
        <f aca="false">IF(OR($I26="Unresolved (never &lt;20%)",AND($I26="Long (prolonged)",$F26&lt;MEDIAN('Program List'!$E$2:$E$42)),AND($I26="Short",ISNUMBER($D26),$D26&lt;0.7)),"⚠ check","")</f>
        <v/>
      </c>
    </row>
    <row r="27" customFormat="false" ht="28.35" hidden="false" customHeight="false" outlineLevel="0" collapsed="false">
      <c r="A27" s="211" t="str">
        <f aca="false">'Program List'!A11</f>
        <v>M762</v>
      </c>
      <c r="B27" s="212" t="str">
        <f aca="false">'Program List'!B11</f>
        <v>Master of Arts in Organizational Leadership</v>
      </c>
      <c r="C27" s="213" t="n">
        <f aca="false">IFERROR(IF(OR(NOT(ISNUMBER(INDEX('Method A - Summary'!$C:$C,MATCH($A27,'Method A - Summary'!$A:$A,0)))),INDEX('Method A - Summary'!$C:$C,MATCH($A27,'Method A - Summary'!$A:$A,0))=0),"—",INDEX('Method A - Summary'!$C:$C,MATCH($A27,'Method A - Summary'!$A:$A,0))),"—")</f>
        <v>505</v>
      </c>
      <c r="D27" s="235" t="n">
        <f aca="false">IF(ISNUMBER($C27),INDEX('Method A - Summary'!$E:$E,MATCH($A27,'Method A - Summary'!$A:$A,0)),"—")</f>
        <v>0.57029702970297</v>
      </c>
      <c r="E27" s="213" t="n">
        <f aca="false">IF(ISNUMBER($C27),INDEX('Method A - Summary'!$K:$K,MATCH($A27,'Method A - Summary'!$A:$A,0)),"—")</f>
        <v>9</v>
      </c>
      <c r="F27" s="213" t="n">
        <f aca="false">INDEX('Program List'!$E:$E,MATCH($A27,'Program List'!$A:$A,0))</f>
        <v>30</v>
      </c>
      <c r="G27" s="213" t="n">
        <f aca="false">ROUNDUP($F27/$B$4,0)</f>
        <v>5</v>
      </c>
      <c r="H27" s="236" t="n">
        <f aca="false">IF(AND(ISNUMBER($C27),ISNUMBER($E27)),$E27/$G27,"—")</f>
        <v>1.8</v>
      </c>
      <c r="I27" s="237" t="str">
        <f aca="false">IF(NOT(ISNUMBER($C27)),"No data",IF(NOT(ISNUMBER($E27)),"Unresolved (never &lt;20%)",IF($H27&lt;0.75,"Short",IF($H27&lt;=1.25,"Aligned","Long (prolonged)"))))</f>
        <v>Long (prolonged)</v>
      </c>
      <c r="J27" s="238" t="str">
        <f aca="false">IF($I27="No data","",IF($I27="Unresolved (never &lt;20%)","Never thins below 20% in window — check maturity / very high persistence",IF($I27="Long (prolonged)",IF($F27&gt;=MEDIAN('Program List'!$E$2:$E$42),"Long program — tail plausibly structural (part-time pacing)","Tail exceeds program length — check churn / stop-outs / slow progression"),IF($I27="Short",IF($D27&gt;=0.7,"Fast movers — likely quick completion","Short tail + weak early retention — check early dropout"),"Tail matches program length"))))</f>
        <v>Tail exceeds program length — check churn / stop-outs / slow progression</v>
      </c>
      <c r="K27" s="239" t="str">
        <f aca="false">IF(OR($I27="Unresolved (never &lt;20%)",AND($I27="Long (prolonged)",$F27&lt;MEDIAN('Program List'!$E$2:$E$42)),AND($I27="Short",ISNUMBER($D27),$D27&lt;0.7)),"⚠ check","")</f>
        <v>⚠ check</v>
      </c>
    </row>
    <row r="28" customFormat="false" ht="15" hidden="false" customHeight="false" outlineLevel="0" collapsed="false">
      <c r="A28" s="207" t="str">
        <f aca="false">'Program List'!A12</f>
        <v>M859</v>
      </c>
      <c r="B28" s="208" t="str">
        <f aca="false">'Program List'!B12</f>
        <v>Master of Arts in Strategic Communication and Digital Strategy</v>
      </c>
      <c r="C28" s="209" t="n">
        <f aca="false">IFERROR(IF(OR(NOT(ISNUMBER(INDEX('Method A - Summary'!$C:$C,MATCH($A28,'Method A - Summary'!$A:$A,0)))),INDEX('Method A - Summary'!$C:$C,MATCH($A28,'Method A - Summary'!$A:$A,0))=0),"—",INDEX('Method A - Summary'!$C:$C,MATCH($A28,'Method A - Summary'!$A:$A,0))),"—")</f>
        <v>256</v>
      </c>
      <c r="D28" s="230" t="n">
        <f aca="false">IF(ISNUMBER($C28),INDEX('Method A - Summary'!$E:$E,MATCH($A28,'Method A - Summary'!$A:$A,0)),"—")</f>
        <v>0.8125</v>
      </c>
      <c r="E28" s="209" t="n">
        <f aca="false">IF(ISNUMBER($C28),INDEX('Method A - Summary'!$K:$K,MATCH($A28,'Method A - Summary'!$A:$A,0)),"—")</f>
        <v>6</v>
      </c>
      <c r="F28" s="209" t="n">
        <f aca="false">INDEX('Program List'!$E:$E,MATCH($A28,'Program List'!$A:$A,0))</f>
        <v>33</v>
      </c>
      <c r="G28" s="209" t="n">
        <f aca="false">ROUNDUP($F28/$B$4,0)</f>
        <v>6</v>
      </c>
      <c r="H28" s="231" t="n">
        <f aca="false">IF(AND(ISNUMBER($C28),ISNUMBER($E28)),$E28/$G28,"—")</f>
        <v>1</v>
      </c>
      <c r="I28" s="232" t="str">
        <f aca="false">IF(NOT(ISNUMBER($C28)),"No data",IF(NOT(ISNUMBER($E28)),"Unresolved (never &lt;20%)",IF($H28&lt;0.75,"Short",IF($H28&lt;=1.25,"Aligned","Long (prolonged)"))))</f>
        <v>Aligned</v>
      </c>
      <c r="J28" s="233" t="str">
        <f aca="false">IF($I28="No data","",IF($I28="Unresolved (never &lt;20%)","Never thins below 20% in window — check maturity / very high persistence",IF($I28="Long (prolonged)",IF($F28&gt;=MEDIAN('Program List'!$E$2:$E$42),"Long program — tail plausibly structural (part-time pacing)","Tail exceeds program length — check churn / stop-outs / slow progression"),IF($I28="Short",IF($D28&gt;=0.7,"Fast movers — likely quick completion","Short tail + weak early retention — check early dropout"),"Tail matches program length"))))</f>
        <v>Tail matches program length</v>
      </c>
      <c r="K28" s="234" t="str">
        <f aca="false">IF(OR($I28="Unresolved (never &lt;20%)",AND($I28="Long (prolonged)",$F28&lt;MEDIAN('Program List'!$E$2:$E$42)),AND($I28="Short",ISNUMBER($D28),$D28&lt;0.7)),"⚠ check","")</f>
        <v/>
      </c>
    </row>
    <row r="29" customFormat="false" ht="15" hidden="false" customHeight="false" outlineLevel="0" collapsed="false">
      <c r="A29" s="211" t="str">
        <f aca="false">'Program List'!A13</f>
        <v>M202</v>
      </c>
      <c r="B29" s="212" t="str">
        <f aca="false">'Program List'!B13</f>
        <v>Master of Clinical Mental Health Counseling</v>
      </c>
      <c r="C29" s="213" t="n">
        <f aca="false">IFERROR(IF(OR(NOT(ISNUMBER(INDEX('Method A - Summary'!$C:$C,MATCH($A29,'Method A - Summary'!$A:$A,0)))),INDEX('Method A - Summary'!$C:$C,MATCH($A29,'Method A - Summary'!$A:$A,0))=0),"—",INDEX('Method A - Summary'!$C:$C,MATCH($A29,'Method A - Summary'!$A:$A,0))),"—")</f>
        <v>240</v>
      </c>
      <c r="D29" s="235" t="n">
        <f aca="false">IF(ISNUMBER($C29),INDEX('Method A - Summary'!$E:$E,MATCH($A29,'Method A - Summary'!$A:$A,0)),"—")</f>
        <v>0.7875</v>
      </c>
      <c r="E29" s="213" t="n">
        <f aca="false">IF(ISNUMBER($C29),INDEX('Method A - Summary'!$K:$K,MATCH($A29,'Method A - Summary'!$A:$A,0)),"—")</f>
        <v>9</v>
      </c>
      <c r="F29" s="213" t="n">
        <f aca="false">INDEX('Program List'!$E:$E,MATCH($A29,'Program List'!$A:$A,0))</f>
        <v>60</v>
      </c>
      <c r="G29" s="213" t="n">
        <f aca="false">ROUNDUP($F29/$B$4,0)</f>
        <v>10</v>
      </c>
      <c r="H29" s="236" t="n">
        <f aca="false">IF(AND(ISNUMBER($C29),ISNUMBER($E29)),$E29/$G29,"—")</f>
        <v>0.9</v>
      </c>
      <c r="I29" s="237" t="str">
        <f aca="false">IF(NOT(ISNUMBER($C29)),"No data",IF(NOT(ISNUMBER($E29)),"Unresolved (never &lt;20%)",IF($H29&lt;0.75,"Short",IF($H29&lt;=1.25,"Aligned","Long (prolonged)"))))</f>
        <v>Aligned</v>
      </c>
      <c r="J29" s="238" t="str">
        <f aca="false">IF($I29="No data","",IF($I29="Unresolved (never &lt;20%)","Never thins below 20% in window — check maturity / very high persistence",IF($I29="Long (prolonged)",IF($F29&gt;=MEDIAN('Program List'!$E$2:$E$42),"Long program — tail plausibly structural (part-time pacing)","Tail exceeds program length — check churn / stop-outs / slow progression"),IF($I29="Short",IF($D29&gt;=0.7,"Fast movers — likely quick completion","Short tail + weak early retention — check early dropout"),"Tail matches program length"))))</f>
        <v>Tail matches program length</v>
      </c>
      <c r="K29" s="239" t="str">
        <f aca="false">IF(OR($I29="Unresolved (never &lt;20%)",AND($I29="Long (prolonged)",$F29&lt;MEDIAN('Program List'!$E$2:$E$42)),AND($I29="Short",ISNUMBER($D29),$D29&lt;0.7)),"⚠ check","")</f>
        <v/>
      </c>
    </row>
    <row r="30" customFormat="false" ht="15" hidden="false" customHeight="false" outlineLevel="0" collapsed="false">
      <c r="A30" s="207" t="str">
        <f aca="false">'Program List'!A14</f>
        <v>M246</v>
      </c>
      <c r="B30" s="208" t="str">
        <f aca="false">'Program List'!B14</f>
        <v>Master of Construction Business</v>
      </c>
      <c r="C30" s="209" t="n">
        <f aca="false">IFERROR(IF(OR(NOT(ISNUMBER(INDEX('Method A - Summary'!$C:$C,MATCH($A30,'Method A - Summary'!$A:$A,0)))),INDEX('Method A - Summary'!$C:$C,MATCH($A30,'Method A - Summary'!$A:$A,0))=0),"—",INDEX('Method A - Summary'!$C:$C,MATCH($A30,'Method A - Summary'!$A:$A,0))),"—")</f>
        <v>115</v>
      </c>
      <c r="D30" s="230" t="n">
        <f aca="false">IF(ISNUMBER($C30),INDEX('Method A - Summary'!$E:$E,MATCH($A30,'Method A - Summary'!$A:$A,0)),"—")</f>
        <v>0.869565217391304</v>
      </c>
      <c r="E30" s="209" t="n">
        <f aca="false">IF(ISNUMBER($C30),INDEX('Method A - Summary'!$K:$K,MATCH($A30,'Method A - Summary'!$A:$A,0)),"—")</f>
        <v>7</v>
      </c>
      <c r="F30" s="209" t="n">
        <f aca="false">INDEX('Program List'!$E:$E,MATCH($A30,'Program List'!$A:$A,0))</f>
        <v>32</v>
      </c>
      <c r="G30" s="209" t="n">
        <f aca="false">ROUNDUP($F30/$B$4,0)</f>
        <v>6</v>
      </c>
      <c r="H30" s="231" t="n">
        <f aca="false">IF(AND(ISNUMBER($C30),ISNUMBER($E30)),$E30/$G30,"—")</f>
        <v>1.16666666666667</v>
      </c>
      <c r="I30" s="232" t="str">
        <f aca="false">IF(NOT(ISNUMBER($C30)),"No data",IF(NOT(ISNUMBER($E30)),"Unresolved (never &lt;20%)",IF($H30&lt;0.75,"Short",IF($H30&lt;=1.25,"Aligned","Long (prolonged)"))))</f>
        <v>Aligned</v>
      </c>
      <c r="J30" s="233" t="str">
        <f aca="false">IF($I30="No data","",IF($I30="Unresolved (never &lt;20%)","Never thins below 20% in window — check maturity / very high persistence",IF($I30="Long (prolonged)",IF($F30&gt;=MEDIAN('Program List'!$E$2:$E$42),"Long program — tail plausibly structural (part-time pacing)","Tail exceeds program length — check churn / stop-outs / slow progression"),IF($I30="Short",IF($D30&gt;=0.7,"Fast movers — likely quick completion","Short tail + weak early retention — check early dropout"),"Tail matches program length"))))</f>
        <v>Tail matches program length</v>
      </c>
      <c r="K30" s="234" t="str">
        <f aca="false">IF(OR($I30="Unresolved (never &lt;20%)",AND($I30="Long (prolonged)",$F30&lt;MEDIAN('Program List'!$E$2:$E$42)),AND($I30="Short",ISNUMBER($D30),$D30&lt;0.7)),"⚠ check","")</f>
        <v/>
      </c>
    </row>
    <row r="31" customFormat="false" ht="15" hidden="false" customHeight="false" outlineLevel="0" collapsed="false">
      <c r="A31" s="211" t="str">
        <f aca="false">'Program List'!A15</f>
        <v>M297</v>
      </c>
      <c r="B31" s="212" t="str">
        <f aca="false">'Program List'!B15</f>
        <v>Master of Econometrics</v>
      </c>
      <c r="C31" s="213" t="str">
        <f aca="false">IFERROR(IF(OR(NOT(ISNUMBER(INDEX('Method A - Summary'!$C:$C,MATCH($A31,'Method A - Summary'!$A:$A,0)))),INDEX('Method A - Summary'!$C:$C,MATCH($A31,'Method A - Summary'!$A:$A,0))=0),"—",INDEX('Method A - Summary'!$C:$C,MATCH($A31,'Method A - Summary'!$A:$A,0))),"—")</f>
        <v>—</v>
      </c>
      <c r="D31" s="235" t="str">
        <f aca="false">IF(ISNUMBER($C31),INDEX('Method A - Summary'!$E:$E,MATCH($A31,'Method A - Summary'!$A:$A,0)),"—")</f>
        <v>—</v>
      </c>
      <c r="E31" s="213" t="str">
        <f aca="false">IF(ISNUMBER($C31),INDEX('Method A - Summary'!$K:$K,MATCH($A31,'Method A - Summary'!$A:$A,0)),"—")</f>
        <v>—</v>
      </c>
      <c r="F31" s="213" t="n">
        <f aca="false">INDEX('Program List'!$E:$E,MATCH($A31,'Program List'!$A:$A,0))</f>
        <v>30</v>
      </c>
      <c r="G31" s="213" t="n">
        <f aca="false">ROUNDUP($F31/$B$4,0)</f>
        <v>5</v>
      </c>
      <c r="H31" s="236" t="str">
        <f aca="false">IF(AND(ISNUMBER($C31),ISNUMBER($E31)),$E31/$G31,"—")</f>
        <v>—</v>
      </c>
      <c r="I31" s="237" t="str">
        <f aca="false">IF(NOT(ISNUMBER($C31)),"No data",IF(NOT(ISNUMBER($E31)),"Unresolved (never &lt;20%)",IF($H31&lt;0.75,"Short",IF($H31&lt;=1.25,"Aligned","Long (prolonged)"))))</f>
        <v>No data</v>
      </c>
      <c r="J31" s="238" t="str">
        <f aca="false">IF($I31="No data","",IF($I31="Unresolved (never &lt;20%)","Never thins below 20% in window — check maturity / very high persistence",IF($I31="Long (prolonged)",IF($F31&gt;=MEDIAN('Program List'!$E$2:$E$42),"Long program — tail plausibly structural (part-time pacing)","Tail exceeds program length — check churn / stop-outs / slow progression"),IF($I31="Short",IF($D31&gt;=0.7,"Fast movers — likely quick completion","Short tail + weak early retention — check early dropout"),"Tail matches program length"))))</f>
        <v/>
      </c>
      <c r="K31" s="239" t="str">
        <f aca="false">IF(OR($I31="Unresolved (never &lt;20%)",AND($I31="Long (prolonged)",$F31&lt;MEDIAN('Program List'!$E$2:$E$42)),AND($I31="Short",ISNUMBER($D31),$D31&lt;0.7)),"⚠ check","")</f>
        <v/>
      </c>
    </row>
    <row r="32" customFormat="false" ht="15" hidden="false" customHeight="false" outlineLevel="0" collapsed="false">
      <c r="A32" s="207" t="str">
        <f aca="false">'Program List'!A16</f>
        <v>M383</v>
      </c>
      <c r="B32" s="208" t="str">
        <f aca="false">'Program List'!B16</f>
        <v>Master of Entrepreneurship &amp; Innovation</v>
      </c>
      <c r="C32" s="209" t="str">
        <f aca="false">IFERROR(IF(OR(NOT(ISNUMBER(INDEX('Method A - Summary'!$C:$C,MATCH($A32,'Method A - Summary'!$A:$A,0)))),INDEX('Method A - Summary'!$C:$C,MATCH($A32,'Method A - Summary'!$A:$A,0))=0),"—",INDEX('Method A - Summary'!$C:$C,MATCH($A32,'Method A - Summary'!$A:$A,0))),"—")</f>
        <v>—</v>
      </c>
      <c r="D32" s="230" t="str">
        <f aca="false">IF(ISNUMBER($C32),INDEX('Method A - Summary'!$E:$E,MATCH($A32,'Method A - Summary'!$A:$A,0)),"—")</f>
        <v>—</v>
      </c>
      <c r="E32" s="209" t="str">
        <f aca="false">IF(ISNUMBER($C32),INDEX('Method A - Summary'!$K:$K,MATCH($A32,'Method A - Summary'!$A:$A,0)),"—")</f>
        <v>—</v>
      </c>
      <c r="F32" s="209" t="n">
        <f aca="false">INDEX('Program List'!$E:$E,MATCH($A32,'Program List'!$A:$A,0))</f>
        <v>30</v>
      </c>
      <c r="G32" s="209" t="n">
        <f aca="false">ROUNDUP($F32/$B$4,0)</f>
        <v>5</v>
      </c>
      <c r="H32" s="231" t="str">
        <f aca="false">IF(AND(ISNUMBER($C32),ISNUMBER($E32)),$E32/$G32,"—")</f>
        <v>—</v>
      </c>
      <c r="I32" s="232" t="str">
        <f aca="false">IF(NOT(ISNUMBER($C32)),"No data",IF(NOT(ISNUMBER($E32)),"Unresolved (never &lt;20%)",IF($H32&lt;0.75,"Short",IF($H32&lt;=1.25,"Aligned","Long (prolonged)"))))</f>
        <v>No data</v>
      </c>
      <c r="J32" s="233" t="str">
        <f aca="false">IF($I32="No data","",IF($I32="Unresolved (never &lt;20%)","Never thins below 20% in window — check maturity / very high persistence",IF($I32="Long (prolonged)",IF($F32&gt;=MEDIAN('Program List'!$E$2:$E$42),"Long program — tail plausibly structural (part-time pacing)","Tail exceeds program length — check churn / stop-outs / slow progression"),IF($I32="Short",IF($D32&gt;=0.7,"Fast movers — likely quick completion","Short tail + weak early retention — check early dropout"),"Tail matches program length"))))</f>
        <v/>
      </c>
      <c r="K32" s="234" t="str">
        <f aca="false">IF(OR($I32="Unresolved (never &lt;20%)",AND($I32="Long (prolonged)",$F32&lt;MEDIAN('Program List'!$E$2:$E$42)),AND($I32="Short",ISNUMBER($D32),$D32&lt;0.7)),"⚠ check","")</f>
        <v/>
      </c>
    </row>
    <row r="33" customFormat="false" ht="28.35" hidden="false" customHeight="false" outlineLevel="0" collapsed="false">
      <c r="A33" s="211" t="str">
        <f aca="false">'Program List'!A17</f>
        <v>M518</v>
      </c>
      <c r="B33" s="212" t="str">
        <f aca="false">'Program List'!B17</f>
        <v>Master of Environmental Science: Hydrology and Water Security</v>
      </c>
      <c r="C33" s="213" t="n">
        <f aca="false">IFERROR(IF(OR(NOT(ISNUMBER(INDEX('Method A - Summary'!$C:$C,MATCH($A33,'Method A - Summary'!$A:$A,0)))),INDEX('Method A - Summary'!$C:$C,MATCH($A33,'Method A - Summary'!$A:$A,0))=0),"—",INDEX('Method A - Summary'!$C:$C,MATCH($A33,'Method A - Summary'!$A:$A,0))),"—")</f>
        <v>254</v>
      </c>
      <c r="D33" s="235" t="n">
        <f aca="false">IF(ISNUMBER($C33),INDEX('Method A - Summary'!$E:$E,MATCH($A33,'Method A - Summary'!$A:$A,0)),"—")</f>
        <v>0.724409448818898</v>
      </c>
      <c r="E33" s="213" t="n">
        <f aca="false">IF(ISNUMBER($C33),INDEX('Method A - Summary'!$K:$K,MATCH($A33,'Method A - Summary'!$A:$A,0)),"—")</f>
        <v>8</v>
      </c>
      <c r="F33" s="213" t="n">
        <f aca="false">INDEX('Program List'!$E:$E,MATCH($A33,'Program List'!$A:$A,0))</f>
        <v>30</v>
      </c>
      <c r="G33" s="213" t="n">
        <f aca="false">ROUNDUP($F33/$B$4,0)</f>
        <v>5</v>
      </c>
      <c r="H33" s="236" t="n">
        <f aca="false">IF(AND(ISNUMBER($C33),ISNUMBER($E33)),$E33/$G33,"—")</f>
        <v>1.6</v>
      </c>
      <c r="I33" s="237" t="str">
        <f aca="false">IF(NOT(ISNUMBER($C33)),"No data",IF(NOT(ISNUMBER($E33)),"Unresolved (never &lt;20%)",IF($H33&lt;0.75,"Short",IF($H33&lt;=1.25,"Aligned","Long (prolonged)"))))</f>
        <v>Long (prolonged)</v>
      </c>
      <c r="J33" s="238" t="str">
        <f aca="false">IF($I33="No data","",IF($I33="Unresolved (never &lt;20%)","Never thins below 20% in window — check maturity / very high persistence",IF($I33="Long (prolonged)",IF($F33&gt;=MEDIAN('Program List'!$E$2:$E$42),"Long program — tail plausibly structural (part-time pacing)","Tail exceeds program length — check churn / stop-outs / slow progression"),IF($I33="Short",IF($D33&gt;=0.7,"Fast movers — likely quick completion","Short tail + weak early retention — check early dropout"),"Tail matches program length"))))</f>
        <v>Tail exceeds program length — check churn / stop-outs / slow progression</v>
      </c>
      <c r="K33" s="239" t="str">
        <f aca="false">IF(OR($I33="Unresolved (never &lt;20%)",AND($I33="Long (prolonged)",$F33&lt;MEDIAN('Program List'!$E$2:$E$42)),AND($I33="Short",ISNUMBER($D33),$D33&lt;0.7)),"⚠ check","")</f>
        <v>⚠ check</v>
      </c>
    </row>
    <row r="34" customFormat="false" ht="15" hidden="false" customHeight="false" outlineLevel="0" collapsed="false">
      <c r="A34" s="207" t="str">
        <f aca="false">'Program List'!A18</f>
        <v>M368</v>
      </c>
      <c r="B34" s="208" t="str">
        <f aca="false">'Program List'!B18</f>
        <v>Master of Legal Studies - Energy</v>
      </c>
      <c r="C34" s="209" t="n">
        <f aca="false">IFERROR(IF(OR(NOT(ISNUMBER(INDEX('Method A - Summary'!$C:$C,MATCH($A34,'Method A - Summary'!$A:$A,0)))),INDEX('Method A - Summary'!$C:$C,MATCH($A34,'Method A - Summary'!$A:$A,0))=0),"—",INDEX('Method A - Summary'!$C:$C,MATCH($A34,'Method A - Summary'!$A:$A,0))),"—")</f>
        <v>82</v>
      </c>
      <c r="D34" s="230" t="n">
        <f aca="false">IF(ISNUMBER($C34),INDEX('Method A - Summary'!$E:$E,MATCH($A34,'Method A - Summary'!$A:$A,0)),"—")</f>
        <v>0.707317073170732</v>
      </c>
      <c r="E34" s="209" t="n">
        <f aca="false">IF(ISNUMBER($C34),INDEX('Method A - Summary'!$K:$K,MATCH($A34,'Method A - Summary'!$A:$A,0)),"—")</f>
        <v>5</v>
      </c>
      <c r="F34" s="209" t="n">
        <f aca="false">INDEX('Program List'!$E:$E,MATCH($A34,'Program List'!$A:$A,0))</f>
        <v>32</v>
      </c>
      <c r="G34" s="209" t="n">
        <f aca="false">ROUNDUP($F34/$B$4,0)</f>
        <v>6</v>
      </c>
      <c r="H34" s="231" t="n">
        <f aca="false">IF(AND(ISNUMBER($C34),ISNUMBER($E34)),$E34/$G34,"—")</f>
        <v>0.833333333333333</v>
      </c>
      <c r="I34" s="232" t="str">
        <f aca="false">IF(NOT(ISNUMBER($C34)),"No data",IF(NOT(ISNUMBER($E34)),"Unresolved (never &lt;20%)",IF($H34&lt;0.75,"Short",IF($H34&lt;=1.25,"Aligned","Long (prolonged)"))))</f>
        <v>Aligned</v>
      </c>
      <c r="J34" s="233" t="str">
        <f aca="false">IF($I34="No data","",IF($I34="Unresolved (never &lt;20%)","Never thins below 20% in window — check maturity / very high persistence",IF($I34="Long (prolonged)",IF($F34&gt;=MEDIAN('Program List'!$E$2:$E$42),"Long program — tail plausibly structural (part-time pacing)","Tail exceeds program length — check churn / stop-outs / slow progression"),IF($I34="Short",IF($D34&gt;=0.7,"Fast movers — likely quick completion","Short tail + weak early retention — check early dropout"),"Tail matches program length"))))</f>
        <v>Tail matches program length</v>
      </c>
      <c r="K34" s="234" t="str">
        <f aca="false">IF(OR($I34="Unresolved (never &lt;20%)",AND($I34="Long (prolonged)",$F34&lt;MEDIAN('Program List'!$E$2:$E$42)),AND($I34="Short",ISNUMBER($D34),$D34&lt;0.7)),"⚠ check","")</f>
        <v/>
      </c>
    </row>
    <row r="35" customFormat="false" ht="15" hidden="false" customHeight="false" outlineLevel="0" collapsed="false">
      <c r="A35" s="211" t="str">
        <f aca="false">'Program List'!A19</f>
        <v>M636</v>
      </c>
      <c r="B35" s="212" t="str">
        <f aca="false">'Program List'!B19</f>
        <v>Master of Legal Studies - General</v>
      </c>
      <c r="C35" s="213" t="str">
        <f aca="false">IFERROR(IF(OR(NOT(ISNUMBER(INDEX('Method A - Summary'!$C:$C,MATCH($A35,'Method A - Summary'!$A:$A,0)))),INDEX('Method A - Summary'!$C:$C,MATCH($A35,'Method A - Summary'!$A:$A,0))=0),"—",INDEX('Method A - Summary'!$C:$C,MATCH($A35,'Method A - Summary'!$A:$A,0))),"—")</f>
        <v>—</v>
      </c>
      <c r="D35" s="235" t="str">
        <f aca="false">IF(ISNUMBER($C35),INDEX('Method A - Summary'!$E:$E,MATCH($A35,'Method A - Summary'!$A:$A,0)),"—")</f>
        <v>—</v>
      </c>
      <c r="E35" s="213" t="str">
        <f aca="false">IF(ISNUMBER($C35),INDEX('Method A - Summary'!$K:$K,MATCH($A35,'Method A - Summary'!$A:$A,0)),"—")</f>
        <v>—</v>
      </c>
      <c r="F35" s="213" t="n">
        <f aca="false">INDEX('Program List'!$E:$E,MATCH($A35,'Program List'!$A:$A,0))</f>
        <v>32</v>
      </c>
      <c r="G35" s="213" t="n">
        <f aca="false">ROUNDUP($F35/$B$4,0)</f>
        <v>6</v>
      </c>
      <c r="H35" s="236" t="str">
        <f aca="false">IF(AND(ISNUMBER($C35),ISNUMBER($E35)),$E35/$G35,"—")</f>
        <v>—</v>
      </c>
      <c r="I35" s="237" t="str">
        <f aca="false">IF(NOT(ISNUMBER($C35)),"No data",IF(NOT(ISNUMBER($E35)),"Unresolved (never &lt;20%)",IF($H35&lt;0.75,"Short",IF($H35&lt;=1.25,"Aligned","Long (prolonged)"))))</f>
        <v>No data</v>
      </c>
      <c r="J35" s="238" t="str">
        <f aca="false">IF($I35="No data","",IF($I35="Unresolved (never &lt;20%)","Never thins below 20% in window — check maturity / very high persistence",IF($I35="Long (prolonged)",IF($F35&gt;=MEDIAN('Program List'!$E$2:$E$42),"Long program — tail plausibly structural (part-time pacing)","Tail exceeds program length — check churn / stop-outs / slow progression"),IF($I35="Short",IF($D35&gt;=0.7,"Fast movers — likely quick completion","Short tail + weak early retention — check early dropout"),"Tail matches program length"))))</f>
        <v/>
      </c>
      <c r="K35" s="239" t="str">
        <f aca="false">IF(OR($I35="Unresolved (never &lt;20%)",AND($I35="Long (prolonged)",$F35&lt;MEDIAN('Program List'!$E$2:$E$42)),AND($I35="Short",ISNUMBER($D35),$D35&lt;0.7)),"⚠ check","")</f>
        <v/>
      </c>
    </row>
    <row r="36" customFormat="false" ht="15" hidden="false" customHeight="false" outlineLevel="0" collapsed="false">
      <c r="A36" s="207" t="str">
        <f aca="false">'Program List'!A20</f>
        <v>M503</v>
      </c>
      <c r="B36" s="208" t="str">
        <f aca="false">'Program List'!B20</f>
        <v>Master of Legal Studies - Healthcare Law</v>
      </c>
      <c r="C36" s="209" t="n">
        <f aca="false">IFERROR(IF(OR(NOT(ISNUMBER(INDEX('Method A - Summary'!$C:$C,MATCH($A36,'Method A - Summary'!$A:$A,0)))),INDEX('Method A - Summary'!$C:$C,MATCH($A36,'Method A - Summary'!$A:$A,0))=0),"—",INDEX('Method A - Summary'!$C:$C,MATCH($A36,'Method A - Summary'!$A:$A,0))),"—")</f>
        <v>428</v>
      </c>
      <c r="D36" s="230" t="n">
        <f aca="false">IF(ISNUMBER($C36),INDEX('Method A - Summary'!$E:$E,MATCH($A36,'Method A - Summary'!$A:$A,0)),"—")</f>
        <v>0.733644859813084</v>
      </c>
      <c r="E36" s="209" t="n">
        <f aca="false">IF(ISNUMBER($C36),INDEX('Method A - Summary'!$K:$K,MATCH($A36,'Method A - Summary'!$A:$A,0)),"—")</f>
        <v>6</v>
      </c>
      <c r="F36" s="209" t="n">
        <f aca="false">INDEX('Program List'!$E:$E,MATCH($A36,'Program List'!$A:$A,0))</f>
        <v>32</v>
      </c>
      <c r="G36" s="209" t="n">
        <f aca="false">ROUNDUP($F36/$B$4,0)</f>
        <v>6</v>
      </c>
      <c r="H36" s="231" t="n">
        <f aca="false">IF(AND(ISNUMBER($C36),ISNUMBER($E36)),$E36/$G36,"—")</f>
        <v>1</v>
      </c>
      <c r="I36" s="232" t="str">
        <f aca="false">IF(NOT(ISNUMBER($C36)),"No data",IF(NOT(ISNUMBER($E36)),"Unresolved (never &lt;20%)",IF($H36&lt;0.75,"Short",IF($H36&lt;=1.25,"Aligned","Long (prolonged)"))))</f>
        <v>Aligned</v>
      </c>
      <c r="J36" s="233" t="str">
        <f aca="false">IF($I36="No data","",IF($I36="Unresolved (never &lt;20%)","Never thins below 20% in window — check maturity / very high persistence",IF($I36="Long (prolonged)",IF($F36&gt;=MEDIAN('Program List'!$E$2:$E$42),"Long program — tail plausibly structural (part-time pacing)","Tail exceeds program length — check churn / stop-outs / slow progression"),IF($I36="Short",IF($D36&gt;=0.7,"Fast movers — likely quick completion","Short tail + weak early retention — check early dropout"),"Tail matches program length"))))</f>
        <v>Tail matches program length</v>
      </c>
      <c r="K36" s="234" t="str">
        <f aca="false">IF(OR($I36="Unresolved (never &lt;20%)",AND($I36="Long (prolonged)",$F36&lt;MEDIAN('Program List'!$E$2:$E$42)),AND($I36="Short",ISNUMBER($D36),$D36&lt;0.7)),"⚠ check","")</f>
        <v/>
      </c>
    </row>
    <row r="37" customFormat="false" ht="15" hidden="false" customHeight="false" outlineLevel="0" collapsed="false">
      <c r="A37" s="211" t="str">
        <f aca="false">'Program List'!A21</f>
        <v>M522</v>
      </c>
      <c r="B37" s="212" t="str">
        <f aca="false">'Program List'!B21</f>
        <v>Master of Legal Studies - Indigenous Peoples Law</v>
      </c>
      <c r="C37" s="213" t="n">
        <f aca="false">IFERROR(IF(OR(NOT(ISNUMBER(INDEX('Method A - Summary'!$C:$C,MATCH($A37,'Method A - Summary'!$A:$A,0)))),INDEX('Method A - Summary'!$C:$C,MATCH($A37,'Method A - Summary'!$A:$A,0))=0),"—",INDEX('Method A - Summary'!$C:$C,MATCH($A37,'Method A - Summary'!$A:$A,0))),"—")</f>
        <v>566</v>
      </c>
      <c r="D37" s="235" t="n">
        <f aca="false">IF(ISNUMBER($C37),INDEX('Method A - Summary'!$E:$E,MATCH($A37,'Method A - Summary'!$A:$A,0)),"—")</f>
        <v>0.678445229681979</v>
      </c>
      <c r="E37" s="213" t="n">
        <f aca="false">IF(ISNUMBER($C37),INDEX('Method A - Summary'!$K:$K,MATCH($A37,'Method A - Summary'!$A:$A,0)),"—")</f>
        <v>6</v>
      </c>
      <c r="F37" s="213" t="n">
        <f aca="false">INDEX('Program List'!$E:$E,MATCH($A37,'Program List'!$A:$A,0))</f>
        <v>33</v>
      </c>
      <c r="G37" s="213" t="n">
        <f aca="false">ROUNDUP($F37/$B$4,0)</f>
        <v>6</v>
      </c>
      <c r="H37" s="236" t="n">
        <f aca="false">IF(AND(ISNUMBER($C37),ISNUMBER($E37)),$E37/$G37,"—")</f>
        <v>1</v>
      </c>
      <c r="I37" s="237" t="str">
        <f aca="false">IF(NOT(ISNUMBER($C37)),"No data",IF(NOT(ISNUMBER($E37)),"Unresolved (never &lt;20%)",IF($H37&lt;0.75,"Short",IF($H37&lt;=1.25,"Aligned","Long (prolonged)"))))</f>
        <v>Aligned</v>
      </c>
      <c r="J37" s="238" t="str">
        <f aca="false">IF($I37="No data","",IF($I37="Unresolved (never &lt;20%)","Never thins below 20% in window — check maturity / very high persistence",IF($I37="Long (prolonged)",IF($F37&gt;=MEDIAN('Program List'!$E$2:$E$42),"Long program — tail plausibly structural (part-time pacing)","Tail exceeds program length — check churn / stop-outs / slow progression"),IF($I37="Short",IF($D37&gt;=0.7,"Fast movers — likely quick completion","Short tail + weak early retention — check early dropout"),"Tail matches program length"))))</f>
        <v>Tail matches program length</v>
      </c>
      <c r="K37" s="239" t="str">
        <f aca="false">IF(OR($I37="Unresolved (never &lt;20%)",AND($I37="Long (prolonged)",$F37&lt;MEDIAN('Program List'!$E$2:$E$42)),AND($I37="Short",ISNUMBER($D37),$D37&lt;0.7)),"⚠ check","")</f>
        <v/>
      </c>
    </row>
    <row r="38" customFormat="false" ht="15" hidden="false" customHeight="false" outlineLevel="0" collapsed="false">
      <c r="A38" s="207" t="str">
        <f aca="false">'Program List'!A22</f>
        <v>M589</v>
      </c>
      <c r="B38" s="208" t="str">
        <f aca="false">'Program List'!B22</f>
        <v>Master of Legal Studies - International Business</v>
      </c>
      <c r="C38" s="209" t="n">
        <f aca="false">IFERROR(IF(OR(NOT(ISNUMBER(INDEX('Method A - Summary'!$C:$C,MATCH($A38,'Method A - Summary'!$A:$A,0)))),INDEX('Method A - Summary'!$C:$C,MATCH($A38,'Method A - Summary'!$A:$A,0))=0),"—",INDEX('Method A - Summary'!$C:$C,MATCH($A38,'Method A - Summary'!$A:$A,0))),"—")</f>
        <v>68</v>
      </c>
      <c r="D38" s="230" t="n">
        <f aca="false">IF(ISNUMBER($C38),INDEX('Method A - Summary'!$E:$E,MATCH($A38,'Method A - Summary'!$A:$A,0)),"—")</f>
        <v>0.705882352941177</v>
      </c>
      <c r="E38" s="209" t="n">
        <f aca="false">IF(ISNUMBER($C38),INDEX('Method A - Summary'!$K:$K,MATCH($A38,'Method A - Summary'!$A:$A,0)),"—")</f>
        <v>6</v>
      </c>
      <c r="F38" s="209" t="n">
        <f aca="false">INDEX('Program List'!$E:$E,MATCH($A38,'Program List'!$A:$A,0))</f>
        <v>32</v>
      </c>
      <c r="G38" s="209" t="n">
        <f aca="false">ROUNDUP($F38/$B$4,0)</f>
        <v>6</v>
      </c>
      <c r="H38" s="231" t="n">
        <f aca="false">IF(AND(ISNUMBER($C38),ISNUMBER($E38)),$E38/$G38,"—")</f>
        <v>1</v>
      </c>
      <c r="I38" s="232" t="str">
        <f aca="false">IF(NOT(ISNUMBER($C38)),"No data",IF(NOT(ISNUMBER($E38)),"Unresolved (never &lt;20%)",IF($H38&lt;0.75,"Short",IF($H38&lt;=1.25,"Aligned","Long (prolonged)"))))</f>
        <v>Aligned</v>
      </c>
      <c r="J38" s="233" t="str">
        <f aca="false">IF($I38="No data","",IF($I38="Unresolved (never &lt;20%)","Never thins below 20% in window — check maturity / very high persistence",IF($I38="Long (prolonged)",IF($F38&gt;=MEDIAN('Program List'!$E$2:$E$42),"Long program — tail plausibly structural (part-time pacing)","Tail exceeds program length — check churn / stop-outs / slow progression"),IF($I38="Short",IF($D38&gt;=0.7,"Fast movers — likely quick completion","Short tail + weak early retention — check early dropout"),"Tail matches program length"))))</f>
        <v>Tail matches program length</v>
      </c>
      <c r="K38" s="234" t="str">
        <f aca="false">IF(OR($I38="Unresolved (never &lt;20%)",AND($I38="Long (prolonged)",$F38&lt;MEDIAN('Program List'!$E$2:$E$42)),AND($I38="Short",ISNUMBER($D38),$D38&lt;0.7)),"⚠ check","")</f>
        <v/>
      </c>
    </row>
    <row r="39" customFormat="false" ht="15" hidden="false" customHeight="false" outlineLevel="0" collapsed="false">
      <c r="A39" s="211" t="str">
        <f aca="false">'Program List'!A23</f>
        <v>M029</v>
      </c>
      <c r="B39" s="212" t="str">
        <f aca="false">'Program List'!B23</f>
        <v>Master of Science in Applied Computing</v>
      </c>
      <c r="C39" s="213" t="str">
        <f aca="false">IFERROR(IF(OR(NOT(ISNUMBER(INDEX('Method A - Summary'!$C:$C,MATCH($A39,'Method A - Summary'!$A:$A,0)))),INDEX('Method A - Summary'!$C:$C,MATCH($A39,'Method A - Summary'!$A:$A,0))=0),"—",INDEX('Method A - Summary'!$C:$C,MATCH($A39,'Method A - Summary'!$A:$A,0))),"—")</f>
        <v>—</v>
      </c>
      <c r="D39" s="235" t="str">
        <f aca="false">IF(ISNUMBER($C39),INDEX('Method A - Summary'!$E:$E,MATCH($A39,'Method A - Summary'!$A:$A,0)),"—")</f>
        <v>—</v>
      </c>
      <c r="E39" s="213" t="str">
        <f aca="false">IF(ISNUMBER($C39),INDEX('Method A - Summary'!$K:$K,MATCH($A39,'Method A - Summary'!$A:$A,0)),"—")</f>
        <v>—</v>
      </c>
      <c r="F39" s="213" t="n">
        <f aca="false">INDEX('Program List'!$E:$E,MATCH($A39,'Program List'!$A:$A,0))</f>
        <v>30</v>
      </c>
      <c r="G39" s="213" t="n">
        <f aca="false">ROUNDUP($F39/$B$4,0)</f>
        <v>5</v>
      </c>
      <c r="H39" s="236" t="str">
        <f aca="false">IF(AND(ISNUMBER($C39),ISNUMBER($E39)),$E39/$G39,"—")</f>
        <v>—</v>
      </c>
      <c r="I39" s="237" t="str">
        <f aca="false">IF(NOT(ISNUMBER($C39)),"No data",IF(NOT(ISNUMBER($E39)),"Unresolved (never &lt;20%)",IF($H39&lt;0.75,"Short",IF($H39&lt;=1.25,"Aligned","Long (prolonged)"))))</f>
        <v>No data</v>
      </c>
      <c r="J39" s="238" t="str">
        <f aca="false">IF($I39="No data","",IF($I39="Unresolved (never &lt;20%)","Never thins below 20% in window — check maturity / very high persistence",IF($I39="Long (prolonged)",IF($F39&gt;=MEDIAN('Program List'!$E$2:$E$42),"Long program — tail plausibly structural (part-time pacing)","Tail exceeds program length — check churn / stop-outs / slow progression"),IF($I39="Short",IF($D39&gt;=0.7,"Fast movers — likely quick completion","Short tail + weak early retention — check early dropout"),"Tail matches program length"))))</f>
        <v/>
      </c>
      <c r="K39" s="239" t="str">
        <f aca="false">IF(OR($I39="Unresolved (never &lt;20%)",AND($I39="Long (prolonged)",$F39&lt;MEDIAN('Program List'!$E$2:$E$42)),AND($I39="Short",ISNUMBER($D39),$D39&lt;0.7)),"⚠ check","")</f>
        <v/>
      </c>
    </row>
    <row r="40" customFormat="false" ht="28.35" hidden="false" customHeight="false" outlineLevel="0" collapsed="false">
      <c r="A40" s="207" t="str">
        <f aca="false">'Program List'!A24</f>
        <v>M035</v>
      </c>
      <c r="B40" s="208" t="str">
        <f aca="false">'Program List'!B24</f>
        <v>Master of Science in Applied Statistics</v>
      </c>
      <c r="C40" s="209" t="n">
        <f aca="false">IFERROR(IF(OR(NOT(ISNUMBER(INDEX('Method A - Summary'!$C:$C,MATCH($A40,'Method A - Summary'!$A:$A,0)))),INDEX('Method A - Summary'!$C:$C,MATCH($A40,'Method A - Summary'!$A:$A,0))=0),"—",INDEX('Method A - Summary'!$C:$C,MATCH($A40,'Method A - Summary'!$A:$A,0))),"—")</f>
        <v>49</v>
      </c>
      <c r="D40" s="230" t="n">
        <f aca="false">IF(ISNUMBER($C40),INDEX('Method A - Summary'!$E:$E,MATCH($A40,'Method A - Summary'!$A:$A,0)),"—")</f>
        <v>0.428571428571429</v>
      </c>
      <c r="E40" s="209" t="n">
        <f aca="false">IF(ISNUMBER($C40),INDEX('Method A - Summary'!$K:$K,MATCH($A40,'Method A - Summary'!$A:$A,0)),"—")</f>
        <v>8</v>
      </c>
      <c r="F40" s="209" t="n">
        <f aca="false">INDEX('Program List'!$E:$E,MATCH($A40,'Program List'!$A:$A,0))</f>
        <v>30</v>
      </c>
      <c r="G40" s="209" t="n">
        <f aca="false">ROUNDUP($F40/$B$4,0)</f>
        <v>5</v>
      </c>
      <c r="H40" s="231" t="n">
        <f aca="false">IF(AND(ISNUMBER($C40),ISNUMBER($E40)),$E40/$G40,"—")</f>
        <v>1.6</v>
      </c>
      <c r="I40" s="232" t="str">
        <f aca="false">IF(NOT(ISNUMBER($C40)),"No data",IF(NOT(ISNUMBER($E40)),"Unresolved (never &lt;20%)",IF($H40&lt;0.75,"Short",IF($H40&lt;=1.25,"Aligned","Long (prolonged)"))))</f>
        <v>Long (prolonged)</v>
      </c>
      <c r="J40" s="233" t="str">
        <f aca="false">IF($I40="No data","",IF($I40="Unresolved (never &lt;20%)","Never thins below 20% in window — check maturity / very high persistence",IF($I40="Long (prolonged)",IF($F40&gt;=MEDIAN('Program List'!$E$2:$E$42),"Long program — tail plausibly structural (part-time pacing)","Tail exceeds program length — check churn / stop-outs / slow progression"),IF($I40="Short",IF($D40&gt;=0.7,"Fast movers — likely quick completion","Short tail + weak early retention — check early dropout"),"Tail matches program length"))))</f>
        <v>Tail exceeds program length — check churn / stop-outs / slow progression</v>
      </c>
      <c r="K40" s="234" t="str">
        <f aca="false">IF(OR($I40="Unresolved (never &lt;20%)",AND($I40="Long (prolonged)",$F40&lt;MEDIAN('Program List'!$E$2:$E$42)),AND($I40="Short",ISNUMBER($D40),$D40&lt;0.7)),"⚠ check","")</f>
        <v>⚠ check</v>
      </c>
    </row>
    <row r="41" customFormat="false" ht="15" hidden="false" customHeight="false" outlineLevel="0" collapsed="false">
      <c r="A41" s="211" t="str">
        <f aca="false">'Program List'!A25</f>
        <v>M145</v>
      </c>
      <c r="B41" s="212" t="str">
        <f aca="false">'Program List'!B25</f>
        <v>Master of Science in Business Analytics</v>
      </c>
      <c r="C41" s="213" t="n">
        <f aca="false">IFERROR(IF(OR(NOT(ISNUMBER(INDEX('Method A - Summary'!$C:$C,MATCH($A41,'Method A - Summary'!$A:$A,0)))),INDEX('Method A - Summary'!$C:$C,MATCH($A41,'Method A - Summary'!$A:$A,0))=0),"—",INDEX('Method A - Summary'!$C:$C,MATCH($A41,'Method A - Summary'!$A:$A,0))),"—")</f>
        <v>77</v>
      </c>
      <c r="D41" s="235" t="n">
        <f aca="false">IF(ISNUMBER($C41),INDEX('Method A - Summary'!$E:$E,MATCH($A41,'Method A - Summary'!$A:$A,0)),"—")</f>
        <v>0.61038961038961</v>
      </c>
      <c r="E41" s="213" t="n">
        <f aca="false">IF(ISNUMBER($C41),INDEX('Method A - Summary'!$K:$K,MATCH($A41,'Method A - Summary'!$A:$A,0)),"—")</f>
        <v>6</v>
      </c>
      <c r="F41" s="213" t="n">
        <f aca="false">INDEX('Program List'!$E:$E,MATCH($A41,'Program List'!$A:$A,0))</f>
        <v>32</v>
      </c>
      <c r="G41" s="213" t="n">
        <f aca="false">ROUNDUP($F41/$B$4,0)</f>
        <v>6</v>
      </c>
      <c r="H41" s="236" t="n">
        <f aca="false">IF(AND(ISNUMBER($C41),ISNUMBER($E41)),$E41/$G41,"—")</f>
        <v>1</v>
      </c>
      <c r="I41" s="237" t="str">
        <f aca="false">IF(NOT(ISNUMBER($C41)),"No data",IF(NOT(ISNUMBER($E41)),"Unresolved (never &lt;20%)",IF($H41&lt;0.75,"Short",IF($H41&lt;=1.25,"Aligned","Long (prolonged)"))))</f>
        <v>Aligned</v>
      </c>
      <c r="J41" s="238" t="str">
        <f aca="false">IF($I41="No data","",IF($I41="Unresolved (never &lt;20%)","Never thins below 20% in window — check maturity / very high persistence",IF($I41="Long (prolonged)",IF($F41&gt;=MEDIAN('Program List'!$E$2:$E$42),"Long program — tail plausibly structural (part-time pacing)","Tail exceeds program length — check churn / stop-outs / slow progression"),IF($I41="Short",IF($D41&gt;=0.7,"Fast movers — likely quick completion","Short tail + weak early retention — check early dropout"),"Tail matches program length"))))</f>
        <v>Tail matches program length</v>
      </c>
      <c r="K41" s="239" t="str">
        <f aca="false">IF(OR($I41="Unresolved (never &lt;20%)",AND($I41="Long (prolonged)",$F41&lt;MEDIAN('Program List'!$E$2:$E$42)),AND($I41="Short",ISNUMBER($D41),$D41&lt;0.7)),"⚠ check","")</f>
        <v/>
      </c>
    </row>
    <row r="42" customFormat="false" ht="28.35" hidden="false" customHeight="false" outlineLevel="0" collapsed="false">
      <c r="A42" s="207" t="str">
        <f aca="false">'Program List'!A26</f>
        <v>M191</v>
      </c>
      <c r="B42" s="208" t="str">
        <f aca="false">'Program List'!B26</f>
        <v>Master of Science in Civil Engineering</v>
      </c>
      <c r="C42" s="209" t="n">
        <f aca="false">IFERROR(IF(OR(NOT(ISNUMBER(INDEX('Method A - Summary'!$C:$C,MATCH($A42,'Method A - Summary'!$A:$A,0)))),INDEX('Method A - Summary'!$C:$C,MATCH($A42,'Method A - Summary'!$A:$A,0))=0),"—",INDEX('Method A - Summary'!$C:$C,MATCH($A42,'Method A - Summary'!$A:$A,0))),"—")</f>
        <v>145</v>
      </c>
      <c r="D42" s="230" t="n">
        <f aca="false">IF(ISNUMBER($C42),INDEX('Method A - Summary'!$E:$E,MATCH($A42,'Method A - Summary'!$A:$A,0)),"—")</f>
        <v>0.83448275862069</v>
      </c>
      <c r="E42" s="209" t="n">
        <f aca="false">IF(ISNUMBER($C42),INDEX('Method A - Summary'!$K:$K,MATCH($A42,'Method A - Summary'!$A:$A,0)),"—")</f>
        <v>7</v>
      </c>
      <c r="F42" s="209" t="n">
        <f aca="false">INDEX('Program List'!$E:$E,MATCH($A42,'Program List'!$A:$A,0))</f>
        <v>30</v>
      </c>
      <c r="G42" s="209" t="n">
        <f aca="false">ROUNDUP($F42/$B$4,0)</f>
        <v>5</v>
      </c>
      <c r="H42" s="231" t="n">
        <f aca="false">IF(AND(ISNUMBER($C42),ISNUMBER($E42)),$E42/$G42,"—")</f>
        <v>1.4</v>
      </c>
      <c r="I42" s="232" t="str">
        <f aca="false">IF(NOT(ISNUMBER($C42)),"No data",IF(NOT(ISNUMBER($E42)),"Unresolved (never &lt;20%)",IF($H42&lt;0.75,"Short",IF($H42&lt;=1.25,"Aligned","Long (prolonged)"))))</f>
        <v>Long (prolonged)</v>
      </c>
      <c r="J42" s="233" t="str">
        <f aca="false">IF($I42="No data","",IF($I42="Unresolved (never &lt;20%)","Never thins below 20% in window — check maturity / very high persistence",IF($I42="Long (prolonged)",IF($F42&gt;=MEDIAN('Program List'!$E$2:$E$42),"Long program — tail plausibly structural (part-time pacing)","Tail exceeds program length — check churn / stop-outs / slow progression"),IF($I42="Short",IF($D42&gt;=0.7,"Fast movers — likely quick completion","Short tail + weak early retention — check early dropout"),"Tail matches program length"))))</f>
        <v>Tail exceeds program length — check churn / stop-outs / slow progression</v>
      </c>
      <c r="K42" s="234" t="str">
        <f aca="false">IF(OR($I42="Unresolved (never &lt;20%)",AND($I42="Long (prolonged)",$F42&lt;MEDIAN('Program List'!$E$2:$E$42)),AND($I42="Short",ISNUMBER($D42),$D42&lt;0.7)),"⚠ check","")</f>
        <v>⚠ check</v>
      </c>
    </row>
    <row r="43" customFormat="false" ht="28.35" hidden="false" customHeight="false" outlineLevel="0" collapsed="false">
      <c r="A43" s="211" t="str">
        <f aca="false">'Program List'!A27</f>
        <v>M260</v>
      </c>
      <c r="B43" s="212" t="str">
        <f aca="false">'Program List'!B27</f>
        <v>Master of Science in Criminal Justice</v>
      </c>
      <c r="C43" s="213" t="n">
        <f aca="false">IFERROR(IF(OR(NOT(ISNUMBER(INDEX('Method A - Summary'!$C:$C,MATCH($A43,'Method A - Summary'!$A:$A,0)))),INDEX('Method A - Summary'!$C:$C,MATCH($A43,'Method A - Summary'!$A:$A,0))=0),"—",INDEX('Method A - Summary'!$C:$C,MATCH($A43,'Method A - Summary'!$A:$A,0))),"—")</f>
        <v>218</v>
      </c>
      <c r="D43" s="235" t="n">
        <f aca="false">IF(ISNUMBER($C43),INDEX('Method A - Summary'!$E:$E,MATCH($A43,'Method A - Summary'!$A:$A,0)),"—")</f>
        <v>0.555045871559633</v>
      </c>
      <c r="E43" s="213" t="n">
        <f aca="false">IF(ISNUMBER($C43),INDEX('Method A - Summary'!$K:$K,MATCH($A43,'Method A - Summary'!$A:$A,0)),"—")</f>
        <v>8</v>
      </c>
      <c r="F43" s="213" t="n">
        <f aca="false">INDEX('Program List'!$E:$E,MATCH($A43,'Program List'!$A:$A,0))</f>
        <v>30</v>
      </c>
      <c r="G43" s="213" t="n">
        <f aca="false">ROUNDUP($F43/$B$4,0)</f>
        <v>5</v>
      </c>
      <c r="H43" s="236" t="n">
        <f aca="false">IF(AND(ISNUMBER($C43),ISNUMBER($E43)),$E43/$G43,"—")</f>
        <v>1.6</v>
      </c>
      <c r="I43" s="237" t="str">
        <f aca="false">IF(NOT(ISNUMBER($C43)),"No data",IF(NOT(ISNUMBER($E43)),"Unresolved (never &lt;20%)",IF($H43&lt;0.75,"Short",IF($H43&lt;=1.25,"Aligned","Long (prolonged)"))))</f>
        <v>Long (prolonged)</v>
      </c>
      <c r="J43" s="238" t="str">
        <f aca="false">IF($I43="No data","",IF($I43="Unresolved (never &lt;20%)","Never thins below 20% in window — check maturity / very high persistence",IF($I43="Long (prolonged)",IF($F43&gt;=MEDIAN('Program List'!$E$2:$E$42),"Long program — tail plausibly structural (part-time pacing)","Tail exceeds program length — check churn / stop-outs / slow progression"),IF($I43="Short",IF($D43&gt;=0.7,"Fast movers — likely quick completion","Short tail + weak early retention — check early dropout"),"Tail matches program length"))))</f>
        <v>Tail exceeds program length — check churn / stop-outs / slow progression</v>
      </c>
      <c r="K43" s="239" t="str">
        <f aca="false">IF(OR($I43="Unresolved (never &lt;20%)",AND($I43="Long (prolonged)",$F43&lt;MEDIAN('Program List'!$E$2:$E$42)),AND($I43="Short",ISNUMBER($D43),$D43&lt;0.7)),"⚠ check","")</f>
        <v>⚠ check</v>
      </c>
    </row>
    <row r="44" customFormat="false" ht="15" hidden="false" customHeight="false" outlineLevel="0" collapsed="false">
      <c r="A44" s="207" t="str">
        <f aca="false">'Program List'!A28</f>
        <v>M264</v>
      </c>
      <c r="B44" s="208" t="str">
        <f aca="false">'Program List'!B28</f>
        <v>Master of Science in Cybersecurity Leadership</v>
      </c>
      <c r="C44" s="209" t="str">
        <f aca="false">IFERROR(IF(OR(NOT(ISNUMBER(INDEX('Method A - Summary'!$C:$C,MATCH($A44,'Method A - Summary'!$A:$A,0)))),INDEX('Method A - Summary'!$C:$C,MATCH($A44,'Method A - Summary'!$A:$A,0))=0),"—",INDEX('Method A - Summary'!$C:$C,MATCH($A44,'Method A - Summary'!$A:$A,0))),"—")</f>
        <v>—</v>
      </c>
      <c r="D44" s="230" t="str">
        <f aca="false">IF(ISNUMBER($C44),INDEX('Method A - Summary'!$E:$E,MATCH($A44,'Method A - Summary'!$A:$A,0)),"—")</f>
        <v>—</v>
      </c>
      <c r="E44" s="209" t="str">
        <f aca="false">IF(ISNUMBER($C44),INDEX('Method A - Summary'!$K:$K,MATCH($A44,'Method A - Summary'!$A:$A,0)),"—")</f>
        <v>—</v>
      </c>
      <c r="F44" s="209" t="n">
        <f aca="false">INDEX('Program List'!$E:$E,MATCH($A44,'Program List'!$A:$A,0))</f>
        <v>30</v>
      </c>
      <c r="G44" s="209" t="n">
        <f aca="false">ROUNDUP($F44/$B$4,0)</f>
        <v>5</v>
      </c>
      <c r="H44" s="231" t="str">
        <f aca="false">IF(AND(ISNUMBER($C44),ISNUMBER($E44)),$E44/$G44,"—")</f>
        <v>—</v>
      </c>
      <c r="I44" s="232" t="str">
        <f aca="false">IF(NOT(ISNUMBER($C44)),"No data",IF(NOT(ISNUMBER($E44)),"Unresolved (never &lt;20%)",IF($H44&lt;0.75,"Short",IF($H44&lt;=1.25,"Aligned","Long (prolonged)"))))</f>
        <v>No data</v>
      </c>
      <c r="J44" s="233" t="str">
        <f aca="false">IF($I44="No data","",IF($I44="Unresolved (never &lt;20%)","Never thins below 20% in window — check maturity / very high persistence",IF($I44="Long (prolonged)",IF($F44&gt;=MEDIAN('Program List'!$E$2:$E$42),"Long program — tail plausibly structural (part-time pacing)","Tail exceeds program length — check churn / stop-outs / slow progression"),IF($I44="Short",IF($D44&gt;=0.7,"Fast movers — likely quick completion","Short tail + weak early retention — check early dropout"),"Tail matches program length"))))</f>
        <v/>
      </c>
      <c r="K44" s="234" t="str">
        <f aca="false">IF(OR($I44="Unresolved (never &lt;20%)",AND($I44="Long (prolonged)",$F44&lt;MEDIAN('Program List'!$E$2:$E$42)),AND($I44="Short",ISNUMBER($D44),$D44&lt;0.7)),"⚠ check","")</f>
        <v/>
      </c>
    </row>
    <row r="45" customFormat="false" ht="15" hidden="false" customHeight="false" outlineLevel="0" collapsed="false">
      <c r="A45" s="211" t="str">
        <f aca="false">'Program List'!A29</f>
        <v>M374</v>
      </c>
      <c r="B45" s="212" t="str">
        <f aca="false">'Program List'!B29</f>
        <v>Master of Science in Engineering Leadership and Management</v>
      </c>
      <c r="C45" s="213" t="n">
        <f aca="false">IFERROR(IF(OR(NOT(ISNUMBER(INDEX('Method A - Summary'!$C:$C,MATCH($A45,'Method A - Summary'!$A:$A,0)))),INDEX('Method A - Summary'!$C:$C,MATCH($A45,'Method A - Summary'!$A:$A,0))=0),"—",INDEX('Method A - Summary'!$C:$C,MATCH($A45,'Method A - Summary'!$A:$A,0))),"—")</f>
        <v>24</v>
      </c>
      <c r="D45" s="235" t="n">
        <f aca="false">IF(ISNUMBER($C45),INDEX('Method A - Summary'!$E:$E,MATCH($A45,'Method A - Summary'!$A:$A,0)),"—")</f>
        <v>0.791666666666667</v>
      </c>
      <c r="E45" s="213" t="n">
        <f aca="false">IF(ISNUMBER($C45),INDEX('Method A - Summary'!$K:$K,MATCH($A45,'Method A - Summary'!$A:$A,0)),"—")</f>
        <v>6</v>
      </c>
      <c r="F45" s="213" t="n">
        <f aca="false">INDEX('Program List'!$E:$E,MATCH($A45,'Program List'!$A:$A,0))</f>
        <v>30</v>
      </c>
      <c r="G45" s="213" t="n">
        <f aca="false">ROUNDUP($F45/$B$4,0)</f>
        <v>5</v>
      </c>
      <c r="H45" s="236" t="n">
        <f aca="false">IF(AND(ISNUMBER($C45),ISNUMBER($E45)),$E45/$G45,"—")</f>
        <v>1.2</v>
      </c>
      <c r="I45" s="237" t="str">
        <f aca="false">IF(NOT(ISNUMBER($C45)),"No data",IF(NOT(ISNUMBER($E45)),"Unresolved (never &lt;20%)",IF($H45&lt;0.75,"Short",IF($H45&lt;=1.25,"Aligned","Long (prolonged)"))))</f>
        <v>Aligned</v>
      </c>
      <c r="J45" s="238" t="str">
        <f aca="false">IF($I45="No data","",IF($I45="Unresolved (never &lt;20%)","Never thins below 20% in window — check maturity / very high persistence",IF($I45="Long (prolonged)",IF($F45&gt;=MEDIAN('Program List'!$E$2:$E$42),"Long program — tail plausibly structural (part-time pacing)","Tail exceeds program length — check churn / stop-outs / slow progression"),IF($I45="Short",IF($D45&gt;=0.7,"Fast movers — likely quick completion","Short tail + weak early retention — check early dropout"),"Tail matches program length"))))</f>
        <v>Tail matches program length</v>
      </c>
      <c r="K45" s="239" t="str">
        <f aca="false">IF(OR($I45="Unresolved (never &lt;20%)",AND($I45="Long (prolonged)",$F45&lt;MEDIAN('Program List'!$E$2:$E$42)),AND($I45="Short",ISNUMBER($D45),$D45&lt;0.7)),"⚠ check","")</f>
        <v/>
      </c>
    </row>
    <row r="46" customFormat="false" ht="15" hidden="false" customHeight="false" outlineLevel="0" collapsed="false">
      <c r="A46" s="207" t="str">
        <f aca="false">'Program List'!A30</f>
        <v>M435</v>
      </c>
      <c r="B46" s="208" t="str">
        <f aca="false">'Program List'!B30</f>
        <v>Master of Science in Finance</v>
      </c>
      <c r="C46" s="209" t="n">
        <f aca="false">IFERROR(IF(OR(NOT(ISNUMBER(INDEX('Method A - Summary'!$C:$C,MATCH($A46,'Method A - Summary'!$A:$A,0)))),INDEX('Method A - Summary'!$C:$C,MATCH($A46,'Method A - Summary'!$A:$A,0))=0),"—",INDEX('Method A - Summary'!$C:$C,MATCH($A46,'Method A - Summary'!$A:$A,0))),"—")</f>
        <v>262</v>
      </c>
      <c r="D46" s="230" t="n">
        <f aca="false">IF(ISNUMBER($C46),INDEX('Method A - Summary'!$E:$E,MATCH($A46,'Method A - Summary'!$A:$A,0)),"—")</f>
        <v>0.744274809160305</v>
      </c>
      <c r="E46" s="209" t="n">
        <f aca="false">IF(ISNUMBER($C46),INDEX('Method A - Summary'!$K:$K,MATCH($A46,'Method A - Summary'!$A:$A,0)),"—")</f>
        <v>6</v>
      </c>
      <c r="F46" s="209" t="n">
        <f aca="false">INDEX('Program List'!$E:$E,MATCH($A46,'Program List'!$A:$A,0))</f>
        <v>32</v>
      </c>
      <c r="G46" s="209" t="n">
        <f aca="false">ROUNDUP($F46/$B$4,0)</f>
        <v>6</v>
      </c>
      <c r="H46" s="231" t="n">
        <f aca="false">IF(AND(ISNUMBER($C46),ISNUMBER($E46)),$E46/$G46,"—")</f>
        <v>1</v>
      </c>
      <c r="I46" s="232" t="str">
        <f aca="false">IF(NOT(ISNUMBER($C46)),"No data",IF(NOT(ISNUMBER($E46)),"Unresolved (never &lt;20%)",IF($H46&lt;0.75,"Short",IF($H46&lt;=1.25,"Aligned","Long (prolonged)"))))</f>
        <v>Aligned</v>
      </c>
      <c r="J46" s="233" t="str">
        <f aca="false">IF($I46="No data","",IF($I46="Unresolved (never &lt;20%)","Never thins below 20% in window — check maturity / very high persistence",IF($I46="Long (prolonged)",IF($F46&gt;=MEDIAN('Program List'!$E$2:$E$42),"Long program — tail plausibly structural (part-time pacing)","Tail exceeds program length — check churn / stop-outs / slow progression"),IF($I46="Short",IF($D46&gt;=0.7,"Fast movers — likely quick completion","Short tail + weak early retention — check early dropout"),"Tail matches program length"))))</f>
        <v>Tail matches program length</v>
      </c>
      <c r="K46" s="234" t="str">
        <f aca="false">IF(OR($I46="Unresolved (never &lt;20%)",AND($I46="Long (prolonged)",$F46&lt;MEDIAN('Program List'!$E$2:$E$42)),AND($I46="Short",ISNUMBER($D46),$D46&lt;0.7)),"⚠ check","")</f>
        <v/>
      </c>
    </row>
    <row r="47" customFormat="false" ht="15" hidden="false" customHeight="false" outlineLevel="0" collapsed="false">
      <c r="A47" s="211" t="str">
        <f aca="false">'Program List'!A31</f>
        <v>M464</v>
      </c>
      <c r="B47" s="212" t="str">
        <f aca="false">'Program List'!B31</f>
        <v>Master of Science in Geospatial Technology</v>
      </c>
      <c r="C47" s="213" t="n">
        <f aca="false">IFERROR(IF(OR(NOT(ISNUMBER(INDEX('Method A - Summary'!$C:$C,MATCH($A47,'Method A - Summary'!$A:$A,0)))),INDEX('Method A - Summary'!$C:$C,MATCH($A47,'Method A - Summary'!$A:$A,0))=0),"—",INDEX('Method A - Summary'!$C:$C,MATCH($A47,'Method A - Summary'!$A:$A,0))),"—")</f>
        <v>103</v>
      </c>
      <c r="D47" s="235" t="n">
        <f aca="false">IF(ISNUMBER($C47),INDEX('Method A - Summary'!$E:$E,MATCH($A47,'Method A - Summary'!$A:$A,0)),"—")</f>
        <v>0.699029126213592</v>
      </c>
      <c r="E47" s="213" t="n">
        <f aca="false">IF(ISNUMBER($C47),INDEX('Method A - Summary'!$K:$K,MATCH($A47,'Method A - Summary'!$A:$A,0)),"—")</f>
        <v>7</v>
      </c>
      <c r="F47" s="213" t="n">
        <f aca="false">INDEX('Program List'!$E:$E,MATCH($A47,'Program List'!$A:$A,0))</f>
        <v>33</v>
      </c>
      <c r="G47" s="213" t="n">
        <f aca="false">ROUNDUP($F47/$B$4,0)</f>
        <v>6</v>
      </c>
      <c r="H47" s="236" t="n">
        <f aca="false">IF(AND(ISNUMBER($C47),ISNUMBER($E47)),$E47/$G47,"—")</f>
        <v>1.16666666666667</v>
      </c>
      <c r="I47" s="237" t="str">
        <f aca="false">IF(NOT(ISNUMBER($C47)),"No data",IF(NOT(ISNUMBER($E47)),"Unresolved (never &lt;20%)",IF($H47&lt;0.75,"Short",IF($H47&lt;=1.25,"Aligned","Long (prolonged)"))))</f>
        <v>Aligned</v>
      </c>
      <c r="J47" s="238" t="str">
        <f aca="false">IF($I47="No data","",IF($I47="Unresolved (never &lt;20%)","Never thins below 20% in window — check maturity / very high persistence",IF($I47="Long (prolonged)",IF($F47&gt;=MEDIAN('Program List'!$E$2:$E$42),"Long program — tail plausibly structural (part-time pacing)","Tail exceeds program length — check churn / stop-outs / slow progression"),IF($I47="Short",IF($D47&gt;=0.7,"Fast movers — likely quick completion","Short tail + weak early retention — check early dropout"),"Tail matches program length"))))</f>
        <v>Tail matches program length</v>
      </c>
      <c r="K47" s="239" t="str">
        <f aca="false">IF(OR($I47="Unresolved (never &lt;20%)",AND($I47="Long (prolonged)",$F47&lt;MEDIAN('Program List'!$E$2:$E$42)),AND($I47="Short",ISNUMBER($D47),$D47&lt;0.7)),"⚠ check","")</f>
        <v/>
      </c>
    </row>
    <row r="48" customFormat="false" ht="28.35" hidden="false" customHeight="false" outlineLevel="0" collapsed="false">
      <c r="A48" s="207" t="str">
        <f aca="false">'Program List'!A32</f>
        <v>M527</v>
      </c>
      <c r="B48" s="208" t="str">
        <f aca="false">'Program List'!B32</f>
        <v>Master of Science in Industrial and Systems Engineering</v>
      </c>
      <c r="C48" s="209" t="n">
        <f aca="false">IFERROR(IF(OR(NOT(ISNUMBER(INDEX('Method A - Summary'!$C:$C,MATCH($A48,'Method A - Summary'!$A:$A,0)))),INDEX('Method A - Summary'!$C:$C,MATCH($A48,'Method A - Summary'!$A:$A,0))=0),"—",INDEX('Method A - Summary'!$C:$C,MATCH($A48,'Method A - Summary'!$A:$A,0))),"—")</f>
        <v>91</v>
      </c>
      <c r="D48" s="230" t="n">
        <f aca="false">IF(ISNUMBER($C48),INDEX('Method A - Summary'!$E:$E,MATCH($A48,'Method A - Summary'!$A:$A,0)),"—")</f>
        <v>0.593406593406593</v>
      </c>
      <c r="E48" s="209" t="n">
        <f aca="false">IF(ISNUMBER($C48),INDEX('Method A - Summary'!$K:$K,MATCH($A48,'Method A - Summary'!$A:$A,0)),"—")</f>
        <v>8</v>
      </c>
      <c r="F48" s="209" t="n">
        <f aca="false">INDEX('Program List'!$E:$E,MATCH($A48,'Program List'!$A:$A,0))</f>
        <v>30</v>
      </c>
      <c r="G48" s="209" t="n">
        <f aca="false">ROUNDUP($F48/$B$4,0)</f>
        <v>5</v>
      </c>
      <c r="H48" s="231" t="n">
        <f aca="false">IF(AND(ISNUMBER($C48),ISNUMBER($E48)),$E48/$G48,"—")</f>
        <v>1.6</v>
      </c>
      <c r="I48" s="232" t="str">
        <f aca="false">IF(NOT(ISNUMBER($C48)),"No data",IF(NOT(ISNUMBER($E48)),"Unresolved (never &lt;20%)",IF($H48&lt;0.75,"Short",IF($H48&lt;=1.25,"Aligned","Long (prolonged)"))))</f>
        <v>Long (prolonged)</v>
      </c>
      <c r="J48" s="233" t="str">
        <f aca="false">IF($I48="No data","",IF($I48="Unresolved (never &lt;20%)","Never thins below 20% in window — check maturity / very high persistence",IF($I48="Long (prolonged)",IF($F48&gt;=MEDIAN('Program List'!$E$2:$E$42),"Long program — tail plausibly structural (part-time pacing)","Tail exceeds program length — check churn / stop-outs / slow progression"),IF($I48="Short",IF($D48&gt;=0.7,"Fast movers — likely quick completion","Short tail + weak early retention — check early dropout"),"Tail matches program length"))))</f>
        <v>Tail exceeds program length — check churn / stop-outs / slow progression</v>
      </c>
      <c r="K48" s="234" t="str">
        <f aca="false">IF(OR($I48="Unresolved (never &lt;20%)",AND($I48="Long (prolonged)",$F48&lt;MEDIAN('Program List'!$E$2:$E$42)),AND($I48="Short",ISNUMBER($D48),$D48&lt;0.7)),"⚠ check","")</f>
        <v>⚠ check</v>
      </c>
    </row>
    <row r="49" customFormat="false" ht="28.35" hidden="false" customHeight="false" outlineLevel="0" collapsed="false">
      <c r="A49" s="211" t="str">
        <f aca="false">'Program List'!A33</f>
        <v>M746</v>
      </c>
      <c r="B49" s="212" t="str">
        <f aca="false">'Program List'!B33</f>
        <v>Master of Science in Natural Gas Engineering and Management</v>
      </c>
      <c r="C49" s="213" t="n">
        <f aca="false">IFERROR(IF(OR(NOT(ISNUMBER(INDEX('Method A - Summary'!$C:$C,MATCH($A49,'Method A - Summary'!$A:$A,0)))),INDEX('Method A - Summary'!$C:$C,MATCH($A49,'Method A - Summary'!$A:$A,0))=0),"—",INDEX('Method A - Summary'!$C:$C,MATCH($A49,'Method A - Summary'!$A:$A,0))),"—")</f>
        <v>82</v>
      </c>
      <c r="D49" s="235" t="n">
        <f aca="false">IF(ISNUMBER($C49),INDEX('Method A - Summary'!$E:$E,MATCH($A49,'Method A - Summary'!$A:$A,0)),"—")</f>
        <v>0.658536585365854</v>
      </c>
      <c r="E49" s="213" t="n">
        <f aca="false">IF(ISNUMBER($C49),INDEX('Method A - Summary'!$K:$K,MATCH($A49,'Method A - Summary'!$A:$A,0)),"—")</f>
        <v>8</v>
      </c>
      <c r="F49" s="213" t="n">
        <f aca="false">INDEX('Program List'!$E:$E,MATCH($A49,'Program List'!$A:$A,0))</f>
        <v>30</v>
      </c>
      <c r="G49" s="213" t="n">
        <f aca="false">ROUNDUP($F49/$B$4,0)</f>
        <v>5</v>
      </c>
      <c r="H49" s="236" t="n">
        <f aca="false">IF(AND(ISNUMBER($C49),ISNUMBER($E49)),$E49/$G49,"—")</f>
        <v>1.6</v>
      </c>
      <c r="I49" s="237" t="str">
        <f aca="false">IF(NOT(ISNUMBER($C49)),"No data",IF(NOT(ISNUMBER($E49)),"Unresolved (never &lt;20%)",IF($H49&lt;0.75,"Short",IF($H49&lt;=1.25,"Aligned","Long (prolonged)"))))</f>
        <v>Long (prolonged)</v>
      </c>
      <c r="J49" s="238" t="str">
        <f aca="false">IF($I49="No data","",IF($I49="Unresolved (never &lt;20%)","Never thins below 20% in window — check maturity / very high persistence",IF($I49="Long (prolonged)",IF($F49&gt;=MEDIAN('Program List'!$E$2:$E$42),"Long program — tail plausibly structural (part-time pacing)","Tail exceeds program length — check churn / stop-outs / slow progression"),IF($I49="Short",IF($D49&gt;=0.7,"Fast movers — likely quick completion","Short tail + weak early retention — check early dropout"),"Tail matches program length"))))</f>
        <v>Tail exceeds program length — check churn / stop-outs / slow progression</v>
      </c>
      <c r="K49" s="239" t="str">
        <f aca="false">IF(OR($I49="Unresolved (never &lt;20%)",AND($I49="Long (prolonged)",$F49&lt;MEDIAN('Program List'!$E$2:$E$42)),AND($I49="Short",ISNUMBER($D49),$D49&lt;0.7)),"⚠ check","")</f>
        <v>⚠ check</v>
      </c>
    </row>
    <row r="50" customFormat="false" ht="15" hidden="false" customHeight="false" outlineLevel="0" collapsed="false">
      <c r="A50" s="207" t="str">
        <f aca="false">'Program List'!A34</f>
        <v>M861</v>
      </c>
      <c r="B50" s="208" t="str">
        <f aca="false">'Program List'!B34</f>
        <v>Master of Science in Supply Chain Management</v>
      </c>
      <c r="C50" s="209" t="n">
        <f aca="false">IFERROR(IF(OR(NOT(ISNUMBER(INDEX('Method A - Summary'!$C:$C,MATCH($A50,'Method A - Summary'!$A:$A,0)))),INDEX('Method A - Summary'!$C:$C,MATCH($A50,'Method A - Summary'!$A:$A,0))=0),"—",INDEX('Method A - Summary'!$C:$C,MATCH($A50,'Method A - Summary'!$A:$A,0))),"—")</f>
        <v>88</v>
      </c>
      <c r="D50" s="230" t="n">
        <f aca="false">IF(ISNUMBER($C50),INDEX('Method A - Summary'!$E:$E,MATCH($A50,'Method A - Summary'!$A:$A,0)),"—")</f>
        <v>0.818181818181818</v>
      </c>
      <c r="E50" s="209" t="n">
        <f aca="false">IF(ISNUMBER($C50),INDEX('Method A - Summary'!$K:$K,MATCH($A50,'Method A - Summary'!$A:$A,0)),"—")</f>
        <v>5</v>
      </c>
      <c r="F50" s="209" t="n">
        <f aca="false">INDEX('Program List'!$E:$E,MATCH($A50,'Program List'!$A:$A,0))</f>
        <v>32</v>
      </c>
      <c r="G50" s="209" t="n">
        <f aca="false">ROUNDUP($F50/$B$4,0)</f>
        <v>6</v>
      </c>
      <c r="H50" s="231" t="n">
        <f aca="false">IF(AND(ISNUMBER($C50),ISNUMBER($E50)),$E50/$G50,"—")</f>
        <v>0.833333333333333</v>
      </c>
      <c r="I50" s="232" t="str">
        <f aca="false">IF(NOT(ISNUMBER($C50)),"No data",IF(NOT(ISNUMBER($E50)),"Unresolved (never &lt;20%)",IF($H50&lt;0.75,"Short",IF($H50&lt;=1.25,"Aligned","Long (prolonged)"))))</f>
        <v>Aligned</v>
      </c>
      <c r="J50" s="233" t="str">
        <f aca="false">IF($I50="No data","",IF($I50="Unresolved (never &lt;20%)","Never thins below 20% in window — check maturity / very high persistence",IF($I50="Long (prolonged)",IF($F50&gt;=MEDIAN('Program List'!$E$2:$E$42),"Long program — tail plausibly structural (part-time pacing)","Tail exceeds program length — check churn / stop-outs / slow progression"),IF($I50="Short",IF($D50&gt;=0.7,"Fast movers — likely quick completion","Short tail + weak early retention — check early dropout"),"Tail matches program length"))))</f>
        <v>Tail matches program length</v>
      </c>
      <c r="K50" s="234" t="str">
        <f aca="false">IF(OR($I50="Unresolved (never &lt;20%)",AND($I50="Long (prolonged)",$F50&lt;MEDIAN('Program List'!$E$2:$E$42)),AND($I50="Short",ISNUMBER($D50),$D50&lt;0.7)),"⚠ check","")</f>
        <v/>
      </c>
    </row>
    <row r="51" customFormat="false" ht="15" hidden="false" customHeight="false" outlineLevel="0" collapsed="false">
      <c r="A51" s="211" t="str">
        <f aca="false">'Program List'!A35</f>
        <v>M869</v>
      </c>
      <c r="B51" s="212" t="str">
        <f aca="false">'Program List'!B35</f>
        <v>Master of Science in Sustainability - Energy and Materials Mgmt</v>
      </c>
      <c r="C51" s="213" t="n">
        <f aca="false">IFERROR(IF(OR(NOT(ISNUMBER(INDEX('Method A - Summary'!$C:$C,MATCH($A51,'Method A - Summary'!$A:$A,0)))),INDEX('Method A - Summary'!$C:$C,MATCH($A51,'Method A - Summary'!$A:$A,0))=0),"—",INDEX('Method A - Summary'!$C:$C,MATCH($A51,'Method A - Summary'!$A:$A,0))),"—")</f>
        <v>26</v>
      </c>
      <c r="D51" s="235" t="n">
        <f aca="false">IF(ISNUMBER($C51),INDEX('Method A - Summary'!$E:$E,MATCH($A51,'Method A - Summary'!$A:$A,0)),"—")</f>
        <v>0.615384615384615</v>
      </c>
      <c r="E51" s="213" t="n">
        <f aca="false">IF(ISNUMBER($C51),INDEX('Method A - Summary'!$K:$K,MATCH($A51,'Method A - Summary'!$A:$A,0)),"—")</f>
        <v>6</v>
      </c>
      <c r="F51" s="213" t="n">
        <f aca="false">INDEX('Program List'!$E:$E,MATCH($A51,'Program List'!$A:$A,0))</f>
        <v>30</v>
      </c>
      <c r="G51" s="213" t="n">
        <f aca="false">ROUNDUP($F51/$B$4,0)</f>
        <v>5</v>
      </c>
      <c r="H51" s="236" t="n">
        <f aca="false">IF(AND(ISNUMBER($C51),ISNUMBER($E51)),$E51/$G51,"—")</f>
        <v>1.2</v>
      </c>
      <c r="I51" s="237" t="str">
        <f aca="false">IF(NOT(ISNUMBER($C51)),"No data",IF(NOT(ISNUMBER($E51)),"Unresolved (never &lt;20%)",IF($H51&lt;0.75,"Short",IF($H51&lt;=1.25,"Aligned","Long (prolonged)"))))</f>
        <v>Aligned</v>
      </c>
      <c r="J51" s="238" t="str">
        <f aca="false">IF($I51="No data","",IF($I51="Unresolved (never &lt;20%)","Never thins below 20% in window — check maturity / very high persistence",IF($I51="Long (prolonged)",IF($F51&gt;=MEDIAN('Program List'!$E$2:$E$42),"Long program — tail plausibly structural (part-time pacing)","Tail exceeds program length — check churn / stop-outs / slow progression"),IF($I51="Short",IF($D51&gt;=0.7,"Fast movers — likely quick completion","Short tail + weak early retention — check early dropout"),"Tail matches program length"))))</f>
        <v>Tail matches program length</v>
      </c>
      <c r="K51" s="239" t="str">
        <f aca="false">IF(OR($I51="Unresolved (never &lt;20%)",AND($I51="Long (prolonged)",$F51&lt;MEDIAN('Program List'!$E$2:$E$42)),AND($I51="Short",ISNUMBER($D51),$D51&lt;0.7)),"⚠ check","")</f>
        <v/>
      </c>
    </row>
    <row r="52" customFormat="false" ht="15" hidden="false" customHeight="false" outlineLevel="0" collapsed="false">
      <c r="A52" s="207" t="str">
        <f aca="false">'Program List'!A36</f>
        <v>M867</v>
      </c>
      <c r="B52" s="208" t="str">
        <f aca="false">'Program List'!B36</f>
        <v>Master of Science in Sustainable Architecture</v>
      </c>
      <c r="C52" s="209" t="n">
        <f aca="false">IFERROR(IF(OR(NOT(ISNUMBER(INDEX('Method A - Summary'!$C:$C,MATCH($A52,'Method A - Summary'!$A:$A,0)))),INDEX('Method A - Summary'!$C:$C,MATCH($A52,'Method A - Summary'!$A:$A,0))=0),"—",INDEX('Method A - Summary'!$C:$C,MATCH($A52,'Method A - Summary'!$A:$A,0))),"—")</f>
        <v>20</v>
      </c>
      <c r="D52" s="230" t="n">
        <f aca="false">IF(ISNUMBER($C52),INDEX('Method A - Summary'!$E:$E,MATCH($A52,'Method A - Summary'!$A:$A,0)),"—")</f>
        <v>0.75</v>
      </c>
      <c r="E52" s="209" t="n">
        <f aca="false">IF(ISNUMBER($C52),INDEX('Method A - Summary'!$K:$K,MATCH($A52,'Method A - Summary'!$A:$A,0)),"—")</f>
        <v>5</v>
      </c>
      <c r="F52" s="209" t="n">
        <f aca="false">INDEX('Program List'!$E:$E,MATCH($A52,'Program List'!$A:$A,0))</f>
        <v>30</v>
      </c>
      <c r="G52" s="209" t="n">
        <f aca="false">ROUNDUP($F52/$B$4,0)</f>
        <v>5</v>
      </c>
      <c r="H52" s="231" t="n">
        <f aca="false">IF(AND(ISNUMBER($C52),ISNUMBER($E52)),$E52/$G52,"—")</f>
        <v>1</v>
      </c>
      <c r="I52" s="232" t="str">
        <f aca="false">IF(NOT(ISNUMBER($C52)),"No data",IF(NOT(ISNUMBER($E52)),"Unresolved (never &lt;20%)",IF($H52&lt;0.75,"Short",IF($H52&lt;=1.25,"Aligned","Long (prolonged)"))))</f>
        <v>Aligned</v>
      </c>
      <c r="J52" s="233" t="str">
        <f aca="false">IF($I52="No data","",IF($I52="Unresolved (never &lt;20%)","Never thins below 20% in window — check maturity / very high persistence",IF($I52="Long (prolonged)",IF($F52&gt;=MEDIAN('Program List'!$E$2:$E$42),"Long program — tail plausibly structural (part-time pacing)","Tail exceeds program length — check churn / stop-outs / slow progression"),IF($I52="Short",IF($D52&gt;=0.7,"Fast movers — likely quick completion","Short tail + weak early retention — check early dropout"),"Tail matches program length"))))</f>
        <v>Tail matches program length</v>
      </c>
      <c r="K52" s="234" t="str">
        <f aca="false">IF(OR($I52="Unresolved (never &lt;20%)",AND($I52="Long (prolonged)",$F52&lt;MEDIAN('Program List'!$E$2:$E$42)),AND($I52="Short",ISNUMBER($D52),$D52&lt;0.7)),"⚠ check","")</f>
        <v/>
      </c>
    </row>
    <row r="53" customFormat="false" ht="15" hidden="false" customHeight="false" outlineLevel="0" collapsed="false">
      <c r="A53" s="211" t="str">
        <f aca="false">'Program List'!A37</f>
        <v>M844</v>
      </c>
      <c r="B53" s="212" t="str">
        <f aca="false">'Program List'!B37</f>
        <v>Master of Social Work</v>
      </c>
      <c r="C53" s="213" t="n">
        <f aca="false">IFERROR(IF(OR(NOT(ISNUMBER(INDEX('Method A - Summary'!$C:$C,MATCH($A53,'Method A - Summary'!$A:$A,0)))),INDEX('Method A - Summary'!$C:$C,MATCH($A53,'Method A - Summary'!$A:$A,0))=0),"—",INDEX('Method A - Summary'!$C:$C,MATCH($A53,'Method A - Summary'!$A:$A,0))),"—")</f>
        <v>771</v>
      </c>
      <c r="D53" s="235" t="n">
        <f aca="false">IF(ISNUMBER($C53),INDEX('Method A - Summary'!$E:$E,MATCH($A53,'Method A - Summary'!$A:$A,0)),"—")</f>
        <v>0.771725032425422</v>
      </c>
      <c r="E53" s="213" t="n">
        <f aca="false">IF(ISNUMBER($C53),INDEX('Method A - Summary'!$K:$K,MATCH($A53,'Method A - Summary'!$A:$A,0)),"—")</f>
        <v>10</v>
      </c>
      <c r="F53" s="213" t="n">
        <f aca="false">INDEX('Program List'!$E:$E,MATCH($A53,'Program List'!$A:$A,0))</f>
        <v>60</v>
      </c>
      <c r="G53" s="213" t="n">
        <f aca="false">ROUNDUP($F53/$B$4,0)</f>
        <v>10</v>
      </c>
      <c r="H53" s="236" t="n">
        <f aca="false">IF(AND(ISNUMBER($C53),ISNUMBER($E53)),$E53/$G53,"—")</f>
        <v>1</v>
      </c>
      <c r="I53" s="237" t="str">
        <f aca="false">IF(NOT(ISNUMBER($C53)),"No data",IF(NOT(ISNUMBER($E53)),"Unresolved (never &lt;20%)",IF($H53&lt;0.75,"Short",IF($H53&lt;=1.25,"Aligned","Long (prolonged)"))))</f>
        <v>Aligned</v>
      </c>
      <c r="J53" s="238" t="str">
        <f aca="false">IF($I53="No data","",IF($I53="Unresolved (never &lt;20%)","Never thins below 20% in window — check maturity / very high persistence",IF($I53="Long (prolonged)",IF($F53&gt;=MEDIAN('Program List'!$E$2:$E$42),"Long program — tail plausibly structural (part-time pacing)","Tail exceeds program length — check churn / stop-outs / slow progression"),IF($I53="Short",IF($D53&gt;=0.7,"Fast movers — likely quick completion","Short tail + weak early retention — check early dropout"),"Tail matches program length"))))</f>
        <v>Tail matches program length</v>
      </c>
      <c r="K53" s="239" t="str">
        <f aca="false">IF(OR($I53="Unresolved (never &lt;20%)",AND($I53="Long (prolonged)",$F53&lt;MEDIAN('Program List'!$E$2:$E$42)),AND($I53="Short",ISNUMBER($D53),$D53&lt;0.7)),"⚠ check","")</f>
        <v/>
      </c>
    </row>
    <row r="54" customFormat="false" ht="15" hidden="false" customHeight="false" outlineLevel="0" collapsed="false">
      <c r="A54" s="207" t="str">
        <f aca="false">'Program List'!A38</f>
        <v>1237Q</v>
      </c>
      <c r="B54" s="208" t="str">
        <f aca="false">'Program List'!B38</f>
        <v>Masters in Public Health</v>
      </c>
      <c r="C54" s="209" t="str">
        <f aca="false">IFERROR(IF(OR(NOT(ISNUMBER(INDEX('Method A - Summary'!$C:$C,MATCH($A54,'Method A - Summary'!$A:$A,0)))),INDEX('Method A - Summary'!$C:$C,MATCH($A54,'Method A - Summary'!$A:$A,0))=0),"—",INDEX('Method A - Summary'!$C:$C,MATCH($A54,'Method A - Summary'!$A:$A,0))),"—")</f>
        <v>—</v>
      </c>
      <c r="D54" s="230" t="str">
        <f aca="false">IF(ISNUMBER($C54),INDEX('Method A - Summary'!$E:$E,MATCH($A54,'Method A - Summary'!$A:$A,0)),"—")</f>
        <v>—</v>
      </c>
      <c r="E54" s="209" t="str">
        <f aca="false">IF(ISNUMBER($C54),INDEX('Method A - Summary'!$K:$K,MATCH($A54,'Method A - Summary'!$A:$A,0)),"—")</f>
        <v>—</v>
      </c>
      <c r="F54" s="209" t="n">
        <f aca="false">INDEX('Program List'!$E:$E,MATCH($A54,'Program List'!$A:$A,0))</f>
        <v>42</v>
      </c>
      <c r="G54" s="209" t="n">
        <f aca="false">ROUNDUP($F54/$B$4,0)</f>
        <v>7</v>
      </c>
      <c r="H54" s="231" t="str">
        <f aca="false">IF(AND(ISNUMBER($C54),ISNUMBER($E54)),$E54/$G54,"—")</f>
        <v>—</v>
      </c>
      <c r="I54" s="232" t="str">
        <f aca="false">IF(NOT(ISNUMBER($C54)),"No data",IF(NOT(ISNUMBER($E54)),"Unresolved (never &lt;20%)",IF($H54&lt;0.75,"Short",IF($H54&lt;=1.25,"Aligned","Long (prolonged)"))))</f>
        <v>No data</v>
      </c>
      <c r="J54" s="233" t="str">
        <f aca="false">IF($I54="No data","",IF($I54="Unresolved (never &lt;20%)","Never thins below 20% in window — check maturity / very high persistence",IF($I54="Long (prolonged)",IF($F54&gt;=MEDIAN('Program List'!$E$2:$E$42),"Long program — tail plausibly structural (part-time pacing)","Tail exceeds program length — check churn / stop-outs / slow progression"),IF($I54="Short",IF($D54&gt;=0.7,"Fast movers — likely quick completion","Short tail + weak early retention — check early dropout"),"Tail matches program length"))))</f>
        <v/>
      </c>
      <c r="K54" s="234" t="str">
        <f aca="false">IF(OR($I54="Unresolved (never &lt;20%)",AND($I54="Long (prolonged)",$F54&lt;MEDIAN('Program List'!$E$2:$E$42)),AND($I54="Short",ISNUMBER($D54),$D54&lt;0.7)),"⚠ check","")</f>
        <v/>
      </c>
    </row>
    <row r="55" customFormat="false" ht="41.75" hidden="false" customHeight="false" outlineLevel="0" collapsed="false">
      <c r="A55" s="211" t="str">
        <f aca="false">'Program List'!A39</f>
        <v>M355</v>
      </c>
      <c r="B55" s="212" t="str">
        <f aca="false">'Program List'!B39</f>
        <v>Online LL.M. Energy and Natural Resources</v>
      </c>
      <c r="C55" s="213" t="n">
        <f aca="false">IFERROR(IF(OR(NOT(ISNUMBER(INDEX('Method A - Summary'!$C:$C,MATCH($A55,'Method A - Summary'!$A:$A,0)))),INDEX('Method A - Summary'!$C:$C,MATCH($A55,'Method A - Summary'!$A:$A,0))=0),"—",INDEX('Method A - Summary'!$C:$C,MATCH($A55,'Method A - Summary'!$A:$A,0))),"—")</f>
        <v>9</v>
      </c>
      <c r="D55" s="235" t="n">
        <f aca="false">IF(ISNUMBER($C55),INDEX('Method A - Summary'!$E:$E,MATCH($A55,'Method A - Summary'!$A:$A,0)),"—")</f>
        <v>0.444444444444444</v>
      </c>
      <c r="E55" s="213" t="str">
        <f aca="false">IF(ISNUMBER($C55),INDEX('Method A - Summary'!$K:$K,MATCH($A55,'Method A - Summary'!$A:$A,0)),"—")</f>
        <v>Not reached in observed data</v>
      </c>
      <c r="F55" s="213" t="n">
        <f aca="false">INDEX('Program List'!$E:$E,MATCH($A55,'Program List'!$A:$A,0))</f>
        <v>24</v>
      </c>
      <c r="G55" s="213" t="n">
        <f aca="false">ROUNDUP($F55/$B$4,0)</f>
        <v>4</v>
      </c>
      <c r="H55" s="236" t="str">
        <f aca="false">IF(AND(ISNUMBER($C55),ISNUMBER($E55)),$E55/$G55,"—")</f>
        <v>—</v>
      </c>
      <c r="I55" s="237" t="str">
        <f aca="false">IF(NOT(ISNUMBER($C55)),"No data",IF(NOT(ISNUMBER($E55)),"Unresolved (never &lt;20%)",IF($H55&lt;0.75,"Short",IF($H55&lt;=1.25,"Aligned","Long (prolonged)"))))</f>
        <v>Unresolved (never &lt;20%)</v>
      </c>
      <c r="J55" s="238" t="str">
        <f aca="false">IF($I55="No data","",IF($I55="Unresolved (never &lt;20%)","Never thins below 20% in window — check maturity / very high persistence",IF($I55="Long (prolonged)",IF($F55&gt;=MEDIAN('Program List'!$E$2:$E$42),"Long program — tail plausibly structural (part-time pacing)","Tail exceeds program length — check churn / stop-outs / slow progression"),IF($I55="Short",IF($D55&gt;=0.7,"Fast movers — likely quick completion","Short tail + weak early retention — check early dropout"),"Tail matches program length"))))</f>
        <v>Never thins below 20% in window — check maturity / very high persistence</v>
      </c>
      <c r="K55" s="239" t="str">
        <f aca="false">IF(OR($I55="Unresolved (never &lt;20%)",AND($I55="Long (prolonged)",$F55&lt;MEDIAN('Program List'!$E$2:$E$42)),AND($I55="Short",ISNUMBER($D55),$D55&lt;0.7)),"⚠ check","")</f>
        <v>⚠ check</v>
      </c>
    </row>
    <row r="56" customFormat="false" ht="41.75" hidden="false" customHeight="false" outlineLevel="0" collapsed="false">
      <c r="A56" s="207" t="str">
        <f aca="false">'Program List'!A40</f>
        <v>M504</v>
      </c>
      <c r="B56" s="208" t="str">
        <f aca="false">'Program List'!B40</f>
        <v>Online LL.M. Healthcare Law</v>
      </c>
      <c r="C56" s="209" t="n">
        <f aca="false">IFERROR(IF(OR(NOT(ISNUMBER(INDEX('Method A - Summary'!$C:$C,MATCH($A56,'Method A - Summary'!$A:$A,0)))),INDEX('Method A - Summary'!$C:$C,MATCH($A56,'Method A - Summary'!$A:$A,0))=0),"—",INDEX('Method A - Summary'!$C:$C,MATCH($A56,'Method A - Summary'!$A:$A,0))),"—")</f>
        <v>9</v>
      </c>
      <c r="D56" s="230" t="n">
        <f aca="false">IF(ISNUMBER($C56),INDEX('Method A - Summary'!$E:$E,MATCH($A56,'Method A - Summary'!$A:$A,0)),"—")</f>
        <v>0.333333333333333</v>
      </c>
      <c r="E56" s="209" t="str">
        <f aca="false">IF(ISNUMBER($C56),INDEX('Method A - Summary'!$K:$K,MATCH($A56,'Method A - Summary'!$A:$A,0)),"—")</f>
        <v>Not reached in observed data</v>
      </c>
      <c r="F56" s="209" t="n">
        <f aca="false">INDEX('Program List'!$E:$E,MATCH($A56,'Program List'!$A:$A,0))</f>
        <v>24</v>
      </c>
      <c r="G56" s="209" t="n">
        <f aca="false">ROUNDUP($F56/$B$4,0)</f>
        <v>4</v>
      </c>
      <c r="H56" s="231" t="str">
        <f aca="false">IF(AND(ISNUMBER($C56),ISNUMBER($E56)),$E56/$G56,"—")</f>
        <v>—</v>
      </c>
      <c r="I56" s="232" t="str">
        <f aca="false">IF(NOT(ISNUMBER($C56)),"No data",IF(NOT(ISNUMBER($E56)),"Unresolved (never &lt;20%)",IF($H56&lt;0.75,"Short",IF($H56&lt;=1.25,"Aligned","Long (prolonged)"))))</f>
        <v>Unresolved (never &lt;20%)</v>
      </c>
      <c r="J56" s="233" t="str">
        <f aca="false">IF($I56="No data","",IF($I56="Unresolved (never &lt;20%)","Never thins below 20% in window — check maturity / very high persistence",IF($I56="Long (prolonged)",IF($F56&gt;=MEDIAN('Program List'!$E$2:$E$42),"Long program — tail plausibly structural (part-time pacing)","Tail exceeds program length — check churn / stop-outs / slow progression"),IF($I56="Short",IF($D56&gt;=0.7,"Fast movers — likely quick completion","Short tail + weak early retention — check early dropout"),"Tail matches program length"))))</f>
        <v>Never thins below 20% in window — check maturity / very high persistence</v>
      </c>
      <c r="K56" s="234" t="str">
        <f aca="false">IF(OR($I56="Unresolved (never &lt;20%)",AND($I56="Long (prolonged)",$F56&lt;MEDIAN('Program List'!$E$2:$E$42)),AND($I56="Short",ISNUMBER($D56),$D56&lt;0.7)),"⚠ check","")</f>
        <v>⚠ check</v>
      </c>
    </row>
    <row r="57" customFormat="false" ht="15" hidden="false" customHeight="false" outlineLevel="0" collapsed="false">
      <c r="A57" s="211" t="str">
        <f aca="false">'Program List'!A41</f>
        <v>M526</v>
      </c>
      <c r="B57" s="212" t="str">
        <f aca="false">'Program List'!B41</f>
        <v>Online LL.M. Indigenous Peoples Law</v>
      </c>
      <c r="C57" s="213" t="n">
        <f aca="false">IFERROR(IF(OR(NOT(ISNUMBER(INDEX('Method A - Summary'!$C:$C,MATCH($A57,'Method A - Summary'!$A:$A,0)))),INDEX('Method A - Summary'!$C:$C,MATCH($A57,'Method A - Summary'!$A:$A,0))=0),"—",INDEX('Method A - Summary'!$C:$C,MATCH($A57,'Method A - Summary'!$A:$A,0))),"—")</f>
        <v>19</v>
      </c>
      <c r="D57" s="235" t="n">
        <f aca="false">IF(ISNUMBER($C57),INDEX('Method A - Summary'!$E:$E,MATCH($A57,'Method A - Summary'!$A:$A,0)),"—")</f>
        <v>0.368421052631579</v>
      </c>
      <c r="E57" s="213" t="n">
        <f aca="false">IF(ISNUMBER($C57),INDEX('Method A - Summary'!$K:$K,MATCH($A57,'Method A - Summary'!$A:$A,0)),"—")</f>
        <v>6</v>
      </c>
      <c r="F57" s="213" t="n">
        <f aca="false">INDEX('Program List'!$E:$E,MATCH($A57,'Program List'!$A:$A,0))</f>
        <v>25</v>
      </c>
      <c r="G57" s="213" t="n">
        <f aca="false">ROUNDUP($F57/$B$4,0)</f>
        <v>5</v>
      </c>
      <c r="H57" s="236" t="n">
        <f aca="false">IF(AND(ISNUMBER($C57),ISNUMBER($E57)),$E57/$G57,"—")</f>
        <v>1.2</v>
      </c>
      <c r="I57" s="237" t="str">
        <f aca="false">IF(NOT(ISNUMBER($C57)),"No data",IF(NOT(ISNUMBER($E57)),"Unresolved (never &lt;20%)",IF($H57&lt;0.75,"Short",IF($H57&lt;=1.25,"Aligned","Long (prolonged)"))))</f>
        <v>Aligned</v>
      </c>
      <c r="J57" s="238" t="str">
        <f aca="false">IF($I57="No data","",IF($I57="Unresolved (never &lt;20%)","Never thins below 20% in window — check maturity / very high persistence",IF($I57="Long (prolonged)",IF($F57&gt;=MEDIAN('Program List'!$E$2:$E$42),"Long program — tail plausibly structural (part-time pacing)","Tail exceeds program length — check churn / stop-outs / slow progression"),IF($I57="Short",IF($D57&gt;=0.7,"Fast movers — likely quick completion","Short tail + weak early retention — check early dropout"),"Tail matches program length"))))</f>
        <v>Tail matches program length</v>
      </c>
      <c r="K57" s="239" t="str">
        <f aca="false">IF(OR($I57="Unresolved (never &lt;20%)",AND($I57="Long (prolonged)",$F57&lt;MEDIAN('Program List'!$E$2:$E$42)),AND($I57="Short",ISNUMBER($D57),$D57&lt;0.7)),"⚠ check","")</f>
        <v/>
      </c>
    </row>
    <row r="58" customFormat="false" ht="15" hidden="false" customHeight="false" outlineLevel="0" collapsed="false">
      <c r="A58" s="207" t="str">
        <f aca="false">'Program List'!A42</f>
        <v>M592</v>
      </c>
      <c r="B58" s="208" t="str">
        <f aca="false">'Program List'!B42</f>
        <v>Online LL.M. International Business</v>
      </c>
      <c r="C58" s="209" t="n">
        <f aca="false">IFERROR(IF(OR(NOT(ISNUMBER(INDEX('Method A - Summary'!$C:$C,MATCH($A58,'Method A - Summary'!$A:$A,0)))),INDEX('Method A - Summary'!$C:$C,MATCH($A58,'Method A - Summary'!$A:$A,0))=0),"—",INDEX('Method A - Summary'!$C:$C,MATCH($A58,'Method A - Summary'!$A:$A,0))),"—")</f>
        <v>2</v>
      </c>
      <c r="D58" s="230" t="n">
        <f aca="false">IF(ISNUMBER($C58),INDEX('Method A - Summary'!$E:$E,MATCH($A58,'Method A - Summary'!$A:$A,0)),"—")</f>
        <v>0.5</v>
      </c>
      <c r="E58" s="209" t="n">
        <f aca="false">IF(ISNUMBER($C58),INDEX('Method A - Summary'!$K:$K,MATCH($A58,'Method A - Summary'!$A:$A,0)),"—")</f>
        <v>4</v>
      </c>
      <c r="F58" s="209" t="n">
        <f aca="false">INDEX('Program List'!$E:$E,MATCH($A58,'Program List'!$A:$A,0))</f>
        <v>24</v>
      </c>
      <c r="G58" s="209" t="n">
        <f aca="false">ROUNDUP($F58/$B$4,0)</f>
        <v>4</v>
      </c>
      <c r="H58" s="231" t="n">
        <f aca="false">IF(AND(ISNUMBER($C58),ISNUMBER($E58)),$E58/$G58,"—")</f>
        <v>1</v>
      </c>
      <c r="I58" s="232" t="str">
        <f aca="false">IF(NOT(ISNUMBER($C58)),"No data",IF(NOT(ISNUMBER($E58)),"Unresolved (never &lt;20%)",IF($H58&lt;0.75,"Short",IF($H58&lt;=1.25,"Aligned","Long (prolonged)"))))</f>
        <v>Aligned</v>
      </c>
      <c r="J58" s="233" t="str">
        <f aca="false">IF($I58="No data","",IF($I58="Unresolved (never &lt;20%)","Never thins below 20% in window — check maturity / very high persistence",IF($I58="Long (prolonged)",IF($F58&gt;=MEDIAN('Program List'!$E$2:$E$42),"Long program — tail plausibly structural (part-time pacing)","Tail exceeds program length — check churn / stop-outs / slow progression"),IF($I58="Short",IF($D58&gt;=0.7,"Fast movers — likely quick completion","Short tail + weak early retention — check early dropout"),"Tail matches program length"))))</f>
        <v>Tail matches program length</v>
      </c>
      <c r="K58" s="234" t="str">
        <f aca="false">IF(OR($I58="Unresolved (never &lt;20%)",AND($I58="Long (prolonged)",$F58&lt;MEDIAN('Program List'!$E$2:$E$42)),AND($I58="Short",ISNUMBER($D58),$D58&lt;0.7)),"⚠ check","")</f>
        <v/>
      </c>
    </row>
    <row r="60" customFormat="false" ht="15" hidden="false" customHeight="false" outlineLevel="0" collapsed="false">
      <c r="A60" s="207" t="s">
        <v>813</v>
      </c>
      <c r="D60" s="207" t="s">
        <v>814</v>
      </c>
    </row>
    <row r="61" customFormat="false" ht="15" hidden="false" customHeight="false" outlineLevel="0" collapsed="false">
      <c r="A61" s="240" t="s">
        <v>815</v>
      </c>
      <c r="B61" s="90" t="n">
        <f aca="false">COUNTIF($I$18:$I$58,"Short")</f>
        <v>0</v>
      </c>
      <c r="D61" s="241" t="n">
        <f aca="false">COUNTIF($K$18:$K$58,"*check*")</f>
        <v>9</v>
      </c>
    </row>
    <row r="62" customFormat="false" ht="15" hidden="false" customHeight="false" outlineLevel="0" collapsed="false">
      <c r="A62" s="240" t="s">
        <v>816</v>
      </c>
      <c r="B62" s="90" t="n">
        <f aca="false">COUNTIF($I$18:$I$58,"Aligned")</f>
        <v>20</v>
      </c>
    </row>
    <row r="63" customFormat="false" ht="15" hidden="false" customHeight="false" outlineLevel="0" collapsed="false">
      <c r="A63" s="240" t="s">
        <v>817</v>
      </c>
      <c r="B63" s="90" t="n">
        <f aca="false">COUNTIF($I$18:$I$58,"Long (prolonged)")</f>
        <v>10</v>
      </c>
    </row>
    <row r="64" customFormat="false" ht="15" hidden="false" customHeight="false" outlineLevel="0" collapsed="false">
      <c r="A64" s="240" t="s">
        <v>818</v>
      </c>
      <c r="B64" s="90" t="n">
        <f aca="false">COUNTIF($I$18:$I$58,"Unresolved (never &lt;20%)")</f>
        <v>2</v>
      </c>
    </row>
    <row r="65" customFormat="false" ht="15" hidden="false" customHeight="false" outlineLevel="0" collapsed="false">
      <c r="A65" s="240" t="s">
        <v>147</v>
      </c>
      <c r="B65" s="90" t="n">
        <f aca="false">COUNTIF($I$18:$I$58,"No data")</f>
        <v>9</v>
      </c>
    </row>
    <row r="68" customFormat="false" ht="15" hidden="false" customHeight="false" outlineLevel="0" collapsed="false">
      <c r="A68" s="224" t="s">
        <v>819</v>
      </c>
    </row>
    <row r="69" customFormat="false" ht="28.35" hidden="false" customHeight="false" outlineLevel="0" collapsed="false">
      <c r="A69" s="225" t="s">
        <v>820</v>
      </c>
      <c r="B69" s="225" t="s">
        <v>821</v>
      </c>
      <c r="C69" s="225" t="s">
        <v>822</v>
      </c>
      <c r="D69" s="225" t="s">
        <v>740</v>
      </c>
      <c r="E69" s="225" t="s">
        <v>823</v>
      </c>
      <c r="F69" s="225" t="s">
        <v>824</v>
      </c>
      <c r="G69" s="225" t="s">
        <v>825</v>
      </c>
      <c r="H69" s="225" t="s">
        <v>826</v>
      </c>
    </row>
    <row r="70" customFormat="false" ht="15" hidden="false" customHeight="false" outlineLevel="0" collapsed="false">
      <c r="A70" s="232" t="n">
        <v>2019</v>
      </c>
      <c r="B70" s="209" t="n">
        <f aca="false">'HC by Program-Year'!C48</f>
        <v>111</v>
      </c>
      <c r="C70" s="209" t="n">
        <f aca="false">'New vs Continuing — Year'!C48</f>
        <v>111</v>
      </c>
      <c r="D70" s="209" t="n">
        <f aca="false">'New vs Continuing — Year'!L48</f>
        <v>0</v>
      </c>
      <c r="E70" s="209" t="n">
        <f aca="false">E119</f>
        <v>0</v>
      </c>
      <c r="F70" s="209" t="s">
        <v>282</v>
      </c>
      <c r="G70" s="230" t="s">
        <v>282</v>
      </c>
      <c r="H70" s="233" t="s">
        <v>827</v>
      </c>
    </row>
    <row r="71" customFormat="false" ht="15" hidden="false" customHeight="false" outlineLevel="0" collapsed="false">
      <c r="A71" s="237" t="n">
        <v>2020</v>
      </c>
      <c r="B71" s="213" t="n">
        <f aca="false">'HC by Program-Year'!D48</f>
        <v>2552</v>
      </c>
      <c r="C71" s="213" t="n">
        <f aca="false">'New vs Continuing — Year'!D48</f>
        <v>1164</v>
      </c>
      <c r="D71" s="213" t="n">
        <f aca="false">'New vs Continuing — Year'!M48</f>
        <v>1388</v>
      </c>
      <c r="E71" s="213" t="n">
        <f aca="false">E120</f>
        <v>318</v>
      </c>
      <c r="F71" s="213" t="n">
        <f aca="false">B71-B70</f>
        <v>2441</v>
      </c>
      <c r="G71" s="235" t="n">
        <f aca="false">IF(B70=0,"—",(B71-B70)/B70)</f>
        <v>21.990990990991</v>
      </c>
      <c r="H71" s="238" t="str">
        <f aca="false">IF(E71&lt;0,"Net re-entries exceeded exits — check stop-out spike",IF(AND(ISNUMBER(G71),ABS(G71)&gt;0.15*B70),"Large swing vs prior year — check cohort intake / data",""))</f>
        <v>Large swing vs prior year — check cohort intake / data</v>
      </c>
    </row>
    <row r="72" customFormat="false" ht="15" hidden="false" customHeight="false" outlineLevel="0" collapsed="false">
      <c r="A72" s="232" t="n">
        <v>2021</v>
      </c>
      <c r="B72" s="209" t="n">
        <f aca="false">'HC by Program-Year'!E48</f>
        <v>5115</v>
      </c>
      <c r="C72" s="209" t="n">
        <f aca="false">'New vs Continuing — Year'!E48</f>
        <v>1503</v>
      </c>
      <c r="D72" s="209" t="n">
        <f aca="false">'New vs Continuing — Year'!N48</f>
        <v>3612</v>
      </c>
      <c r="E72" s="209" t="n">
        <f aca="false">E121</f>
        <v>908</v>
      </c>
      <c r="F72" s="209" t="n">
        <f aca="false">B72-B71</f>
        <v>2563</v>
      </c>
      <c r="G72" s="230" t="n">
        <f aca="false">IF(B71=0,"—",(B72-B71)/B71)</f>
        <v>1.00431034482759</v>
      </c>
      <c r="H72" s="233" t="str">
        <f aca="false">IF(E72&lt;0,"Net re-entries exceeded exits — check stop-out spike",IF(AND(ISNUMBER(G72),ABS(G72)&gt;0.15*B71),"Large swing vs prior year — check cohort intake / data",""))</f>
        <v/>
      </c>
    </row>
    <row r="73" customFormat="false" ht="15" hidden="false" customHeight="false" outlineLevel="0" collapsed="false">
      <c r="A73" s="237" t="n">
        <v>2022</v>
      </c>
      <c r="B73" s="213" t="n">
        <f aca="false">'HC by Program-Year'!F48</f>
        <v>6192</v>
      </c>
      <c r="C73" s="213" t="n">
        <f aca="false">'New vs Continuing — Year'!F48</f>
        <v>1488</v>
      </c>
      <c r="D73" s="213" t="n">
        <f aca="false">'New vs Continuing — Year'!O48</f>
        <v>4704</v>
      </c>
      <c r="E73" s="213" t="n">
        <f aca="false">E122</f>
        <v>1321</v>
      </c>
      <c r="F73" s="213" t="n">
        <f aca="false">B73-B72</f>
        <v>1077</v>
      </c>
      <c r="G73" s="235" t="n">
        <f aca="false">IF(B72=0,"—",(B73-B72)/B72)</f>
        <v>0.210557184750733</v>
      </c>
      <c r="H73" s="238" t="str">
        <f aca="false">IF(E73&lt;0,"Net re-entries exceeded exits — check stop-out spike",IF(AND(ISNUMBER(G73),ABS(G73)&gt;0.15*B72),"Large swing vs prior year — check cohort intake / data",""))</f>
        <v/>
      </c>
    </row>
    <row r="74" customFormat="false" ht="15" hidden="false" customHeight="false" outlineLevel="0" collapsed="false">
      <c r="A74" s="232" t="n">
        <v>2023</v>
      </c>
      <c r="B74" s="209" t="n">
        <f aca="false">'HC by Program-Year'!G48</f>
        <v>7353</v>
      </c>
      <c r="C74" s="209" t="n">
        <f aca="false">'New vs Continuing — Year'!G48</f>
        <v>1776</v>
      </c>
      <c r="D74" s="209" t="n">
        <f aca="false">'New vs Continuing — Year'!P48</f>
        <v>5577</v>
      </c>
      <c r="E74" s="209" t="n">
        <f aca="false">E123</f>
        <v>1453</v>
      </c>
      <c r="F74" s="209" t="n">
        <f aca="false">B74-B73</f>
        <v>1161</v>
      </c>
      <c r="G74" s="230" t="n">
        <f aca="false">IF(B73=0,"—",(B74-B73)/B73)</f>
        <v>0.1875</v>
      </c>
      <c r="H74" s="233" t="str">
        <f aca="false">IF(E74&lt;0,"Net re-entries exceeded exits — check stop-out spike",IF(AND(ISNUMBER(G74),ABS(G74)&gt;0.15*B73),"Large swing vs prior year — check cohort intake / data",""))</f>
        <v/>
      </c>
    </row>
    <row r="75" customFormat="false" ht="15" hidden="false" customHeight="false" outlineLevel="0" collapsed="false">
      <c r="A75" s="237" t="n">
        <v>2024</v>
      </c>
      <c r="B75" s="213" t="n">
        <f aca="false">'HC by Program-Year'!H48</f>
        <v>7597</v>
      </c>
      <c r="C75" s="213" t="n">
        <f aca="false">'New vs Continuing — Year'!H48</f>
        <v>1591</v>
      </c>
      <c r="D75" s="213" t="n">
        <f aca="false">'New vs Continuing — Year'!Q48</f>
        <v>6006</v>
      </c>
      <c r="E75" s="213" t="n">
        <f aca="false">E124</f>
        <v>1608</v>
      </c>
      <c r="F75" s="213" t="n">
        <f aca="false">B75-B74</f>
        <v>244</v>
      </c>
      <c r="G75" s="235" t="n">
        <f aca="false">IF(B74=0,"—",(B75-B74)/B74)</f>
        <v>0.0331837345301238</v>
      </c>
      <c r="H75" s="238" t="str">
        <f aca="false">IF(E75&lt;0,"Net re-entries exceeded exits — check stop-out spike",IF(AND(ISNUMBER(G75),ABS(G75)&gt;0.15*B74),"Large swing vs prior year — check cohort intake / data",""))</f>
        <v/>
      </c>
    </row>
    <row r="76" customFormat="false" ht="15" hidden="false" customHeight="false" outlineLevel="0" collapsed="false">
      <c r="A76" s="232" t="n">
        <v>2025</v>
      </c>
      <c r="B76" s="209" t="n">
        <f aca="false">'HC by Program-Year'!I48</f>
        <v>7348</v>
      </c>
      <c r="C76" s="209" t="n">
        <f aca="false">'New vs Continuing — Year'!I48</f>
        <v>1518</v>
      </c>
      <c r="D76" s="209" t="n">
        <f aca="false">'New vs Continuing — Year'!R48</f>
        <v>5830</v>
      </c>
      <c r="E76" s="209" t="n">
        <f aca="false">E125</f>
        <v>1562</v>
      </c>
      <c r="F76" s="209" t="n">
        <f aca="false">B76-B75</f>
        <v>-249</v>
      </c>
      <c r="G76" s="230" t="n">
        <f aca="false">IF(B75=0,"—",(B76-B75)/B75)</f>
        <v>-0.0327760958273003</v>
      </c>
      <c r="H76" s="233" t="str">
        <f aca="false">IF(E76&lt;0,"Net re-entries exceeded exits — check stop-out spike",IF(AND(ISNUMBER(G76),ABS(G76)&gt;0.15*B75),"Large swing vs prior year — check cohort intake / data",""))</f>
        <v/>
      </c>
    </row>
    <row r="77" customFormat="false" ht="15" hidden="false" customHeight="false" outlineLevel="0" collapsed="false">
      <c r="A77" s="237" t="n">
        <v>2026</v>
      </c>
      <c r="B77" s="213" t="n">
        <f aca="false">'HC by Program-Year'!J48</f>
        <v>2482</v>
      </c>
      <c r="C77" s="213" t="n">
        <f aca="false">'New vs Continuing — Year'!J48</f>
        <v>700</v>
      </c>
      <c r="D77" s="213" t="n">
        <f aca="false">'New vs Continuing — Year'!S48</f>
        <v>1782</v>
      </c>
      <c r="E77" s="213" t="n">
        <f aca="false">E126</f>
        <v>199</v>
      </c>
      <c r="F77" s="213" t="n">
        <f aca="false">B77-B76</f>
        <v>-4866</v>
      </c>
      <c r="G77" s="235" t="n">
        <f aca="false">IF(B76=0,"—",(B77-B76)/B76)</f>
        <v>-0.662221012520414</v>
      </c>
      <c r="H77" s="238" t="s">
        <v>828</v>
      </c>
    </row>
    <row r="94" customFormat="false" ht="15" hidden="false" customHeight="false" outlineLevel="0" collapsed="false">
      <c r="A94" s="223" t="s">
        <v>829</v>
      </c>
    </row>
    <row r="95" customFormat="false" ht="15" hidden="false" customHeight="false" outlineLevel="0" collapsed="false">
      <c r="A95" s="0" t="s">
        <v>737</v>
      </c>
      <c r="B95" s="0" t="s">
        <v>821</v>
      </c>
      <c r="C95" s="0" t="s">
        <v>822</v>
      </c>
      <c r="D95" s="0" t="s">
        <v>740</v>
      </c>
      <c r="E95" s="0" t="s">
        <v>823</v>
      </c>
    </row>
    <row r="96" customFormat="false" ht="15" hidden="false" customHeight="false" outlineLevel="0" collapsed="false">
      <c r="A96" s="0" t="s">
        <v>830</v>
      </c>
      <c r="B96" s="242" t="n">
        <f aca="false">'HC by Program-Term'!C48</f>
        <v>111</v>
      </c>
      <c r="C96" s="242" t="n">
        <f aca="false">'New vs Continuing — Term'!C48</f>
        <v>111</v>
      </c>
      <c r="D96" s="242" t="n">
        <f aca="false">'New vs Continuing — Term'!X48</f>
        <v>0</v>
      </c>
      <c r="E96" s="242" t="n">
        <f aca="false">0</f>
        <v>0</v>
      </c>
    </row>
    <row r="97" customFormat="false" ht="15" hidden="false" customHeight="false" outlineLevel="0" collapsed="false">
      <c r="A97" s="0" t="s">
        <v>831</v>
      </c>
      <c r="B97" s="242" t="n">
        <f aca="false">'HC by Program-Term'!D48</f>
        <v>589</v>
      </c>
      <c r="C97" s="242" t="n">
        <f aca="false">'New vs Continuing — Term'!D48</f>
        <v>495</v>
      </c>
      <c r="D97" s="242" t="n">
        <f aca="false">'New vs Continuing — Term'!Y48</f>
        <v>94</v>
      </c>
      <c r="E97" s="242" t="n">
        <f aca="false">'HC by Program-Term'!C48-'New vs Continuing — Term'!Y48</f>
        <v>17</v>
      </c>
    </row>
    <row r="98" customFormat="false" ht="15" hidden="false" customHeight="false" outlineLevel="0" collapsed="false">
      <c r="A98" s="0" t="s">
        <v>832</v>
      </c>
      <c r="B98" s="242" t="n">
        <f aca="false">'HC by Program-Term'!E48</f>
        <v>1006</v>
      </c>
      <c r="C98" s="242" t="n">
        <f aca="false">'New vs Continuing — Term'!E48</f>
        <v>495</v>
      </c>
      <c r="D98" s="242" t="n">
        <f aca="false">'New vs Continuing — Term'!Z48</f>
        <v>511</v>
      </c>
      <c r="E98" s="242" t="n">
        <f aca="false">'HC by Program-Term'!D48-'New vs Continuing — Term'!Z48</f>
        <v>78</v>
      </c>
    </row>
    <row r="99" customFormat="false" ht="15" hidden="false" customHeight="false" outlineLevel="0" collapsed="false">
      <c r="A99" s="0" t="s">
        <v>833</v>
      </c>
      <c r="B99" s="242" t="n">
        <f aca="false">'HC by Program-Term'!F48</f>
        <v>957</v>
      </c>
      <c r="C99" s="242" t="n">
        <f aca="false">'New vs Continuing — Term'!F48</f>
        <v>174</v>
      </c>
      <c r="D99" s="242" t="n">
        <f aca="false">'New vs Continuing — Term'!AA48</f>
        <v>783</v>
      </c>
      <c r="E99" s="242" t="n">
        <f aca="false">'HC by Program-Term'!E48-'New vs Continuing — Term'!AA48</f>
        <v>223</v>
      </c>
    </row>
    <row r="100" customFormat="false" ht="15" hidden="false" customHeight="false" outlineLevel="0" collapsed="false">
      <c r="A100" s="0" t="s">
        <v>834</v>
      </c>
      <c r="B100" s="242" t="n">
        <f aca="false">'HC by Program-Term'!G48</f>
        <v>1609</v>
      </c>
      <c r="C100" s="242" t="n">
        <f aca="false">'New vs Continuing — Term'!G48</f>
        <v>649</v>
      </c>
      <c r="D100" s="242" t="n">
        <f aca="false">'New vs Continuing — Term'!AB48</f>
        <v>960</v>
      </c>
      <c r="E100" s="242" t="n">
        <f aca="false">'HC by Program-Term'!F48-'New vs Continuing — Term'!AB48</f>
        <v>-3</v>
      </c>
    </row>
    <row r="101" customFormat="false" ht="15" hidden="false" customHeight="false" outlineLevel="0" collapsed="false">
      <c r="A101" s="0" t="s">
        <v>835</v>
      </c>
      <c r="B101" s="242" t="n">
        <f aca="false">'HC by Program-Term'!H48</f>
        <v>1954</v>
      </c>
      <c r="C101" s="242" t="n">
        <f aca="false">'New vs Continuing — Term'!H48</f>
        <v>631</v>
      </c>
      <c r="D101" s="242" t="n">
        <f aca="false">'New vs Continuing — Term'!AC48</f>
        <v>1323</v>
      </c>
      <c r="E101" s="242" t="n">
        <f aca="false">'HC by Program-Term'!G48-'New vs Continuing — Term'!AC48</f>
        <v>286</v>
      </c>
    </row>
    <row r="102" customFormat="false" ht="15" hidden="false" customHeight="false" outlineLevel="0" collapsed="false">
      <c r="A102" s="0" t="s">
        <v>836</v>
      </c>
      <c r="B102" s="242" t="n">
        <f aca="false">'HC by Program-Term'!I48</f>
        <v>1552</v>
      </c>
      <c r="C102" s="242" t="n">
        <f aca="false">'New vs Continuing — Term'!I48</f>
        <v>223</v>
      </c>
      <c r="D102" s="242" t="n">
        <f aca="false">'New vs Continuing — Term'!AD48</f>
        <v>1329</v>
      </c>
      <c r="E102" s="242" t="n">
        <f aca="false">'HC by Program-Term'!H48-'New vs Continuing — Term'!AD48</f>
        <v>625</v>
      </c>
    </row>
    <row r="103" customFormat="false" ht="15" hidden="false" customHeight="false" outlineLevel="0" collapsed="false">
      <c r="A103" s="0" t="s">
        <v>837</v>
      </c>
      <c r="B103" s="242" t="n">
        <f aca="false">'HC by Program-Term'!J48</f>
        <v>2202</v>
      </c>
      <c r="C103" s="242" t="n">
        <f aca="false">'New vs Continuing — Term'!J48</f>
        <v>717</v>
      </c>
      <c r="D103" s="242" t="n">
        <f aca="false">'New vs Continuing — Term'!AE48</f>
        <v>1485</v>
      </c>
      <c r="E103" s="242" t="n">
        <f aca="false">'HC by Program-Term'!I48-'New vs Continuing — Term'!AE48</f>
        <v>67</v>
      </c>
    </row>
    <row r="104" customFormat="false" ht="15" hidden="false" customHeight="false" outlineLevel="0" collapsed="false">
      <c r="A104" s="0" t="s">
        <v>838</v>
      </c>
      <c r="B104" s="242" t="n">
        <f aca="false">'HC by Program-Term'!K48</f>
        <v>2271</v>
      </c>
      <c r="C104" s="242" t="n">
        <f aca="false">'New vs Continuing — Term'!K48</f>
        <v>538</v>
      </c>
      <c r="D104" s="242" t="n">
        <f aca="false">'New vs Continuing — Term'!AF48</f>
        <v>1733</v>
      </c>
      <c r="E104" s="242" t="n">
        <f aca="false">'HC by Program-Term'!J48-'New vs Continuing — Term'!AF48</f>
        <v>469</v>
      </c>
    </row>
    <row r="105" customFormat="false" ht="15" hidden="false" customHeight="false" outlineLevel="0" collapsed="false">
      <c r="A105" s="0" t="s">
        <v>839</v>
      </c>
      <c r="B105" s="242" t="n">
        <f aca="false">'HC by Program-Term'!L48</f>
        <v>1719</v>
      </c>
      <c r="C105" s="242" t="n">
        <f aca="false">'New vs Continuing — Term'!L48</f>
        <v>233</v>
      </c>
      <c r="D105" s="242" t="n">
        <f aca="false">'New vs Continuing — Term'!AG48</f>
        <v>1486</v>
      </c>
      <c r="E105" s="242" t="n">
        <f aca="false">'HC by Program-Term'!K48-'New vs Continuing — Term'!AG48</f>
        <v>785</v>
      </c>
    </row>
    <row r="106" customFormat="false" ht="15" hidden="false" customHeight="false" outlineLevel="0" collapsed="false">
      <c r="A106" s="0" t="s">
        <v>840</v>
      </c>
      <c r="B106" s="242" t="n">
        <f aca="false">'HC by Program-Term'!M48</f>
        <v>2551</v>
      </c>
      <c r="C106" s="242" t="n">
        <f aca="false">'New vs Continuing — Term'!M48</f>
        <v>866</v>
      </c>
      <c r="D106" s="242" t="n">
        <f aca="false">'New vs Continuing — Term'!AH48</f>
        <v>1685</v>
      </c>
      <c r="E106" s="242" t="n">
        <f aca="false">'HC by Program-Term'!L48-'New vs Continuing — Term'!AH48</f>
        <v>34</v>
      </c>
    </row>
    <row r="107" customFormat="false" ht="15" hidden="false" customHeight="false" outlineLevel="0" collapsed="false">
      <c r="A107" s="0" t="s">
        <v>841</v>
      </c>
      <c r="B107" s="242" t="n">
        <f aca="false">'HC by Program-Term'!N48</f>
        <v>2760</v>
      </c>
      <c r="C107" s="242" t="n">
        <f aca="false">'New vs Continuing — Term'!N48</f>
        <v>709</v>
      </c>
      <c r="D107" s="242" t="n">
        <f aca="false">'New vs Continuing — Term'!AI48</f>
        <v>2051</v>
      </c>
      <c r="E107" s="242" t="n">
        <f aca="false">'HC by Program-Term'!M48-'New vs Continuing — Term'!AI48</f>
        <v>500</v>
      </c>
    </row>
    <row r="108" customFormat="false" ht="15" hidden="false" customHeight="false" outlineLevel="0" collapsed="false">
      <c r="A108" s="0" t="s">
        <v>842</v>
      </c>
      <c r="B108" s="242" t="n">
        <f aca="false">'HC by Program-Term'!O48</f>
        <v>2042</v>
      </c>
      <c r="C108" s="242" t="n">
        <f aca="false">'New vs Continuing — Term'!O48</f>
        <v>201</v>
      </c>
      <c r="D108" s="242" t="n">
        <f aca="false">'New vs Continuing — Term'!AJ48</f>
        <v>1841</v>
      </c>
      <c r="E108" s="242" t="n">
        <f aca="false">'HC by Program-Term'!N48-'New vs Continuing — Term'!AJ48</f>
        <v>919</v>
      </c>
    </row>
    <row r="109" customFormat="false" ht="15" hidden="false" customHeight="false" outlineLevel="0" collapsed="false">
      <c r="A109" s="0" t="s">
        <v>843</v>
      </c>
      <c r="B109" s="242" t="n">
        <f aca="false">'HC by Program-Term'!P48</f>
        <v>2816</v>
      </c>
      <c r="C109" s="242" t="n">
        <f aca="false">'New vs Continuing — Term'!P48</f>
        <v>836</v>
      </c>
      <c r="D109" s="242" t="n">
        <f aca="false">'New vs Continuing — Term'!AK48</f>
        <v>1980</v>
      </c>
      <c r="E109" s="242" t="n">
        <f aca="false">'HC by Program-Term'!O48-'New vs Continuing — Term'!AK48</f>
        <v>62</v>
      </c>
    </row>
    <row r="110" customFormat="false" ht="15" hidden="false" customHeight="false" outlineLevel="0" collapsed="false">
      <c r="A110" s="0" t="s">
        <v>844</v>
      </c>
      <c r="B110" s="242" t="n">
        <f aca="false">'HC by Program-Term'!Q48</f>
        <v>2756</v>
      </c>
      <c r="C110" s="242" t="n">
        <f aca="false">'New vs Continuing — Term'!Q48</f>
        <v>598</v>
      </c>
      <c r="D110" s="242" t="n">
        <f aca="false">'New vs Continuing — Term'!AL48</f>
        <v>2158</v>
      </c>
      <c r="E110" s="242" t="n">
        <f aca="false">'HC by Program-Term'!P48-'New vs Continuing — Term'!AL48</f>
        <v>658</v>
      </c>
    </row>
    <row r="111" customFormat="false" ht="15" hidden="false" customHeight="false" outlineLevel="0" collapsed="false">
      <c r="A111" s="0" t="s">
        <v>845</v>
      </c>
      <c r="B111" s="242" t="n">
        <f aca="false">'HC by Program-Term'!R48</f>
        <v>2025</v>
      </c>
      <c r="C111" s="242" t="n">
        <f aca="false">'New vs Continuing — Term'!R48</f>
        <v>157</v>
      </c>
      <c r="D111" s="242" t="n">
        <f aca="false">'New vs Continuing — Term'!AM48</f>
        <v>1868</v>
      </c>
      <c r="E111" s="242" t="n">
        <f aca="false">'HC by Program-Term'!Q48-'New vs Continuing — Term'!AM48</f>
        <v>888</v>
      </c>
    </row>
    <row r="112" customFormat="false" ht="15" hidden="false" customHeight="false" outlineLevel="0" collapsed="false">
      <c r="A112" s="0" t="s">
        <v>846</v>
      </c>
      <c r="B112" s="242" t="n">
        <f aca="false">'HC by Program-Term'!S48</f>
        <v>2704</v>
      </c>
      <c r="C112" s="242" t="n">
        <f aca="false">'New vs Continuing — Term'!S48</f>
        <v>836</v>
      </c>
      <c r="D112" s="242" t="n">
        <f aca="false">'New vs Continuing — Term'!AN48</f>
        <v>1868</v>
      </c>
      <c r="E112" s="242" t="n">
        <f aca="false">'HC by Program-Term'!R48-'New vs Continuing — Term'!AN48</f>
        <v>157</v>
      </c>
    </row>
    <row r="113" customFormat="false" ht="15" hidden="false" customHeight="false" outlineLevel="0" collapsed="false">
      <c r="A113" s="0" t="s">
        <v>847</v>
      </c>
      <c r="B113" s="242" t="n">
        <f aca="false">'HC by Program-Term'!T48</f>
        <v>2663</v>
      </c>
      <c r="C113" s="242" t="n">
        <f aca="false">'New vs Continuing — Term'!T48</f>
        <v>530</v>
      </c>
      <c r="D113" s="242" t="n">
        <f aca="false">'New vs Continuing — Term'!AO48</f>
        <v>2133</v>
      </c>
      <c r="E113" s="242" t="n">
        <f aca="false">'HC by Program-Term'!S48-'New vs Continuing — Term'!AO48</f>
        <v>571</v>
      </c>
    </row>
    <row r="114" customFormat="false" ht="15" hidden="false" customHeight="false" outlineLevel="0" collapsed="false">
      <c r="A114" s="0" t="s">
        <v>848</v>
      </c>
      <c r="B114" s="242" t="n">
        <f aca="false">'HC by Program-Term'!U48</f>
        <v>1981</v>
      </c>
      <c r="C114" s="242" t="n">
        <f aca="false">'New vs Continuing — Term'!U48</f>
        <v>152</v>
      </c>
      <c r="D114" s="242" t="n">
        <f aca="false">'New vs Continuing — Term'!AP48</f>
        <v>1829</v>
      </c>
      <c r="E114" s="242" t="n">
        <f aca="false">'HC by Program-Term'!T48-'New vs Continuing — Term'!AP48</f>
        <v>834</v>
      </c>
    </row>
    <row r="115" customFormat="false" ht="15" hidden="false" customHeight="false" outlineLevel="0" collapsed="false">
      <c r="A115" s="0" t="s">
        <v>849</v>
      </c>
      <c r="B115" s="242" t="n">
        <f aca="false">'HC by Program-Term'!V48</f>
        <v>2482</v>
      </c>
      <c r="C115" s="242" t="n">
        <f aca="false">'New vs Continuing — Term'!V48</f>
        <v>700</v>
      </c>
      <c r="D115" s="242" t="n">
        <f aca="false">'New vs Continuing — Term'!AQ48</f>
        <v>1782</v>
      </c>
      <c r="E115" s="242" t="n">
        <f aca="false">'HC by Program-Term'!U48-'New vs Continuing — Term'!AQ48</f>
        <v>199</v>
      </c>
    </row>
    <row r="118" customFormat="false" ht="15" hidden="false" customHeight="false" outlineLevel="0" collapsed="false">
      <c r="A118" s="0" t="s">
        <v>820</v>
      </c>
      <c r="B118" s="0" t="s">
        <v>821</v>
      </c>
      <c r="C118" s="0" t="s">
        <v>822</v>
      </c>
      <c r="D118" s="0" t="s">
        <v>740</v>
      </c>
      <c r="E118" s="0" t="s">
        <v>823</v>
      </c>
    </row>
    <row r="119" customFormat="false" ht="15" hidden="false" customHeight="false" outlineLevel="0" collapsed="false">
      <c r="A119" s="0" t="n">
        <v>2019</v>
      </c>
      <c r="B119" s="242" t="n">
        <f aca="false">'HC by Program-Year'!C48</f>
        <v>111</v>
      </c>
      <c r="C119" s="242" t="n">
        <f aca="false">'New vs Continuing — Year'!C48</f>
        <v>111</v>
      </c>
      <c r="D119" s="242" t="n">
        <f aca="false">'New vs Continuing — Year'!L48</f>
        <v>0</v>
      </c>
      <c r="E119" s="242" t="n">
        <f aca="false">E96</f>
        <v>0</v>
      </c>
    </row>
    <row r="120" customFormat="false" ht="15" hidden="false" customHeight="false" outlineLevel="0" collapsed="false">
      <c r="A120" s="0" t="n">
        <v>2020</v>
      </c>
      <c r="B120" s="242" t="n">
        <f aca="false">'HC by Program-Year'!D48</f>
        <v>2552</v>
      </c>
      <c r="C120" s="242" t="n">
        <f aca="false">'New vs Continuing — Year'!D48</f>
        <v>1164</v>
      </c>
      <c r="D120" s="242" t="n">
        <f aca="false">'New vs Continuing — Year'!M48</f>
        <v>1388</v>
      </c>
      <c r="E120" s="242" t="n">
        <f aca="false">E97+E98+E99</f>
        <v>318</v>
      </c>
    </row>
    <row r="121" customFormat="false" ht="15" hidden="false" customHeight="false" outlineLevel="0" collapsed="false">
      <c r="A121" s="0" t="n">
        <v>2021</v>
      </c>
      <c r="B121" s="242" t="n">
        <f aca="false">'HC by Program-Year'!E48</f>
        <v>5115</v>
      </c>
      <c r="C121" s="242" t="n">
        <f aca="false">'New vs Continuing — Year'!E48</f>
        <v>1503</v>
      </c>
      <c r="D121" s="242" t="n">
        <f aca="false">'New vs Continuing — Year'!N48</f>
        <v>3612</v>
      </c>
      <c r="E121" s="242" t="n">
        <f aca="false">E100+E101+E102</f>
        <v>908</v>
      </c>
    </row>
    <row r="122" customFormat="false" ht="15" hidden="false" customHeight="false" outlineLevel="0" collapsed="false">
      <c r="A122" s="0" t="n">
        <v>2022</v>
      </c>
      <c r="B122" s="242" t="n">
        <f aca="false">'HC by Program-Year'!F48</f>
        <v>6192</v>
      </c>
      <c r="C122" s="242" t="n">
        <f aca="false">'New vs Continuing — Year'!F48</f>
        <v>1488</v>
      </c>
      <c r="D122" s="242" t="n">
        <f aca="false">'New vs Continuing — Year'!O48</f>
        <v>4704</v>
      </c>
      <c r="E122" s="242" t="n">
        <f aca="false">E103+E104+E105</f>
        <v>1321</v>
      </c>
    </row>
    <row r="123" customFormat="false" ht="15" hidden="false" customHeight="false" outlineLevel="0" collapsed="false">
      <c r="A123" s="0" t="n">
        <v>2023</v>
      </c>
      <c r="B123" s="242" t="n">
        <f aca="false">'HC by Program-Year'!G48</f>
        <v>7353</v>
      </c>
      <c r="C123" s="242" t="n">
        <f aca="false">'New vs Continuing — Year'!G48</f>
        <v>1776</v>
      </c>
      <c r="D123" s="242" t="n">
        <f aca="false">'New vs Continuing — Year'!P48</f>
        <v>5577</v>
      </c>
      <c r="E123" s="242" t="n">
        <f aca="false">E106+E107+E108</f>
        <v>1453</v>
      </c>
    </row>
    <row r="124" customFormat="false" ht="15" hidden="false" customHeight="false" outlineLevel="0" collapsed="false">
      <c r="A124" s="0" t="n">
        <v>2024</v>
      </c>
      <c r="B124" s="242" t="n">
        <f aca="false">'HC by Program-Year'!H48</f>
        <v>7597</v>
      </c>
      <c r="C124" s="242" t="n">
        <f aca="false">'New vs Continuing — Year'!H48</f>
        <v>1591</v>
      </c>
      <c r="D124" s="242" t="n">
        <f aca="false">'New vs Continuing — Year'!Q48</f>
        <v>6006</v>
      </c>
      <c r="E124" s="242" t="n">
        <f aca="false">E109+E110+E111</f>
        <v>1608</v>
      </c>
    </row>
    <row r="125" customFormat="false" ht="15" hidden="false" customHeight="false" outlineLevel="0" collapsed="false">
      <c r="A125" s="0" t="n">
        <v>2025</v>
      </c>
      <c r="B125" s="242" t="n">
        <f aca="false">'HC by Program-Year'!I48</f>
        <v>7348</v>
      </c>
      <c r="C125" s="242" t="n">
        <f aca="false">'New vs Continuing — Year'!I48</f>
        <v>1518</v>
      </c>
      <c r="D125" s="242" t="n">
        <f aca="false">'New vs Continuing — Year'!R48</f>
        <v>5830</v>
      </c>
      <c r="E125" s="242" t="n">
        <f aca="false">E112+E113+E114</f>
        <v>1562</v>
      </c>
    </row>
    <row r="126" customFormat="false" ht="15" hidden="false" customHeight="false" outlineLevel="0" collapsed="false">
      <c r="A126" s="0" t="n">
        <v>2026</v>
      </c>
      <c r="B126" s="242" t="n">
        <f aca="false">'HC by Program-Year'!J48</f>
        <v>2482</v>
      </c>
      <c r="C126" s="242" t="n">
        <f aca="false">'New vs Continuing — Year'!J48</f>
        <v>700</v>
      </c>
      <c r="D126" s="242" t="n">
        <f aca="false">'New vs Continuing — Year'!S48</f>
        <v>1782</v>
      </c>
      <c r="E126" s="242" t="n">
        <f aca="false">E115</f>
        <v>199</v>
      </c>
    </row>
    <row r="129" customFormat="false" ht="15" hidden="false" customHeight="false" outlineLevel="0" collapsed="false">
      <c r="A129" s="0" t="s">
        <v>810</v>
      </c>
      <c r="B129" s="0" t="s">
        <v>850</v>
      </c>
    </row>
    <row r="130" customFormat="false" ht="15" hidden="false" customHeight="false" outlineLevel="0" collapsed="false">
      <c r="A130" s="0" t="s">
        <v>815</v>
      </c>
      <c r="B130" s="242" t="n">
        <f aca="false">COUNTIF($I$18:$I$58,"Short")</f>
        <v>0</v>
      </c>
    </row>
    <row r="131" customFormat="false" ht="15" hidden="false" customHeight="false" outlineLevel="0" collapsed="false">
      <c r="A131" s="0" t="s">
        <v>816</v>
      </c>
      <c r="B131" s="242" t="n">
        <f aca="false">COUNTIF($I$18:$I$58,"Aligned")</f>
        <v>20</v>
      </c>
    </row>
    <row r="132" customFormat="false" ht="15" hidden="false" customHeight="false" outlineLevel="0" collapsed="false">
      <c r="A132" s="0" t="s">
        <v>817</v>
      </c>
      <c r="B132" s="242" t="n">
        <f aca="false">COUNTIF($I$18:$I$58,"Long (prolonged)")</f>
        <v>10</v>
      </c>
    </row>
    <row r="133" customFormat="false" ht="15" hidden="false" customHeight="false" outlineLevel="0" collapsed="false">
      <c r="A133" s="0" t="s">
        <v>851</v>
      </c>
      <c r="B133" s="242" t="n">
        <f aca="false">COUNTIF($I$18:$I$58,"Unresolved (never &lt;20%)")</f>
        <v>2</v>
      </c>
    </row>
    <row r="134" customFormat="false" ht="15" hidden="false" customHeight="false" outlineLevel="0" collapsed="false">
      <c r="A134" s="0" t="s">
        <v>147</v>
      </c>
      <c r="B134" s="242" t="n">
        <f aca="false">COUNTIF($I$18:$I$58,"No data")</f>
        <v>9</v>
      </c>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2026-09-09T18:43:23Z</dcterms:created>
  <dc:creator>openpyxl</dc:creator>
  <dc:description/>
  <dc:language>en-US</dc:language>
  <cp:lastModifiedBy/>
  <dcterms:modified xsi:type="dcterms:W3CDTF">2026-09-23T17:44:03Z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